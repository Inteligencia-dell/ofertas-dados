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anderson_morais_claro_com_br/Documents/Área de Trabalho/"/>
    </mc:Choice>
  </mc:AlternateContent>
  <xr:revisionPtr revIDLastSave="0" documentId="8_{388E6F3D-81B3-422F-93D5-69063DCE8BD4}" xr6:coauthVersionLast="47" xr6:coauthVersionMax="47" xr10:uidLastSave="{00000000-0000-0000-0000-000000000000}"/>
  <bookViews>
    <workbookView xWindow="-110" yWindow="-110" windowWidth="19420" windowHeight="10300" xr2:uid="{7BBD96BC-43B7-4DB1-8911-5D6A7F7243A5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U561" i="1" l="1"/>
  <c r="E561" i="1"/>
  <c r="D561" i="1"/>
  <c r="U560" i="1"/>
  <c r="E560" i="1"/>
  <c r="D560" i="1"/>
  <c r="U559" i="1"/>
  <c r="O559" i="1"/>
  <c r="E559" i="1"/>
  <c r="D559" i="1"/>
  <c r="U558" i="1"/>
  <c r="Q558" i="1"/>
  <c r="S558" i="1" s="1"/>
  <c r="E558" i="1"/>
  <c r="D558" i="1"/>
  <c r="R558" i="1" s="1"/>
  <c r="T558" i="1" s="1"/>
  <c r="U557" i="1"/>
  <c r="E557" i="1"/>
  <c r="D557" i="1"/>
  <c r="U556" i="1"/>
  <c r="O556" i="1"/>
  <c r="E556" i="1"/>
  <c r="D556" i="1"/>
  <c r="U555" i="1"/>
  <c r="Q555" i="1"/>
  <c r="S555" i="1" s="1"/>
  <c r="E555" i="1"/>
  <c r="D555" i="1"/>
  <c r="R555" i="1" s="1"/>
  <c r="T555" i="1" s="1"/>
  <c r="U554" i="1"/>
  <c r="E554" i="1"/>
  <c r="D554" i="1"/>
  <c r="U553" i="1"/>
  <c r="E553" i="1"/>
  <c r="D553" i="1"/>
  <c r="U552" i="1"/>
  <c r="E552" i="1"/>
  <c r="D552" i="1"/>
  <c r="U551" i="1"/>
  <c r="E551" i="1"/>
  <c r="D551" i="1"/>
  <c r="U550" i="1"/>
  <c r="O550" i="1"/>
  <c r="E550" i="1"/>
  <c r="D550" i="1"/>
  <c r="U549" i="1"/>
  <c r="Q549" i="1"/>
  <c r="S549" i="1" s="1"/>
  <c r="E549" i="1"/>
  <c r="D549" i="1"/>
  <c r="R549" i="1" s="1"/>
  <c r="T549" i="1" s="1"/>
  <c r="U548" i="1"/>
  <c r="E548" i="1"/>
  <c r="D548" i="1"/>
  <c r="U547" i="1"/>
  <c r="E547" i="1"/>
  <c r="D547" i="1"/>
  <c r="U546" i="1"/>
  <c r="E546" i="1"/>
  <c r="D546" i="1"/>
  <c r="U545" i="1"/>
  <c r="O545" i="1"/>
  <c r="E545" i="1"/>
  <c r="D545" i="1"/>
  <c r="U544" i="1"/>
  <c r="E544" i="1"/>
  <c r="D544" i="1"/>
  <c r="Q544" i="1" s="1"/>
  <c r="S544" i="1" s="1"/>
  <c r="U543" i="1"/>
  <c r="E543" i="1"/>
  <c r="D543" i="1"/>
  <c r="U542" i="1"/>
  <c r="E542" i="1"/>
  <c r="D542" i="1"/>
  <c r="U541" i="1"/>
  <c r="E541" i="1"/>
  <c r="D541" i="1"/>
  <c r="R541" i="1" s="1"/>
  <c r="T541" i="1" s="1"/>
  <c r="U540" i="1"/>
  <c r="E540" i="1"/>
  <c r="D540" i="1"/>
  <c r="U539" i="1"/>
  <c r="E539" i="1"/>
  <c r="D539" i="1"/>
  <c r="U538" i="1"/>
  <c r="O538" i="1"/>
  <c r="E538" i="1"/>
  <c r="D538" i="1"/>
  <c r="U537" i="1"/>
  <c r="R537" i="1"/>
  <c r="T537" i="1" s="1"/>
  <c r="Q537" i="1"/>
  <c r="S537" i="1" s="1"/>
  <c r="E537" i="1"/>
  <c r="D537" i="1"/>
  <c r="U536" i="1"/>
  <c r="E536" i="1"/>
  <c r="D536" i="1"/>
  <c r="U535" i="1"/>
  <c r="O535" i="1"/>
  <c r="E535" i="1"/>
  <c r="D535" i="1"/>
  <c r="U534" i="1"/>
  <c r="S534" i="1"/>
  <c r="R534" i="1"/>
  <c r="T534" i="1" s="1"/>
  <c r="Q534" i="1"/>
  <c r="E534" i="1"/>
  <c r="D534" i="1"/>
  <c r="U533" i="1"/>
  <c r="E533" i="1"/>
  <c r="D533" i="1"/>
  <c r="U532" i="1"/>
  <c r="E532" i="1"/>
  <c r="D532" i="1"/>
  <c r="U531" i="1"/>
  <c r="O531" i="1"/>
  <c r="E531" i="1"/>
  <c r="D531" i="1"/>
  <c r="U530" i="1"/>
  <c r="E530" i="1"/>
  <c r="D530" i="1"/>
  <c r="U529" i="1"/>
  <c r="E529" i="1"/>
  <c r="D529" i="1"/>
  <c r="U528" i="1"/>
  <c r="E528" i="1"/>
  <c r="D528" i="1"/>
  <c r="U527" i="1"/>
  <c r="O527" i="1"/>
  <c r="E527" i="1"/>
  <c r="D527" i="1"/>
  <c r="U526" i="1"/>
  <c r="R526" i="1"/>
  <c r="T526" i="1" s="1"/>
  <c r="Q526" i="1"/>
  <c r="S526" i="1" s="1"/>
  <c r="E526" i="1"/>
  <c r="D526" i="1"/>
  <c r="U525" i="1"/>
  <c r="E525" i="1"/>
  <c r="D525" i="1"/>
  <c r="U524" i="1"/>
  <c r="E524" i="1"/>
  <c r="D524" i="1"/>
  <c r="U523" i="1"/>
  <c r="O523" i="1"/>
  <c r="E523" i="1"/>
  <c r="D523" i="1"/>
  <c r="U522" i="1"/>
  <c r="R522" i="1"/>
  <c r="T522" i="1" s="1"/>
  <c r="E522" i="1"/>
  <c r="D522" i="1"/>
  <c r="Q522" i="1" s="1"/>
  <c r="S522" i="1" s="1"/>
  <c r="U521" i="1"/>
  <c r="E521" i="1"/>
  <c r="D521" i="1"/>
  <c r="U520" i="1"/>
  <c r="E520" i="1"/>
  <c r="D520" i="1"/>
  <c r="U519" i="1"/>
  <c r="E519" i="1"/>
  <c r="D519" i="1"/>
  <c r="U518" i="1"/>
  <c r="E518" i="1"/>
  <c r="D518" i="1"/>
  <c r="U517" i="1"/>
  <c r="O517" i="1"/>
  <c r="E517" i="1"/>
  <c r="D517" i="1"/>
  <c r="U516" i="1"/>
  <c r="E516" i="1"/>
  <c r="D516" i="1"/>
  <c r="U515" i="1"/>
  <c r="E515" i="1"/>
  <c r="D515" i="1"/>
  <c r="U514" i="1"/>
  <c r="E514" i="1"/>
  <c r="D514" i="1"/>
  <c r="U513" i="1"/>
  <c r="E513" i="1"/>
  <c r="D513" i="1"/>
  <c r="U512" i="1"/>
  <c r="E512" i="1"/>
  <c r="D512" i="1"/>
  <c r="U511" i="1"/>
  <c r="E511" i="1"/>
  <c r="D511" i="1"/>
  <c r="U510" i="1"/>
  <c r="E510" i="1"/>
  <c r="D510" i="1"/>
  <c r="U509" i="1"/>
  <c r="O509" i="1"/>
  <c r="E509" i="1"/>
  <c r="D509" i="1"/>
  <c r="U508" i="1"/>
  <c r="Q508" i="1"/>
  <c r="S508" i="1" s="1"/>
  <c r="E508" i="1"/>
  <c r="D508" i="1"/>
  <c r="R508" i="1" s="1"/>
  <c r="T508" i="1" s="1"/>
  <c r="U507" i="1"/>
  <c r="E507" i="1"/>
  <c r="D507" i="1"/>
  <c r="U506" i="1"/>
  <c r="E506" i="1"/>
  <c r="D506" i="1"/>
  <c r="U505" i="1"/>
  <c r="E505" i="1"/>
  <c r="D505" i="1"/>
  <c r="U504" i="1"/>
  <c r="E504" i="1"/>
  <c r="D504" i="1"/>
  <c r="U503" i="1"/>
  <c r="E503" i="1"/>
  <c r="D503" i="1"/>
  <c r="U502" i="1"/>
  <c r="O502" i="1"/>
  <c r="E502" i="1"/>
  <c r="D502" i="1"/>
  <c r="U501" i="1"/>
  <c r="T501" i="1"/>
  <c r="Q501" i="1"/>
  <c r="S501" i="1" s="1"/>
  <c r="E501" i="1"/>
  <c r="D501" i="1"/>
  <c r="R501" i="1" s="1"/>
  <c r="U500" i="1"/>
  <c r="E500" i="1"/>
  <c r="D500" i="1"/>
  <c r="U499" i="1"/>
  <c r="E499" i="1"/>
  <c r="D499" i="1"/>
  <c r="U498" i="1"/>
  <c r="O498" i="1"/>
  <c r="E498" i="1"/>
  <c r="D498" i="1"/>
  <c r="U497" i="1"/>
  <c r="R497" i="1"/>
  <c r="T497" i="1" s="1"/>
  <c r="Q497" i="1"/>
  <c r="S497" i="1" s="1"/>
  <c r="E497" i="1"/>
  <c r="D497" i="1"/>
  <c r="U496" i="1"/>
  <c r="E496" i="1"/>
  <c r="D496" i="1"/>
  <c r="U495" i="1"/>
  <c r="S495" i="1"/>
  <c r="R495" i="1"/>
  <c r="T495" i="1" s="1"/>
  <c r="Q495" i="1"/>
  <c r="E495" i="1"/>
  <c r="D495" i="1"/>
  <c r="U494" i="1"/>
  <c r="E494" i="1"/>
  <c r="D494" i="1"/>
  <c r="U493" i="1"/>
  <c r="O493" i="1"/>
  <c r="E493" i="1"/>
  <c r="D493" i="1"/>
  <c r="U492" i="1"/>
  <c r="T492" i="1"/>
  <c r="S492" i="1"/>
  <c r="R492" i="1"/>
  <c r="Q492" i="1"/>
  <c r="E492" i="1"/>
  <c r="D492" i="1"/>
  <c r="U491" i="1"/>
  <c r="E491" i="1"/>
  <c r="D491" i="1"/>
  <c r="U490" i="1"/>
  <c r="E490" i="1"/>
  <c r="D490" i="1"/>
  <c r="U489" i="1"/>
  <c r="O489" i="1"/>
  <c r="E489" i="1"/>
  <c r="D489" i="1"/>
  <c r="U488" i="1"/>
  <c r="S488" i="1"/>
  <c r="E488" i="1"/>
  <c r="D488" i="1"/>
  <c r="Q488" i="1" s="1"/>
  <c r="U487" i="1"/>
  <c r="E487" i="1"/>
  <c r="D487" i="1"/>
  <c r="U486" i="1"/>
  <c r="O486" i="1"/>
  <c r="E486" i="1"/>
  <c r="D486" i="1"/>
  <c r="U485" i="1"/>
  <c r="R485" i="1"/>
  <c r="T485" i="1" s="1"/>
  <c r="E485" i="1"/>
  <c r="D485" i="1"/>
  <c r="Q485" i="1" s="1"/>
  <c r="S485" i="1" s="1"/>
  <c r="U484" i="1"/>
  <c r="E484" i="1"/>
  <c r="D484" i="1"/>
  <c r="U483" i="1"/>
  <c r="E483" i="1"/>
  <c r="D483" i="1"/>
  <c r="U482" i="1"/>
  <c r="E482" i="1"/>
  <c r="D482" i="1"/>
  <c r="U481" i="1"/>
  <c r="O481" i="1"/>
  <c r="E481" i="1"/>
  <c r="D481" i="1"/>
  <c r="U480" i="1"/>
  <c r="T480" i="1"/>
  <c r="R480" i="1"/>
  <c r="Q480" i="1"/>
  <c r="S480" i="1" s="1"/>
  <c r="E480" i="1"/>
  <c r="D480" i="1"/>
  <c r="U479" i="1"/>
  <c r="E479" i="1"/>
  <c r="D479" i="1"/>
  <c r="U478" i="1"/>
  <c r="E478" i="1"/>
  <c r="D478" i="1"/>
  <c r="U477" i="1"/>
  <c r="E477" i="1"/>
  <c r="D477" i="1"/>
  <c r="U476" i="1"/>
  <c r="E476" i="1"/>
  <c r="D476" i="1"/>
  <c r="U475" i="1"/>
  <c r="E475" i="1"/>
  <c r="D475" i="1"/>
  <c r="U474" i="1"/>
  <c r="O474" i="1"/>
  <c r="E474" i="1"/>
  <c r="D474" i="1"/>
  <c r="U473" i="1"/>
  <c r="T473" i="1"/>
  <c r="E473" i="1"/>
  <c r="D473" i="1"/>
  <c r="R473" i="1" s="1"/>
  <c r="U472" i="1"/>
  <c r="E472" i="1"/>
  <c r="D472" i="1"/>
  <c r="U471" i="1"/>
  <c r="E471" i="1"/>
  <c r="D471" i="1"/>
  <c r="U470" i="1"/>
  <c r="O470" i="1"/>
  <c r="E470" i="1"/>
  <c r="D470" i="1"/>
  <c r="U469" i="1"/>
  <c r="R469" i="1"/>
  <c r="T469" i="1" s="1"/>
  <c r="Q469" i="1"/>
  <c r="S469" i="1" s="1"/>
  <c r="E469" i="1"/>
  <c r="D469" i="1"/>
  <c r="U468" i="1"/>
  <c r="E468" i="1"/>
  <c r="D468" i="1"/>
  <c r="U467" i="1"/>
  <c r="E467" i="1"/>
  <c r="D467" i="1"/>
  <c r="U466" i="1"/>
  <c r="R466" i="1"/>
  <c r="T466" i="1" s="1"/>
  <c r="Q466" i="1"/>
  <c r="S466" i="1" s="1"/>
  <c r="E466" i="1"/>
  <c r="D466" i="1"/>
  <c r="U465" i="1"/>
  <c r="E465" i="1"/>
  <c r="D465" i="1"/>
  <c r="U464" i="1"/>
  <c r="E464" i="1"/>
  <c r="D464" i="1"/>
  <c r="U463" i="1"/>
  <c r="E463" i="1"/>
  <c r="D463" i="1"/>
  <c r="U462" i="1"/>
  <c r="O462" i="1"/>
  <c r="E462" i="1"/>
  <c r="D462" i="1"/>
  <c r="U461" i="1"/>
  <c r="R461" i="1"/>
  <c r="T461" i="1" s="1"/>
  <c r="E461" i="1"/>
  <c r="D461" i="1"/>
  <c r="Q461" i="1" s="1"/>
  <c r="S461" i="1" s="1"/>
  <c r="U460" i="1"/>
  <c r="E460" i="1"/>
  <c r="D460" i="1"/>
  <c r="U459" i="1"/>
  <c r="E459" i="1"/>
  <c r="D459" i="1"/>
  <c r="U458" i="1"/>
  <c r="E458" i="1"/>
  <c r="D458" i="1"/>
  <c r="U457" i="1"/>
  <c r="O457" i="1"/>
  <c r="E457" i="1"/>
  <c r="D457" i="1"/>
  <c r="U456" i="1"/>
  <c r="R456" i="1"/>
  <c r="T456" i="1" s="1"/>
  <c r="Q456" i="1"/>
  <c r="S456" i="1" s="1"/>
  <c r="E456" i="1"/>
  <c r="D456" i="1"/>
  <c r="U455" i="1"/>
  <c r="E455" i="1"/>
  <c r="D455" i="1"/>
  <c r="U454" i="1"/>
  <c r="E454" i="1"/>
  <c r="D454" i="1"/>
  <c r="U453" i="1"/>
  <c r="E453" i="1"/>
  <c r="D453" i="1"/>
  <c r="U452" i="1"/>
  <c r="O452" i="1"/>
  <c r="E452" i="1"/>
  <c r="D452" i="1"/>
  <c r="U451" i="1"/>
  <c r="E451" i="1"/>
  <c r="D451" i="1"/>
  <c r="U450" i="1"/>
  <c r="E450" i="1"/>
  <c r="D450" i="1"/>
  <c r="U449" i="1"/>
  <c r="E449" i="1"/>
  <c r="D449" i="1"/>
  <c r="U448" i="1"/>
  <c r="T448" i="1"/>
  <c r="R448" i="1"/>
  <c r="Q448" i="1"/>
  <c r="S448" i="1" s="1"/>
  <c r="E448" i="1"/>
  <c r="D448" i="1"/>
  <c r="U447" i="1"/>
  <c r="E447" i="1"/>
  <c r="D447" i="1"/>
  <c r="U446" i="1"/>
  <c r="E446" i="1"/>
  <c r="D446" i="1"/>
  <c r="U445" i="1"/>
  <c r="T445" i="1"/>
  <c r="R445" i="1"/>
  <c r="Q445" i="1"/>
  <c r="S445" i="1" s="1"/>
  <c r="E445" i="1"/>
  <c r="D445" i="1"/>
  <c r="U444" i="1"/>
  <c r="E444" i="1"/>
  <c r="D444" i="1"/>
  <c r="U443" i="1"/>
  <c r="E443" i="1"/>
  <c r="D443" i="1"/>
  <c r="U442" i="1"/>
  <c r="O442" i="1"/>
  <c r="E442" i="1"/>
  <c r="D442" i="1"/>
  <c r="U441" i="1"/>
  <c r="E441" i="1"/>
  <c r="D441" i="1"/>
  <c r="U440" i="1"/>
  <c r="E440" i="1"/>
  <c r="D440" i="1"/>
  <c r="U439" i="1"/>
  <c r="E439" i="1"/>
  <c r="D439" i="1"/>
  <c r="U438" i="1"/>
  <c r="E438" i="1"/>
  <c r="D438" i="1"/>
  <c r="U437" i="1"/>
  <c r="E437" i="1"/>
  <c r="D437" i="1"/>
  <c r="U436" i="1"/>
  <c r="E436" i="1"/>
  <c r="D436" i="1"/>
  <c r="U435" i="1"/>
  <c r="E435" i="1"/>
  <c r="D435" i="1"/>
  <c r="U434" i="1"/>
  <c r="O434" i="1"/>
  <c r="E434" i="1"/>
  <c r="D434" i="1"/>
  <c r="U433" i="1"/>
  <c r="E433" i="1"/>
  <c r="D433" i="1"/>
  <c r="Q433" i="1" s="1"/>
  <c r="S433" i="1" s="1"/>
  <c r="U432" i="1"/>
  <c r="E432" i="1"/>
  <c r="D432" i="1"/>
  <c r="U431" i="1"/>
  <c r="E431" i="1"/>
  <c r="D431" i="1"/>
  <c r="U430" i="1"/>
  <c r="E430" i="1"/>
  <c r="D430" i="1"/>
  <c r="U429" i="1"/>
  <c r="O429" i="1"/>
  <c r="E429" i="1"/>
  <c r="D429" i="1"/>
  <c r="U428" i="1"/>
  <c r="T428" i="1"/>
  <c r="R428" i="1"/>
  <c r="E428" i="1"/>
  <c r="D428" i="1"/>
  <c r="Q428" i="1" s="1"/>
  <c r="S428" i="1" s="1"/>
  <c r="U427" i="1"/>
  <c r="E427" i="1"/>
  <c r="D427" i="1"/>
  <c r="U426" i="1"/>
  <c r="E426" i="1"/>
  <c r="D426" i="1"/>
  <c r="U425" i="1"/>
  <c r="E425" i="1"/>
  <c r="D425" i="1"/>
  <c r="U424" i="1"/>
  <c r="E424" i="1"/>
  <c r="D424" i="1"/>
  <c r="U423" i="1"/>
  <c r="O423" i="1"/>
  <c r="E423" i="1"/>
  <c r="D423" i="1"/>
  <c r="U422" i="1"/>
  <c r="E422" i="1"/>
  <c r="D422" i="1"/>
  <c r="U421" i="1"/>
  <c r="E421" i="1"/>
  <c r="D421" i="1"/>
  <c r="U420" i="1"/>
  <c r="E420" i="1"/>
  <c r="D420" i="1"/>
  <c r="U419" i="1"/>
  <c r="O419" i="1"/>
  <c r="E419" i="1"/>
  <c r="D419" i="1"/>
  <c r="U418" i="1"/>
  <c r="T418" i="1"/>
  <c r="Q418" i="1"/>
  <c r="S418" i="1" s="1"/>
  <c r="E418" i="1"/>
  <c r="D418" i="1"/>
  <c r="R418" i="1" s="1"/>
  <c r="U417" i="1"/>
  <c r="E417" i="1"/>
  <c r="D417" i="1"/>
  <c r="U416" i="1"/>
  <c r="E416" i="1"/>
  <c r="D416" i="1"/>
  <c r="U415" i="1"/>
  <c r="E415" i="1"/>
  <c r="D415" i="1"/>
  <c r="U414" i="1"/>
  <c r="E414" i="1"/>
  <c r="D414" i="1"/>
  <c r="U413" i="1"/>
  <c r="E413" i="1"/>
  <c r="D413" i="1"/>
  <c r="U412" i="1"/>
  <c r="T412" i="1"/>
  <c r="R412" i="1"/>
  <c r="Q412" i="1"/>
  <c r="S412" i="1" s="1"/>
  <c r="E412" i="1"/>
  <c r="D412" i="1"/>
  <c r="U411" i="1"/>
  <c r="E411" i="1"/>
  <c r="D411" i="1"/>
  <c r="U410" i="1"/>
  <c r="E410" i="1"/>
  <c r="D410" i="1"/>
  <c r="U409" i="1"/>
  <c r="E409" i="1"/>
  <c r="D409" i="1"/>
  <c r="U408" i="1"/>
  <c r="O408" i="1"/>
  <c r="E408" i="1"/>
  <c r="D408" i="1"/>
  <c r="U407" i="1"/>
  <c r="T407" i="1"/>
  <c r="Q407" i="1"/>
  <c r="S407" i="1" s="1"/>
  <c r="E407" i="1"/>
  <c r="D407" i="1"/>
  <c r="R407" i="1" s="1"/>
  <c r="U406" i="1"/>
  <c r="E406" i="1"/>
  <c r="D406" i="1"/>
  <c r="U405" i="1"/>
  <c r="R405" i="1"/>
  <c r="T405" i="1" s="1"/>
  <c r="E405" i="1"/>
  <c r="D405" i="1"/>
  <c r="Q405" i="1" s="1"/>
  <c r="S405" i="1" s="1"/>
  <c r="U404" i="1"/>
  <c r="E404" i="1"/>
  <c r="D404" i="1"/>
  <c r="U403" i="1"/>
  <c r="E403" i="1"/>
  <c r="D403" i="1"/>
  <c r="U402" i="1"/>
  <c r="O402" i="1"/>
  <c r="E402" i="1"/>
  <c r="D402" i="1"/>
  <c r="U401" i="1"/>
  <c r="T401" i="1"/>
  <c r="Q401" i="1"/>
  <c r="S401" i="1" s="1"/>
  <c r="E401" i="1"/>
  <c r="D401" i="1"/>
  <c r="R401" i="1" s="1"/>
  <c r="U400" i="1"/>
  <c r="E400" i="1"/>
  <c r="D400" i="1"/>
  <c r="U399" i="1"/>
  <c r="E399" i="1"/>
  <c r="D399" i="1"/>
  <c r="U398" i="1"/>
  <c r="T398" i="1"/>
  <c r="R398" i="1"/>
  <c r="Q398" i="1"/>
  <c r="S398" i="1" s="1"/>
  <c r="E398" i="1"/>
  <c r="D398" i="1"/>
  <c r="U397" i="1"/>
  <c r="E397" i="1"/>
  <c r="D397" i="1"/>
  <c r="U396" i="1"/>
  <c r="E396" i="1"/>
  <c r="D396" i="1"/>
  <c r="U395" i="1"/>
  <c r="T395" i="1"/>
  <c r="R395" i="1"/>
  <c r="Q395" i="1"/>
  <c r="S395" i="1" s="1"/>
  <c r="E395" i="1"/>
  <c r="D395" i="1"/>
  <c r="U394" i="1"/>
  <c r="E394" i="1"/>
  <c r="D394" i="1"/>
  <c r="U393" i="1"/>
  <c r="E393" i="1"/>
  <c r="D393" i="1"/>
  <c r="U392" i="1"/>
  <c r="R392" i="1"/>
  <c r="T392" i="1" s="1"/>
  <c r="E392" i="1"/>
  <c r="D392" i="1"/>
  <c r="Q392" i="1" s="1"/>
  <c r="S392" i="1" s="1"/>
  <c r="U391" i="1"/>
  <c r="E391" i="1"/>
  <c r="D391" i="1"/>
  <c r="U390" i="1"/>
  <c r="O390" i="1"/>
  <c r="E390" i="1"/>
  <c r="D390" i="1"/>
  <c r="U389" i="1"/>
  <c r="E389" i="1"/>
  <c r="D389" i="1"/>
  <c r="U388" i="1"/>
  <c r="E388" i="1"/>
  <c r="D388" i="1"/>
  <c r="U387" i="1"/>
  <c r="R387" i="1"/>
  <c r="T387" i="1" s="1"/>
  <c r="E387" i="1"/>
  <c r="D387" i="1"/>
  <c r="Q387" i="1" s="1"/>
  <c r="S387" i="1" s="1"/>
  <c r="U386" i="1"/>
  <c r="E386" i="1"/>
  <c r="D386" i="1"/>
  <c r="U385" i="1"/>
  <c r="E385" i="1"/>
  <c r="D385" i="1"/>
  <c r="U384" i="1"/>
  <c r="E384" i="1"/>
  <c r="D384" i="1"/>
  <c r="U383" i="1"/>
  <c r="O383" i="1"/>
  <c r="E383" i="1"/>
  <c r="D383" i="1"/>
  <c r="U382" i="1"/>
  <c r="T382" i="1"/>
  <c r="R382" i="1"/>
  <c r="Q382" i="1"/>
  <c r="S382" i="1" s="1"/>
  <c r="E382" i="1"/>
  <c r="D382" i="1"/>
  <c r="U381" i="1"/>
  <c r="E381" i="1"/>
  <c r="D381" i="1"/>
  <c r="U380" i="1"/>
  <c r="E380" i="1"/>
  <c r="D380" i="1"/>
  <c r="U379" i="1"/>
  <c r="E379" i="1"/>
  <c r="D379" i="1"/>
  <c r="U378" i="1"/>
  <c r="O378" i="1"/>
  <c r="E378" i="1"/>
  <c r="D378" i="1"/>
  <c r="U377" i="1"/>
  <c r="E377" i="1"/>
  <c r="D377" i="1"/>
  <c r="R377" i="1" s="1"/>
  <c r="T377" i="1" s="1"/>
  <c r="U376" i="1"/>
  <c r="E376" i="1"/>
  <c r="D376" i="1"/>
  <c r="U375" i="1"/>
  <c r="E375" i="1"/>
  <c r="D375" i="1"/>
  <c r="U374" i="1"/>
  <c r="O374" i="1"/>
  <c r="E374" i="1"/>
  <c r="D374" i="1"/>
  <c r="U373" i="1"/>
  <c r="R373" i="1"/>
  <c r="T373" i="1" s="1"/>
  <c r="Q373" i="1"/>
  <c r="S373" i="1" s="1"/>
  <c r="E373" i="1"/>
  <c r="D373" i="1"/>
  <c r="U372" i="1"/>
  <c r="E372" i="1"/>
  <c r="D372" i="1"/>
  <c r="U371" i="1"/>
  <c r="E371" i="1"/>
  <c r="D371" i="1"/>
  <c r="U370" i="1"/>
  <c r="E370" i="1"/>
  <c r="D370" i="1"/>
  <c r="U369" i="1"/>
  <c r="T369" i="1"/>
  <c r="Q369" i="1"/>
  <c r="S369" i="1" s="1"/>
  <c r="E369" i="1"/>
  <c r="D369" i="1"/>
  <c r="R369" i="1" s="1"/>
  <c r="U368" i="1"/>
  <c r="E368" i="1"/>
  <c r="D368" i="1"/>
  <c r="U367" i="1"/>
  <c r="E367" i="1"/>
  <c r="D367" i="1"/>
  <c r="U366" i="1"/>
  <c r="O366" i="1"/>
  <c r="E366" i="1"/>
  <c r="D366" i="1"/>
  <c r="U365" i="1"/>
  <c r="T365" i="1"/>
  <c r="R365" i="1"/>
  <c r="Q365" i="1"/>
  <c r="S365" i="1" s="1"/>
  <c r="E365" i="1"/>
  <c r="D365" i="1"/>
  <c r="U364" i="1"/>
  <c r="E364" i="1"/>
  <c r="D364" i="1"/>
  <c r="U363" i="1"/>
  <c r="O363" i="1"/>
  <c r="E363" i="1"/>
  <c r="D363" i="1"/>
  <c r="U362" i="1"/>
  <c r="R362" i="1"/>
  <c r="T362" i="1" s="1"/>
  <c r="Q362" i="1"/>
  <c r="S362" i="1" s="1"/>
  <c r="E362" i="1"/>
  <c r="D362" i="1"/>
  <c r="U361" i="1"/>
  <c r="E361" i="1"/>
  <c r="D361" i="1"/>
  <c r="U360" i="1"/>
  <c r="E360" i="1"/>
  <c r="D360" i="1"/>
  <c r="U359" i="1"/>
  <c r="O359" i="1"/>
  <c r="E359" i="1"/>
  <c r="D359" i="1"/>
  <c r="U358" i="1"/>
  <c r="E358" i="1"/>
  <c r="D358" i="1"/>
  <c r="U357" i="1"/>
  <c r="E357" i="1"/>
  <c r="D357" i="1"/>
  <c r="U356" i="1"/>
  <c r="E356" i="1"/>
  <c r="D356" i="1"/>
  <c r="U355" i="1"/>
  <c r="E355" i="1"/>
  <c r="D355" i="1"/>
  <c r="U354" i="1"/>
  <c r="O354" i="1"/>
  <c r="E354" i="1"/>
  <c r="D354" i="1"/>
  <c r="U353" i="1"/>
  <c r="E353" i="1"/>
  <c r="D353" i="1"/>
  <c r="R353" i="1" s="1"/>
  <c r="T353" i="1" s="1"/>
  <c r="U352" i="1"/>
  <c r="E352" i="1"/>
  <c r="D352" i="1"/>
  <c r="U351" i="1"/>
  <c r="E351" i="1"/>
  <c r="D351" i="1"/>
  <c r="U350" i="1"/>
  <c r="O350" i="1"/>
  <c r="E350" i="1"/>
  <c r="D350" i="1"/>
  <c r="U349" i="1"/>
  <c r="S349" i="1"/>
  <c r="R349" i="1"/>
  <c r="T349" i="1" s="1"/>
  <c r="E349" i="1"/>
  <c r="D349" i="1"/>
  <c r="Q349" i="1" s="1"/>
  <c r="U348" i="1"/>
  <c r="E348" i="1"/>
  <c r="D348" i="1"/>
  <c r="U347" i="1"/>
  <c r="E347" i="1"/>
  <c r="D347" i="1"/>
  <c r="U346" i="1"/>
  <c r="E346" i="1"/>
  <c r="D346" i="1"/>
  <c r="U345" i="1"/>
  <c r="E345" i="1"/>
  <c r="D345" i="1"/>
  <c r="Q345" i="1" s="1"/>
  <c r="S345" i="1" s="1"/>
  <c r="U344" i="1"/>
  <c r="E344" i="1"/>
  <c r="D344" i="1"/>
  <c r="U343" i="1"/>
  <c r="E343" i="1"/>
  <c r="D343" i="1"/>
  <c r="U342" i="1"/>
  <c r="O342" i="1"/>
  <c r="E342" i="1"/>
  <c r="D342" i="1"/>
  <c r="U341" i="1"/>
  <c r="T341" i="1"/>
  <c r="Q341" i="1"/>
  <c r="S341" i="1" s="1"/>
  <c r="E341" i="1"/>
  <c r="D341" i="1"/>
  <c r="R341" i="1" s="1"/>
  <c r="U340" i="1"/>
  <c r="E340" i="1"/>
  <c r="D340" i="1"/>
  <c r="U339" i="1"/>
  <c r="E339" i="1"/>
  <c r="D339" i="1"/>
  <c r="U338" i="1"/>
  <c r="O338" i="1"/>
  <c r="E338" i="1"/>
  <c r="D338" i="1"/>
  <c r="U337" i="1"/>
  <c r="R337" i="1"/>
  <c r="T337" i="1" s="1"/>
  <c r="Q337" i="1"/>
  <c r="S337" i="1" s="1"/>
  <c r="E337" i="1"/>
  <c r="D337" i="1"/>
  <c r="U336" i="1"/>
  <c r="E336" i="1"/>
  <c r="D336" i="1"/>
  <c r="U335" i="1"/>
  <c r="E335" i="1"/>
  <c r="D335" i="1"/>
  <c r="U334" i="1"/>
  <c r="E334" i="1"/>
  <c r="D334" i="1"/>
  <c r="U333" i="1"/>
  <c r="T333" i="1"/>
  <c r="R333" i="1"/>
  <c r="Q333" i="1"/>
  <c r="S333" i="1" s="1"/>
  <c r="E333" i="1"/>
  <c r="D333" i="1"/>
  <c r="U332" i="1"/>
  <c r="E332" i="1"/>
  <c r="D332" i="1"/>
  <c r="U331" i="1"/>
  <c r="E331" i="1"/>
  <c r="D331" i="1"/>
  <c r="U330" i="1"/>
  <c r="E330" i="1"/>
  <c r="D330" i="1"/>
  <c r="U329" i="1"/>
  <c r="R329" i="1"/>
  <c r="T329" i="1" s="1"/>
  <c r="E329" i="1"/>
  <c r="D329" i="1"/>
  <c r="Q329" i="1" s="1"/>
  <c r="S329" i="1" s="1"/>
  <c r="U328" i="1"/>
  <c r="E328" i="1"/>
  <c r="D328" i="1"/>
  <c r="U327" i="1"/>
  <c r="E327" i="1"/>
  <c r="D327" i="1"/>
  <c r="U326" i="1"/>
  <c r="E326" i="1"/>
  <c r="D326" i="1"/>
  <c r="R326" i="1" s="1"/>
  <c r="T326" i="1" s="1"/>
  <c r="U325" i="1"/>
  <c r="E325" i="1"/>
  <c r="D325" i="1"/>
  <c r="U324" i="1"/>
  <c r="E324" i="1"/>
  <c r="D324" i="1"/>
  <c r="U323" i="1"/>
  <c r="E323" i="1"/>
  <c r="D323" i="1"/>
  <c r="U322" i="1"/>
  <c r="O322" i="1"/>
  <c r="E322" i="1"/>
  <c r="D322" i="1"/>
  <c r="U321" i="1"/>
  <c r="E321" i="1"/>
  <c r="D321" i="1"/>
  <c r="Q321" i="1" s="1"/>
  <c r="S321" i="1" s="1"/>
  <c r="U320" i="1"/>
  <c r="E320" i="1"/>
  <c r="D320" i="1"/>
  <c r="U319" i="1"/>
  <c r="E319" i="1"/>
  <c r="D319" i="1"/>
  <c r="U318" i="1"/>
  <c r="E318" i="1"/>
  <c r="D318" i="1"/>
  <c r="U317" i="1"/>
  <c r="O317" i="1"/>
  <c r="E317" i="1"/>
  <c r="D317" i="1"/>
  <c r="U316" i="1"/>
  <c r="T316" i="1"/>
  <c r="R316" i="1"/>
  <c r="Q316" i="1"/>
  <c r="S316" i="1" s="1"/>
  <c r="E316" i="1"/>
  <c r="D316" i="1"/>
  <c r="U315" i="1"/>
  <c r="E315" i="1"/>
  <c r="D315" i="1"/>
  <c r="U314" i="1"/>
  <c r="E314" i="1"/>
  <c r="D314" i="1"/>
  <c r="U313" i="1"/>
  <c r="O313" i="1"/>
  <c r="E313" i="1"/>
  <c r="D313" i="1"/>
  <c r="U312" i="1"/>
  <c r="Q312" i="1"/>
  <c r="S312" i="1" s="1"/>
  <c r="E312" i="1"/>
  <c r="D312" i="1"/>
  <c r="R312" i="1" s="1"/>
  <c r="T312" i="1" s="1"/>
  <c r="U311" i="1"/>
  <c r="E311" i="1"/>
  <c r="D311" i="1"/>
  <c r="U310" i="1"/>
  <c r="E310" i="1"/>
  <c r="D310" i="1"/>
  <c r="U309" i="1"/>
  <c r="O309" i="1"/>
  <c r="E309" i="1"/>
  <c r="D309" i="1"/>
  <c r="U308" i="1"/>
  <c r="T308" i="1"/>
  <c r="R308" i="1"/>
  <c r="Q308" i="1"/>
  <c r="S308" i="1" s="1"/>
  <c r="E308" i="1"/>
  <c r="D308" i="1"/>
  <c r="U307" i="1"/>
  <c r="E307" i="1"/>
  <c r="D307" i="1"/>
  <c r="U306" i="1"/>
  <c r="E306" i="1"/>
  <c r="D306" i="1"/>
  <c r="U305" i="1"/>
  <c r="Q305" i="1"/>
  <c r="S305" i="1" s="1"/>
  <c r="E305" i="1"/>
  <c r="D305" i="1"/>
  <c r="R305" i="1" s="1"/>
  <c r="T305" i="1" s="1"/>
  <c r="U304" i="1"/>
  <c r="E304" i="1"/>
  <c r="D304" i="1"/>
  <c r="U303" i="1"/>
  <c r="E303" i="1"/>
  <c r="D303" i="1"/>
  <c r="U302" i="1"/>
  <c r="E302" i="1"/>
  <c r="D302" i="1"/>
  <c r="U301" i="1"/>
  <c r="E301" i="1"/>
  <c r="D301" i="1"/>
  <c r="U300" i="1"/>
  <c r="O300" i="1"/>
  <c r="E300" i="1"/>
  <c r="D300" i="1"/>
  <c r="U299" i="1"/>
  <c r="T299" i="1"/>
  <c r="R299" i="1"/>
  <c r="E299" i="1"/>
  <c r="D299" i="1"/>
  <c r="Q299" i="1" s="1"/>
  <c r="S299" i="1" s="1"/>
  <c r="U298" i="1"/>
  <c r="E298" i="1"/>
  <c r="D298" i="1"/>
  <c r="U297" i="1"/>
  <c r="E297" i="1"/>
  <c r="D297" i="1"/>
  <c r="U296" i="1"/>
  <c r="O296" i="1"/>
  <c r="E296" i="1"/>
  <c r="D296" i="1"/>
  <c r="U295" i="1"/>
  <c r="E295" i="1"/>
  <c r="D295" i="1"/>
  <c r="R295" i="1" s="1"/>
  <c r="T295" i="1" s="1"/>
  <c r="U294" i="1"/>
  <c r="E294" i="1"/>
  <c r="D294" i="1"/>
  <c r="U293" i="1"/>
  <c r="E293" i="1"/>
  <c r="D293" i="1"/>
  <c r="U292" i="1"/>
  <c r="E292" i="1"/>
  <c r="D292" i="1"/>
  <c r="U291" i="1"/>
  <c r="O291" i="1"/>
  <c r="E291" i="1"/>
  <c r="D291" i="1"/>
  <c r="U290" i="1"/>
  <c r="R290" i="1"/>
  <c r="T290" i="1" s="1"/>
  <c r="E290" i="1"/>
  <c r="D290" i="1"/>
  <c r="Q290" i="1" s="1"/>
  <c r="S290" i="1" s="1"/>
  <c r="U289" i="1"/>
  <c r="E289" i="1"/>
  <c r="D289" i="1"/>
  <c r="U288" i="1"/>
  <c r="E288" i="1"/>
  <c r="D288" i="1"/>
  <c r="U287" i="1"/>
  <c r="O287" i="1"/>
  <c r="E287" i="1"/>
  <c r="D287" i="1"/>
  <c r="U286" i="1"/>
  <c r="E286" i="1"/>
  <c r="D286" i="1"/>
  <c r="R286" i="1" s="1"/>
  <c r="T286" i="1" s="1"/>
  <c r="U285" i="1"/>
  <c r="E285" i="1"/>
  <c r="D285" i="1"/>
  <c r="U284" i="1"/>
  <c r="E284" i="1"/>
  <c r="D284" i="1"/>
  <c r="U283" i="1"/>
  <c r="E283" i="1"/>
  <c r="D283" i="1"/>
  <c r="U282" i="1"/>
  <c r="O282" i="1"/>
  <c r="E282" i="1"/>
  <c r="D282" i="1"/>
  <c r="U281" i="1"/>
  <c r="R281" i="1"/>
  <c r="T281" i="1" s="1"/>
  <c r="Q281" i="1"/>
  <c r="S281" i="1" s="1"/>
  <c r="E281" i="1"/>
  <c r="D281" i="1"/>
  <c r="U280" i="1"/>
  <c r="E280" i="1"/>
  <c r="D280" i="1"/>
  <c r="U279" i="1"/>
  <c r="E279" i="1"/>
  <c r="D279" i="1"/>
  <c r="U278" i="1"/>
  <c r="E278" i="1"/>
  <c r="D278" i="1"/>
  <c r="U277" i="1"/>
  <c r="O277" i="1"/>
  <c r="E277" i="1"/>
  <c r="D277" i="1"/>
  <c r="U276" i="1"/>
  <c r="T276" i="1"/>
  <c r="R276" i="1"/>
  <c r="E276" i="1"/>
  <c r="D276" i="1"/>
  <c r="Q276" i="1" s="1"/>
  <c r="S276" i="1" s="1"/>
  <c r="U275" i="1"/>
  <c r="E275" i="1"/>
  <c r="D275" i="1"/>
  <c r="U274" i="1"/>
  <c r="E274" i="1"/>
  <c r="D274" i="1"/>
  <c r="U273" i="1"/>
  <c r="O273" i="1"/>
  <c r="E273" i="1"/>
  <c r="D273" i="1"/>
  <c r="U272" i="1"/>
  <c r="E272" i="1"/>
  <c r="D272" i="1"/>
  <c r="U271" i="1"/>
  <c r="E271" i="1"/>
  <c r="D271" i="1"/>
  <c r="U270" i="1"/>
  <c r="E270" i="1"/>
  <c r="D270" i="1"/>
  <c r="U269" i="1"/>
  <c r="E269" i="1"/>
  <c r="D269" i="1"/>
  <c r="U268" i="1"/>
  <c r="O268" i="1"/>
  <c r="E268" i="1"/>
  <c r="D268" i="1"/>
  <c r="U267" i="1"/>
  <c r="R267" i="1"/>
  <c r="T267" i="1" s="1"/>
  <c r="E267" i="1"/>
  <c r="D267" i="1"/>
  <c r="Q267" i="1" s="1"/>
  <c r="S267" i="1" s="1"/>
  <c r="U266" i="1"/>
  <c r="E266" i="1"/>
  <c r="D266" i="1"/>
  <c r="U265" i="1"/>
  <c r="E265" i="1"/>
  <c r="D265" i="1"/>
  <c r="U264" i="1"/>
  <c r="R264" i="1"/>
  <c r="T264" i="1" s="1"/>
  <c r="Q264" i="1"/>
  <c r="S264" i="1" s="1"/>
  <c r="E264" i="1"/>
  <c r="D264" i="1"/>
  <c r="U263" i="1"/>
  <c r="E263" i="1"/>
  <c r="D263" i="1"/>
  <c r="U262" i="1"/>
  <c r="R262" i="1"/>
  <c r="T262" i="1" s="1"/>
  <c r="E262" i="1"/>
  <c r="D262" i="1"/>
  <c r="Q262" i="1" s="1"/>
  <c r="S262" i="1" s="1"/>
  <c r="U261" i="1"/>
  <c r="E261" i="1"/>
  <c r="D261" i="1"/>
  <c r="U260" i="1"/>
  <c r="E260" i="1"/>
  <c r="D260" i="1"/>
  <c r="U259" i="1"/>
  <c r="E259" i="1"/>
  <c r="D259" i="1"/>
  <c r="U258" i="1"/>
  <c r="O258" i="1"/>
  <c r="E258" i="1"/>
  <c r="D258" i="1"/>
  <c r="U257" i="1"/>
  <c r="T257" i="1"/>
  <c r="R257" i="1"/>
  <c r="Q257" i="1"/>
  <c r="S257" i="1" s="1"/>
  <c r="E257" i="1"/>
  <c r="D257" i="1"/>
  <c r="U256" i="1"/>
  <c r="E256" i="1"/>
  <c r="D256" i="1"/>
  <c r="U255" i="1"/>
  <c r="E255" i="1"/>
  <c r="D255" i="1"/>
  <c r="U254" i="1"/>
  <c r="E254" i="1"/>
  <c r="D254" i="1"/>
  <c r="U253" i="1"/>
  <c r="R253" i="1"/>
  <c r="T253" i="1" s="1"/>
  <c r="Q253" i="1"/>
  <c r="S253" i="1" s="1"/>
  <c r="E253" i="1"/>
  <c r="D253" i="1"/>
  <c r="U252" i="1"/>
  <c r="E252" i="1"/>
  <c r="D252" i="1"/>
  <c r="U251" i="1"/>
  <c r="E251" i="1"/>
  <c r="D251" i="1"/>
  <c r="U250" i="1"/>
  <c r="O250" i="1"/>
  <c r="E250" i="1"/>
  <c r="D250" i="1"/>
  <c r="U249" i="1"/>
  <c r="S249" i="1"/>
  <c r="R249" i="1"/>
  <c r="T249" i="1" s="1"/>
  <c r="Q249" i="1"/>
  <c r="E249" i="1"/>
  <c r="D249" i="1"/>
  <c r="U248" i="1"/>
  <c r="E248" i="1"/>
  <c r="D248" i="1"/>
  <c r="U247" i="1"/>
  <c r="E247" i="1"/>
  <c r="D247" i="1"/>
  <c r="U246" i="1"/>
  <c r="O246" i="1"/>
  <c r="E246" i="1"/>
  <c r="D246" i="1"/>
  <c r="U245" i="1"/>
  <c r="Q245" i="1"/>
  <c r="S245" i="1" s="1"/>
  <c r="E245" i="1"/>
  <c r="D245" i="1"/>
  <c r="R245" i="1" s="1"/>
  <c r="T245" i="1" s="1"/>
  <c r="U244" i="1"/>
  <c r="E244" i="1"/>
  <c r="D244" i="1"/>
  <c r="U243" i="1"/>
  <c r="E243" i="1"/>
  <c r="D243" i="1"/>
  <c r="U242" i="1"/>
  <c r="O242" i="1"/>
  <c r="E242" i="1"/>
  <c r="D242" i="1"/>
  <c r="U241" i="1"/>
  <c r="R241" i="1"/>
  <c r="T241" i="1" s="1"/>
  <c r="Q241" i="1"/>
  <c r="S241" i="1" s="1"/>
  <c r="E241" i="1"/>
  <c r="D241" i="1"/>
  <c r="U240" i="1"/>
  <c r="E240" i="1"/>
  <c r="D240" i="1"/>
  <c r="U239" i="1"/>
  <c r="E239" i="1"/>
  <c r="D239" i="1"/>
  <c r="U238" i="1"/>
  <c r="E238" i="1"/>
  <c r="D238" i="1"/>
  <c r="U237" i="1"/>
  <c r="E237" i="1"/>
  <c r="D237" i="1"/>
  <c r="U236" i="1"/>
  <c r="O236" i="1"/>
  <c r="E236" i="1"/>
  <c r="D236" i="1"/>
  <c r="U235" i="1"/>
  <c r="R235" i="1"/>
  <c r="T235" i="1" s="1"/>
  <c r="E235" i="1"/>
  <c r="D235" i="1"/>
  <c r="Q235" i="1" s="1"/>
  <c r="S235" i="1" s="1"/>
  <c r="U234" i="1"/>
  <c r="E234" i="1"/>
  <c r="D234" i="1"/>
  <c r="U233" i="1"/>
  <c r="E233" i="1"/>
  <c r="D233" i="1"/>
  <c r="U232" i="1"/>
  <c r="R232" i="1"/>
  <c r="T232" i="1" s="1"/>
  <c r="E232" i="1"/>
  <c r="D232" i="1"/>
  <c r="Q232" i="1" s="1"/>
  <c r="S232" i="1" s="1"/>
  <c r="U231" i="1"/>
  <c r="E231" i="1"/>
  <c r="D231" i="1"/>
  <c r="U230" i="1"/>
  <c r="E230" i="1"/>
  <c r="D230" i="1"/>
  <c r="U229" i="1"/>
  <c r="O229" i="1"/>
  <c r="E229" i="1"/>
  <c r="D229" i="1"/>
  <c r="U228" i="1"/>
  <c r="Q228" i="1"/>
  <c r="S228" i="1" s="1"/>
  <c r="E228" i="1"/>
  <c r="D228" i="1"/>
  <c r="R228" i="1" s="1"/>
  <c r="T228" i="1" s="1"/>
  <c r="U227" i="1"/>
  <c r="E227" i="1"/>
  <c r="D227" i="1"/>
  <c r="U226" i="1"/>
  <c r="O226" i="1"/>
  <c r="E226" i="1"/>
  <c r="D226" i="1"/>
  <c r="U225" i="1"/>
  <c r="Q225" i="1"/>
  <c r="S225" i="1" s="1"/>
  <c r="E225" i="1"/>
  <c r="D225" i="1"/>
  <c r="R225" i="1" s="1"/>
  <c r="T225" i="1" s="1"/>
  <c r="U224" i="1"/>
  <c r="E224" i="1"/>
  <c r="D224" i="1"/>
  <c r="U223" i="1"/>
  <c r="E223" i="1"/>
  <c r="D223" i="1"/>
  <c r="U222" i="1"/>
  <c r="E222" i="1"/>
  <c r="D222" i="1"/>
  <c r="U221" i="1"/>
  <c r="O221" i="1"/>
  <c r="E221" i="1"/>
  <c r="D221" i="1"/>
  <c r="U220" i="1"/>
  <c r="E220" i="1"/>
  <c r="D220" i="1"/>
  <c r="U219" i="1"/>
  <c r="E219" i="1"/>
  <c r="D219" i="1"/>
  <c r="U218" i="1"/>
  <c r="E218" i="1"/>
  <c r="D218" i="1"/>
  <c r="U217" i="1"/>
  <c r="O217" i="1"/>
  <c r="E217" i="1"/>
  <c r="D217" i="1"/>
  <c r="U216" i="1"/>
  <c r="Q216" i="1"/>
  <c r="S216" i="1" s="1"/>
  <c r="E216" i="1"/>
  <c r="D216" i="1"/>
  <c r="R216" i="1" s="1"/>
  <c r="T216" i="1" s="1"/>
  <c r="U215" i="1"/>
  <c r="E215" i="1"/>
  <c r="D215" i="1"/>
  <c r="U214" i="1"/>
  <c r="E214" i="1"/>
  <c r="D214" i="1"/>
  <c r="U213" i="1"/>
  <c r="E213" i="1"/>
  <c r="D213" i="1"/>
  <c r="U212" i="1"/>
  <c r="R212" i="1"/>
  <c r="T212" i="1" s="1"/>
  <c r="E212" i="1"/>
  <c r="D212" i="1"/>
  <c r="Q212" i="1" s="1"/>
  <c r="S212" i="1" s="1"/>
  <c r="U211" i="1"/>
  <c r="E211" i="1"/>
  <c r="D211" i="1"/>
  <c r="U210" i="1"/>
  <c r="E210" i="1"/>
  <c r="D210" i="1"/>
  <c r="U209" i="1"/>
  <c r="E209" i="1"/>
  <c r="D209" i="1"/>
  <c r="U208" i="1"/>
  <c r="O208" i="1"/>
  <c r="E208" i="1"/>
  <c r="D208" i="1"/>
  <c r="U207" i="1"/>
  <c r="T207" i="1"/>
  <c r="R207" i="1"/>
  <c r="Q207" i="1"/>
  <c r="S207" i="1" s="1"/>
  <c r="E207" i="1"/>
  <c r="D207" i="1"/>
  <c r="U206" i="1"/>
  <c r="E206" i="1"/>
  <c r="D206" i="1"/>
  <c r="U205" i="1"/>
  <c r="E205" i="1"/>
  <c r="D205" i="1"/>
  <c r="U204" i="1"/>
  <c r="R204" i="1"/>
  <c r="T204" i="1" s="1"/>
  <c r="E204" i="1"/>
  <c r="D204" i="1"/>
  <c r="Q204" i="1" s="1"/>
  <c r="S204" i="1" s="1"/>
  <c r="U203" i="1"/>
  <c r="E203" i="1"/>
  <c r="D203" i="1"/>
  <c r="U202" i="1"/>
  <c r="E202" i="1"/>
  <c r="D202" i="1"/>
  <c r="U201" i="1"/>
  <c r="T201" i="1"/>
  <c r="S201" i="1"/>
  <c r="R201" i="1"/>
  <c r="E201" i="1"/>
  <c r="D201" i="1"/>
  <c r="Q201" i="1" s="1"/>
  <c r="U200" i="1"/>
  <c r="E200" i="1"/>
  <c r="D200" i="1"/>
  <c r="U199" i="1"/>
  <c r="E199" i="1"/>
  <c r="D199" i="1"/>
  <c r="U198" i="1"/>
  <c r="O198" i="1"/>
  <c r="E198" i="1"/>
  <c r="D198" i="1"/>
  <c r="U197" i="1"/>
  <c r="Q197" i="1"/>
  <c r="S197" i="1" s="1"/>
  <c r="E197" i="1"/>
  <c r="D197" i="1"/>
  <c r="R197" i="1" s="1"/>
  <c r="T197" i="1" s="1"/>
  <c r="U196" i="1"/>
  <c r="E196" i="1"/>
  <c r="D196" i="1"/>
  <c r="U195" i="1"/>
  <c r="E195" i="1"/>
  <c r="D195" i="1"/>
  <c r="U194" i="1"/>
  <c r="O194" i="1"/>
  <c r="E194" i="1"/>
  <c r="D194" i="1"/>
  <c r="U193" i="1"/>
  <c r="T193" i="1"/>
  <c r="R193" i="1"/>
  <c r="Q193" i="1"/>
  <c r="S193" i="1" s="1"/>
  <c r="E193" i="1"/>
  <c r="D193" i="1"/>
  <c r="U192" i="1"/>
  <c r="E192" i="1"/>
  <c r="D192" i="1"/>
  <c r="U191" i="1"/>
  <c r="O191" i="1"/>
  <c r="E191" i="1"/>
  <c r="D191" i="1"/>
  <c r="U190" i="1"/>
  <c r="T190" i="1"/>
  <c r="R190" i="1"/>
  <c r="Q190" i="1"/>
  <c r="S190" i="1" s="1"/>
  <c r="E190" i="1"/>
  <c r="D190" i="1"/>
  <c r="U189" i="1"/>
  <c r="E189" i="1"/>
  <c r="D189" i="1"/>
  <c r="U188" i="1"/>
  <c r="E188" i="1"/>
  <c r="D188" i="1"/>
  <c r="U187" i="1"/>
  <c r="O187" i="1"/>
  <c r="E187" i="1"/>
  <c r="D187" i="1"/>
  <c r="U186" i="1"/>
  <c r="Q186" i="1"/>
  <c r="S186" i="1" s="1"/>
  <c r="E186" i="1"/>
  <c r="D186" i="1"/>
  <c r="R186" i="1" s="1"/>
  <c r="T186" i="1" s="1"/>
  <c r="U185" i="1"/>
  <c r="E185" i="1"/>
  <c r="D185" i="1"/>
  <c r="U184" i="1"/>
  <c r="E184" i="1"/>
  <c r="D184" i="1"/>
  <c r="U183" i="1"/>
  <c r="E183" i="1"/>
  <c r="D183" i="1"/>
  <c r="R183" i="1" s="1"/>
  <c r="T183" i="1" s="1"/>
  <c r="U182" i="1"/>
  <c r="E182" i="1"/>
  <c r="D182" i="1"/>
  <c r="U181" i="1"/>
  <c r="E181" i="1"/>
  <c r="D181" i="1"/>
  <c r="U180" i="1"/>
  <c r="E180" i="1"/>
  <c r="D180" i="1"/>
  <c r="U179" i="1"/>
  <c r="E179" i="1"/>
  <c r="D179" i="1"/>
  <c r="R179" i="1" s="1"/>
  <c r="T179" i="1" s="1"/>
  <c r="U178" i="1"/>
  <c r="E178" i="1"/>
  <c r="D178" i="1"/>
  <c r="U177" i="1"/>
  <c r="O177" i="1"/>
  <c r="E177" i="1"/>
  <c r="D177" i="1"/>
  <c r="U176" i="1"/>
  <c r="E176" i="1"/>
  <c r="D176" i="1"/>
  <c r="R176" i="1" s="1"/>
  <c r="T176" i="1" s="1"/>
  <c r="U175" i="1"/>
  <c r="E175" i="1"/>
  <c r="D175" i="1"/>
  <c r="U174" i="1"/>
  <c r="E174" i="1"/>
  <c r="D174" i="1"/>
  <c r="U173" i="1"/>
  <c r="E173" i="1"/>
  <c r="D173" i="1"/>
  <c r="U172" i="1"/>
  <c r="E172" i="1"/>
  <c r="D172" i="1"/>
  <c r="U171" i="1"/>
  <c r="O171" i="1"/>
  <c r="E171" i="1"/>
  <c r="D171" i="1"/>
  <c r="U170" i="1"/>
  <c r="E170" i="1"/>
  <c r="D170" i="1"/>
  <c r="U169" i="1"/>
  <c r="E169" i="1"/>
  <c r="D169" i="1"/>
  <c r="U168" i="1"/>
  <c r="E168" i="1"/>
  <c r="D168" i="1"/>
  <c r="U167" i="1"/>
  <c r="E167" i="1"/>
  <c r="D167" i="1"/>
  <c r="U166" i="1"/>
  <c r="O166" i="1"/>
  <c r="E166" i="1"/>
  <c r="D166" i="1"/>
  <c r="U165" i="1"/>
  <c r="Q165" i="1"/>
  <c r="S165" i="1" s="1"/>
  <c r="E165" i="1"/>
  <c r="D165" i="1"/>
  <c r="R165" i="1" s="1"/>
  <c r="T165" i="1" s="1"/>
  <c r="U164" i="1"/>
  <c r="E164" i="1"/>
  <c r="D164" i="1"/>
  <c r="U163" i="1"/>
  <c r="E163" i="1"/>
  <c r="D163" i="1"/>
  <c r="U162" i="1"/>
  <c r="O162" i="1"/>
  <c r="E162" i="1"/>
  <c r="D162" i="1"/>
  <c r="U161" i="1"/>
  <c r="R161" i="1"/>
  <c r="T161" i="1" s="1"/>
  <c r="Q161" i="1"/>
  <c r="S161" i="1" s="1"/>
  <c r="E161" i="1"/>
  <c r="D161" i="1"/>
  <c r="U160" i="1"/>
  <c r="E160" i="1"/>
  <c r="D160" i="1"/>
  <c r="U159" i="1"/>
  <c r="E159" i="1"/>
  <c r="D159" i="1"/>
  <c r="U158" i="1"/>
  <c r="Q158" i="1"/>
  <c r="S158" i="1" s="1"/>
  <c r="E158" i="1"/>
  <c r="D158" i="1"/>
  <c r="R158" i="1" s="1"/>
  <c r="T158" i="1" s="1"/>
  <c r="U157" i="1"/>
  <c r="E157" i="1"/>
  <c r="D157" i="1"/>
  <c r="U156" i="1"/>
  <c r="O156" i="1"/>
  <c r="E156" i="1"/>
  <c r="D156" i="1"/>
  <c r="U155" i="1"/>
  <c r="Q155" i="1"/>
  <c r="S155" i="1" s="1"/>
  <c r="E155" i="1"/>
  <c r="D155" i="1"/>
  <c r="R155" i="1" s="1"/>
  <c r="T155" i="1" s="1"/>
  <c r="U154" i="1"/>
  <c r="E154" i="1"/>
  <c r="D154" i="1"/>
  <c r="U153" i="1"/>
  <c r="E153" i="1"/>
  <c r="D153" i="1"/>
  <c r="U152" i="1"/>
  <c r="O152" i="1"/>
  <c r="E152" i="1"/>
  <c r="D152" i="1"/>
  <c r="U151" i="1"/>
  <c r="R151" i="1"/>
  <c r="T151" i="1" s="1"/>
  <c r="Q151" i="1"/>
  <c r="S151" i="1" s="1"/>
  <c r="E151" i="1"/>
  <c r="D151" i="1"/>
  <c r="U150" i="1"/>
  <c r="E150" i="1"/>
  <c r="D150" i="1"/>
  <c r="U149" i="1"/>
  <c r="E149" i="1"/>
  <c r="D149" i="1"/>
  <c r="U148" i="1"/>
  <c r="O148" i="1"/>
  <c r="E148" i="1"/>
  <c r="D148" i="1"/>
  <c r="U147" i="1"/>
  <c r="E147" i="1"/>
  <c r="D147" i="1"/>
  <c r="U146" i="1"/>
  <c r="E146" i="1"/>
  <c r="D146" i="1"/>
  <c r="U145" i="1"/>
  <c r="E145" i="1"/>
  <c r="D145" i="1"/>
  <c r="U144" i="1"/>
  <c r="E144" i="1"/>
  <c r="D144" i="1"/>
  <c r="U143" i="1"/>
  <c r="O143" i="1"/>
  <c r="E143" i="1"/>
  <c r="D143" i="1"/>
  <c r="U142" i="1"/>
  <c r="Q142" i="1"/>
  <c r="S142" i="1" s="1"/>
  <c r="E142" i="1"/>
  <c r="D142" i="1"/>
  <c r="R142" i="1" s="1"/>
  <c r="T142" i="1" s="1"/>
  <c r="U141" i="1"/>
  <c r="E141" i="1"/>
  <c r="D141" i="1"/>
  <c r="U140" i="1"/>
  <c r="E140" i="1"/>
  <c r="D140" i="1"/>
  <c r="U139" i="1"/>
  <c r="E139" i="1"/>
  <c r="D139" i="1"/>
  <c r="U138" i="1"/>
  <c r="Q138" i="1"/>
  <c r="S138" i="1" s="1"/>
  <c r="E138" i="1"/>
  <c r="D138" i="1"/>
  <c r="R138" i="1" s="1"/>
  <c r="T138" i="1" s="1"/>
  <c r="U137" i="1"/>
  <c r="E137" i="1"/>
  <c r="D137" i="1"/>
  <c r="U136" i="1"/>
  <c r="E136" i="1"/>
  <c r="D136" i="1"/>
  <c r="U135" i="1"/>
  <c r="E135" i="1"/>
  <c r="D135" i="1"/>
  <c r="U134" i="1"/>
  <c r="O134" i="1"/>
  <c r="E134" i="1"/>
  <c r="D134" i="1"/>
  <c r="U133" i="1"/>
  <c r="E133" i="1"/>
  <c r="D133" i="1"/>
  <c r="U132" i="1"/>
  <c r="E132" i="1"/>
  <c r="D132" i="1"/>
  <c r="U131" i="1"/>
  <c r="E131" i="1"/>
  <c r="D131" i="1"/>
  <c r="U130" i="1"/>
  <c r="E130" i="1"/>
  <c r="D130" i="1"/>
  <c r="U129" i="1"/>
  <c r="E129" i="1"/>
  <c r="D129" i="1"/>
  <c r="R129" i="1" s="1"/>
  <c r="T129" i="1" s="1"/>
  <c r="U128" i="1"/>
  <c r="E128" i="1"/>
  <c r="D128" i="1"/>
  <c r="U127" i="1"/>
  <c r="E127" i="1"/>
  <c r="D127" i="1"/>
  <c r="U126" i="1"/>
  <c r="R126" i="1"/>
  <c r="T126" i="1" s="1"/>
  <c r="Q126" i="1"/>
  <c r="S126" i="1" s="1"/>
  <c r="E126" i="1"/>
  <c r="D126" i="1"/>
  <c r="U125" i="1"/>
  <c r="E125" i="1"/>
  <c r="D125" i="1"/>
  <c r="U124" i="1"/>
  <c r="E124" i="1"/>
  <c r="D124" i="1"/>
  <c r="U123" i="1"/>
  <c r="O123" i="1"/>
  <c r="E123" i="1"/>
  <c r="D123" i="1"/>
  <c r="U122" i="1"/>
  <c r="E122" i="1"/>
  <c r="D122" i="1"/>
  <c r="U121" i="1"/>
  <c r="E121" i="1"/>
  <c r="D121" i="1"/>
  <c r="U120" i="1"/>
  <c r="E120" i="1"/>
  <c r="D120" i="1"/>
  <c r="U119" i="1"/>
  <c r="E119" i="1"/>
  <c r="D119" i="1"/>
  <c r="U118" i="1"/>
  <c r="E118" i="1"/>
  <c r="D118" i="1"/>
  <c r="U117" i="1"/>
  <c r="E117" i="1"/>
  <c r="D117" i="1"/>
  <c r="U116" i="1"/>
  <c r="O116" i="1"/>
  <c r="E116" i="1"/>
  <c r="D116" i="1"/>
  <c r="U115" i="1"/>
  <c r="E115" i="1"/>
  <c r="D115" i="1"/>
  <c r="Q115" i="1" s="1"/>
  <c r="S115" i="1" s="1"/>
  <c r="U114" i="1"/>
  <c r="E114" i="1"/>
  <c r="D114" i="1"/>
  <c r="U113" i="1"/>
  <c r="E113" i="1"/>
  <c r="D113" i="1"/>
  <c r="U112" i="1"/>
  <c r="T112" i="1"/>
  <c r="R112" i="1"/>
  <c r="Q112" i="1"/>
  <c r="S112" i="1" s="1"/>
  <c r="E112" i="1"/>
  <c r="D112" i="1"/>
  <c r="U111" i="1"/>
  <c r="E111" i="1"/>
  <c r="D111" i="1"/>
  <c r="U110" i="1"/>
  <c r="O110" i="1"/>
  <c r="E110" i="1"/>
  <c r="D110" i="1"/>
  <c r="U109" i="1"/>
  <c r="R109" i="1"/>
  <c r="T109" i="1" s="1"/>
  <c r="Q109" i="1"/>
  <c r="S109" i="1" s="1"/>
  <c r="E109" i="1"/>
  <c r="D109" i="1"/>
  <c r="U108" i="1"/>
  <c r="E108" i="1"/>
  <c r="D108" i="1"/>
  <c r="U107" i="1"/>
  <c r="E107" i="1"/>
  <c r="D107" i="1"/>
  <c r="U106" i="1"/>
  <c r="O106" i="1"/>
  <c r="E106" i="1"/>
  <c r="D106" i="1"/>
  <c r="U105" i="1"/>
  <c r="T105" i="1"/>
  <c r="R105" i="1"/>
  <c r="Q105" i="1"/>
  <c r="S105" i="1" s="1"/>
  <c r="E105" i="1"/>
  <c r="D105" i="1"/>
  <c r="U104" i="1"/>
  <c r="E104" i="1"/>
  <c r="D104" i="1"/>
  <c r="U103" i="1"/>
  <c r="E103" i="1"/>
  <c r="D103" i="1"/>
  <c r="U102" i="1"/>
  <c r="E102" i="1"/>
  <c r="D102" i="1"/>
  <c r="R102" i="1" s="1"/>
  <c r="T102" i="1" s="1"/>
  <c r="U101" i="1"/>
  <c r="E101" i="1"/>
  <c r="D101" i="1"/>
  <c r="U100" i="1"/>
  <c r="E100" i="1"/>
  <c r="D100" i="1"/>
  <c r="U99" i="1"/>
  <c r="O99" i="1"/>
  <c r="E99" i="1"/>
  <c r="D99" i="1"/>
  <c r="U98" i="1"/>
  <c r="R98" i="1"/>
  <c r="T98" i="1" s="1"/>
  <c r="Q98" i="1"/>
  <c r="S98" i="1" s="1"/>
  <c r="E98" i="1"/>
  <c r="D98" i="1"/>
  <c r="U97" i="1"/>
  <c r="E97" i="1"/>
  <c r="D97" i="1"/>
  <c r="U96" i="1"/>
  <c r="E96" i="1"/>
  <c r="D96" i="1"/>
  <c r="U95" i="1"/>
  <c r="E95" i="1"/>
  <c r="D95" i="1"/>
  <c r="U94" i="1"/>
  <c r="O94" i="1"/>
  <c r="E94" i="1"/>
  <c r="D94" i="1"/>
  <c r="U93" i="1"/>
  <c r="R93" i="1"/>
  <c r="T93" i="1" s="1"/>
  <c r="E93" i="1"/>
  <c r="D93" i="1"/>
  <c r="Q93" i="1" s="1"/>
  <c r="S93" i="1" s="1"/>
  <c r="U92" i="1"/>
  <c r="E92" i="1"/>
  <c r="D92" i="1"/>
  <c r="U91" i="1"/>
  <c r="E91" i="1"/>
  <c r="D91" i="1"/>
  <c r="U90" i="1"/>
  <c r="O90" i="1"/>
  <c r="E90" i="1"/>
  <c r="D90" i="1"/>
  <c r="U89" i="1"/>
  <c r="E89" i="1"/>
  <c r="D89" i="1"/>
  <c r="R89" i="1" s="1"/>
  <c r="T89" i="1" s="1"/>
  <c r="U88" i="1"/>
  <c r="E88" i="1"/>
  <c r="D88" i="1"/>
  <c r="U87" i="1"/>
  <c r="E87" i="1"/>
  <c r="D87" i="1"/>
  <c r="U86" i="1"/>
  <c r="O86" i="1"/>
  <c r="E86" i="1"/>
  <c r="D86" i="1"/>
  <c r="U85" i="1"/>
  <c r="E85" i="1"/>
  <c r="D85" i="1"/>
  <c r="R85" i="1" s="1"/>
  <c r="T85" i="1" s="1"/>
  <c r="U84" i="1"/>
  <c r="E84" i="1"/>
  <c r="D84" i="1"/>
  <c r="U83" i="1"/>
  <c r="O83" i="1"/>
  <c r="E83" i="1"/>
  <c r="D83" i="1"/>
  <c r="U82" i="1"/>
  <c r="E82" i="1"/>
  <c r="D82" i="1"/>
  <c r="R82" i="1" s="1"/>
  <c r="T82" i="1" s="1"/>
  <c r="U81" i="1"/>
  <c r="E81" i="1"/>
  <c r="D81" i="1"/>
  <c r="U80" i="1"/>
  <c r="E80" i="1"/>
  <c r="D80" i="1"/>
  <c r="U79" i="1"/>
  <c r="E79" i="1"/>
  <c r="D79" i="1"/>
  <c r="U78" i="1"/>
  <c r="O78" i="1"/>
  <c r="E78" i="1"/>
  <c r="D78" i="1"/>
  <c r="U77" i="1"/>
  <c r="R77" i="1"/>
  <c r="T77" i="1" s="1"/>
  <c r="E77" i="1"/>
  <c r="D77" i="1"/>
  <c r="Q77" i="1" s="1"/>
  <c r="S77" i="1" s="1"/>
  <c r="U76" i="1"/>
  <c r="E76" i="1"/>
  <c r="D76" i="1"/>
  <c r="U75" i="1"/>
  <c r="E75" i="1"/>
  <c r="D75" i="1"/>
  <c r="U74" i="1"/>
  <c r="E74" i="1"/>
  <c r="D74" i="1"/>
  <c r="U73" i="1"/>
  <c r="O73" i="1"/>
  <c r="E73" i="1"/>
  <c r="D73" i="1"/>
  <c r="U72" i="1"/>
  <c r="R72" i="1"/>
  <c r="T72" i="1" s="1"/>
  <c r="Q72" i="1"/>
  <c r="S72" i="1" s="1"/>
  <c r="E72" i="1"/>
  <c r="D72" i="1"/>
  <c r="U71" i="1"/>
  <c r="E71" i="1"/>
  <c r="D71" i="1"/>
  <c r="U70" i="1"/>
  <c r="E70" i="1"/>
  <c r="D70" i="1"/>
  <c r="U69" i="1"/>
  <c r="E69" i="1"/>
  <c r="D69" i="1"/>
  <c r="U68" i="1"/>
  <c r="Q68" i="1"/>
  <c r="S68" i="1" s="1"/>
  <c r="E68" i="1"/>
  <c r="D68" i="1"/>
  <c r="R68" i="1" s="1"/>
  <c r="T68" i="1" s="1"/>
  <c r="U67" i="1"/>
  <c r="E67" i="1"/>
  <c r="D67" i="1"/>
  <c r="U66" i="1"/>
  <c r="E66" i="1"/>
  <c r="D66" i="1"/>
  <c r="U65" i="1"/>
  <c r="Q65" i="1"/>
  <c r="S65" i="1" s="1"/>
  <c r="E65" i="1"/>
  <c r="D65" i="1"/>
  <c r="R65" i="1" s="1"/>
  <c r="T65" i="1" s="1"/>
  <c r="U64" i="1"/>
  <c r="E64" i="1"/>
  <c r="D64" i="1"/>
  <c r="U63" i="1"/>
  <c r="E63" i="1"/>
  <c r="D63" i="1"/>
  <c r="U62" i="1"/>
  <c r="E62" i="1"/>
  <c r="D62" i="1"/>
  <c r="U61" i="1"/>
  <c r="O61" i="1"/>
  <c r="E61" i="1"/>
  <c r="D61" i="1"/>
  <c r="U60" i="1"/>
  <c r="E60" i="1"/>
  <c r="D60" i="1"/>
  <c r="U59" i="1"/>
  <c r="E59" i="1"/>
  <c r="D59" i="1"/>
  <c r="U58" i="1"/>
  <c r="E58" i="1"/>
  <c r="D58" i="1"/>
  <c r="U57" i="1"/>
  <c r="E57" i="1"/>
  <c r="D57" i="1"/>
  <c r="U56" i="1"/>
  <c r="R56" i="1"/>
  <c r="T56" i="1" s="1"/>
  <c r="Q56" i="1"/>
  <c r="S56" i="1" s="1"/>
  <c r="E56" i="1"/>
  <c r="D56" i="1"/>
  <c r="U55" i="1"/>
  <c r="E55" i="1"/>
  <c r="D55" i="1"/>
  <c r="U54" i="1"/>
  <c r="E54" i="1"/>
  <c r="D54" i="1"/>
  <c r="U53" i="1"/>
  <c r="O53" i="1"/>
  <c r="E53" i="1"/>
  <c r="D53" i="1"/>
  <c r="U52" i="1"/>
  <c r="R52" i="1"/>
  <c r="T52" i="1" s="1"/>
  <c r="E52" i="1"/>
  <c r="D52" i="1"/>
  <c r="Q52" i="1" s="1"/>
  <c r="S52" i="1" s="1"/>
  <c r="U51" i="1"/>
  <c r="E51" i="1"/>
  <c r="D51" i="1"/>
  <c r="U50" i="1"/>
  <c r="E50" i="1"/>
  <c r="D50" i="1"/>
  <c r="U49" i="1"/>
  <c r="O49" i="1"/>
  <c r="E49" i="1"/>
  <c r="D49" i="1"/>
  <c r="U48" i="1"/>
  <c r="Q48" i="1"/>
  <c r="S48" i="1" s="1"/>
  <c r="E48" i="1"/>
  <c r="D48" i="1"/>
  <c r="R48" i="1" s="1"/>
  <c r="T48" i="1" s="1"/>
  <c r="U47" i="1"/>
  <c r="E47" i="1"/>
  <c r="D47" i="1"/>
  <c r="U46" i="1"/>
  <c r="E46" i="1"/>
  <c r="D46" i="1"/>
  <c r="U45" i="1"/>
  <c r="E45" i="1"/>
  <c r="D45" i="1"/>
  <c r="U44" i="1"/>
  <c r="O44" i="1"/>
  <c r="E44" i="1"/>
  <c r="D44" i="1"/>
  <c r="U43" i="1"/>
  <c r="E43" i="1"/>
  <c r="D43" i="1"/>
  <c r="U42" i="1"/>
  <c r="E42" i="1"/>
  <c r="D42" i="1"/>
  <c r="U41" i="1"/>
  <c r="E41" i="1"/>
  <c r="D41" i="1"/>
  <c r="U40" i="1"/>
  <c r="E40" i="1"/>
  <c r="D40" i="1"/>
  <c r="U39" i="1"/>
  <c r="E39" i="1"/>
  <c r="D39" i="1"/>
  <c r="U38" i="1"/>
  <c r="O38" i="1"/>
  <c r="E38" i="1"/>
  <c r="D38" i="1"/>
  <c r="U37" i="1"/>
  <c r="E37" i="1"/>
  <c r="D37" i="1"/>
  <c r="R37" i="1" s="1"/>
  <c r="T37" i="1" s="1"/>
  <c r="U36" i="1"/>
  <c r="E36" i="1"/>
  <c r="D36" i="1"/>
  <c r="U35" i="1"/>
  <c r="E35" i="1"/>
  <c r="D35" i="1"/>
  <c r="U34" i="1"/>
  <c r="O34" i="1"/>
  <c r="E34" i="1"/>
  <c r="D34" i="1"/>
  <c r="U33" i="1"/>
  <c r="Q33" i="1"/>
  <c r="S33" i="1" s="1"/>
  <c r="E33" i="1"/>
  <c r="D33" i="1"/>
  <c r="R33" i="1" s="1"/>
  <c r="T33" i="1" s="1"/>
  <c r="U32" i="1"/>
  <c r="E32" i="1"/>
  <c r="D32" i="1"/>
  <c r="U31" i="1"/>
  <c r="O31" i="1"/>
  <c r="E31" i="1"/>
  <c r="D31" i="1"/>
  <c r="U30" i="1"/>
  <c r="Q30" i="1"/>
  <c r="S30" i="1" s="1"/>
  <c r="E30" i="1"/>
  <c r="D30" i="1"/>
  <c r="R30" i="1" s="1"/>
  <c r="T30" i="1" s="1"/>
  <c r="U29" i="1"/>
  <c r="E29" i="1"/>
  <c r="D29" i="1"/>
  <c r="U28" i="1"/>
  <c r="E28" i="1"/>
  <c r="D28" i="1"/>
  <c r="U27" i="1"/>
  <c r="O27" i="1"/>
  <c r="E27" i="1"/>
  <c r="D27" i="1"/>
  <c r="U26" i="1"/>
  <c r="R26" i="1"/>
  <c r="T26" i="1" s="1"/>
  <c r="E26" i="1"/>
  <c r="D26" i="1"/>
  <c r="Q26" i="1" s="1"/>
  <c r="S26" i="1" s="1"/>
  <c r="U25" i="1"/>
  <c r="E25" i="1"/>
  <c r="D25" i="1"/>
  <c r="U24" i="1"/>
  <c r="E24" i="1"/>
  <c r="D24" i="1"/>
  <c r="U23" i="1"/>
  <c r="O23" i="1"/>
  <c r="E23" i="1"/>
  <c r="D23" i="1"/>
  <c r="U22" i="1"/>
  <c r="Q22" i="1"/>
  <c r="S22" i="1" s="1"/>
  <c r="E22" i="1"/>
  <c r="D22" i="1"/>
  <c r="R22" i="1" s="1"/>
  <c r="T22" i="1" s="1"/>
  <c r="U21" i="1"/>
  <c r="E21" i="1"/>
  <c r="D21" i="1"/>
  <c r="U20" i="1"/>
  <c r="E20" i="1"/>
  <c r="D20" i="1"/>
  <c r="U19" i="1"/>
  <c r="E19" i="1"/>
  <c r="D19" i="1"/>
  <c r="U18" i="1"/>
  <c r="O18" i="1"/>
  <c r="E18" i="1"/>
  <c r="D18" i="1"/>
  <c r="U17" i="1"/>
  <c r="E17" i="1"/>
  <c r="D17" i="1"/>
  <c r="U16" i="1"/>
  <c r="E16" i="1"/>
  <c r="D16" i="1"/>
  <c r="U15" i="1"/>
  <c r="E15" i="1"/>
  <c r="D15" i="1"/>
  <c r="U14" i="1"/>
  <c r="E14" i="1"/>
  <c r="D14" i="1"/>
  <c r="U13" i="1"/>
  <c r="O13" i="1"/>
  <c r="E13" i="1"/>
  <c r="D13" i="1"/>
  <c r="U12" i="1"/>
  <c r="R12" i="1"/>
  <c r="T12" i="1" s="1"/>
  <c r="E12" i="1"/>
  <c r="D12" i="1"/>
  <c r="Q12" i="1" s="1"/>
  <c r="S12" i="1" s="1"/>
  <c r="U11" i="1"/>
  <c r="E11" i="1"/>
  <c r="D11" i="1"/>
  <c r="U10" i="1"/>
  <c r="E10" i="1"/>
  <c r="D10" i="1"/>
  <c r="U9" i="1"/>
  <c r="R9" i="1"/>
  <c r="T9" i="1" s="1"/>
  <c r="E9" i="1"/>
  <c r="D9" i="1"/>
  <c r="Q9" i="1" s="1"/>
  <c r="S9" i="1" s="1"/>
  <c r="U8" i="1"/>
  <c r="E8" i="1"/>
  <c r="D8" i="1"/>
  <c r="U7" i="1"/>
  <c r="E7" i="1"/>
  <c r="D7" i="1"/>
  <c r="U6" i="1"/>
  <c r="E6" i="1"/>
  <c r="D6" i="1"/>
  <c r="U5" i="1"/>
  <c r="Q5" i="1"/>
  <c r="S5" i="1" s="1"/>
  <c r="E5" i="1"/>
  <c r="D5" i="1"/>
  <c r="R5" i="1" s="1"/>
  <c r="T5" i="1" s="1"/>
  <c r="U4" i="1"/>
  <c r="E4" i="1"/>
  <c r="D4" i="1"/>
  <c r="U3" i="1"/>
  <c r="O3" i="1"/>
  <c r="E3" i="1"/>
  <c r="D3" i="1"/>
  <c r="U2" i="1"/>
  <c r="T2" i="1"/>
  <c r="Q2" i="1"/>
  <c r="S2" i="1" s="1"/>
  <c r="E2" i="1"/>
  <c r="D2" i="1"/>
  <c r="R2" i="1" s="1"/>
  <c r="R60" i="1" l="1"/>
  <c r="T60" i="1" s="1"/>
  <c r="Q60" i="1"/>
  <c r="S60" i="1" s="1"/>
  <c r="R17" i="1"/>
  <c r="T17" i="1" s="1"/>
  <c r="Q17" i="1"/>
  <c r="S17" i="1" s="1"/>
  <c r="R43" i="1"/>
  <c r="T43" i="1" s="1"/>
  <c r="Q43" i="1"/>
  <c r="S43" i="1" s="1"/>
  <c r="R118" i="1"/>
  <c r="T118" i="1" s="1"/>
  <c r="Q118" i="1"/>
  <c r="S118" i="1" s="1"/>
  <c r="R147" i="1"/>
  <c r="T147" i="1" s="1"/>
  <c r="Q147" i="1"/>
  <c r="S147" i="1" s="1"/>
  <c r="Q37" i="1"/>
  <c r="S37" i="1" s="1"/>
  <c r="Q82" i="1"/>
  <c r="S82" i="1" s="1"/>
  <c r="Q85" i="1"/>
  <c r="S85" i="1" s="1"/>
  <c r="R133" i="1"/>
  <c r="T133" i="1" s="1"/>
  <c r="Q133" i="1"/>
  <c r="S133" i="1" s="1"/>
  <c r="Q89" i="1"/>
  <c r="S89" i="1" s="1"/>
  <c r="R122" i="1"/>
  <c r="T122" i="1" s="1"/>
  <c r="Q122" i="1"/>
  <c r="S122" i="1" s="1"/>
  <c r="R170" i="1"/>
  <c r="T170" i="1" s="1"/>
  <c r="Q170" i="1"/>
  <c r="S170" i="1" s="1"/>
  <c r="Q102" i="1"/>
  <c r="S102" i="1" s="1"/>
  <c r="R115" i="1"/>
  <c r="T115" i="1" s="1"/>
  <c r="Q176" i="1"/>
  <c r="S176" i="1" s="1"/>
  <c r="Q179" i="1"/>
  <c r="S179" i="1" s="1"/>
  <c r="Q129" i="1"/>
  <c r="S129" i="1" s="1"/>
  <c r="R272" i="1"/>
  <c r="T272" i="1" s="1"/>
  <c r="Q272" i="1"/>
  <c r="S272" i="1" s="1"/>
  <c r="R389" i="1"/>
  <c r="T389" i="1" s="1"/>
  <c r="Q389" i="1"/>
  <c r="S389" i="1" s="1"/>
  <c r="Q183" i="1"/>
  <c r="S183" i="1" s="1"/>
  <c r="R220" i="1"/>
  <c r="T220" i="1" s="1"/>
  <c r="Q220" i="1"/>
  <c r="S220" i="1" s="1"/>
  <c r="R321" i="1"/>
  <c r="T321" i="1" s="1"/>
  <c r="Q286" i="1"/>
  <c r="S286" i="1" s="1"/>
  <c r="R345" i="1"/>
  <c r="T345" i="1" s="1"/>
  <c r="Q358" i="1"/>
  <c r="S358" i="1" s="1"/>
  <c r="R358" i="1"/>
  <c r="T358" i="1" s="1"/>
  <c r="Q326" i="1"/>
  <c r="S326" i="1" s="1"/>
  <c r="Q295" i="1"/>
  <c r="S295" i="1" s="1"/>
  <c r="Q377" i="1"/>
  <c r="S377" i="1" s="1"/>
  <c r="R422" i="1"/>
  <c r="T422" i="1" s="1"/>
  <c r="Q422" i="1"/>
  <c r="S422" i="1" s="1"/>
  <c r="Q353" i="1"/>
  <c r="S353" i="1" s="1"/>
  <c r="Q441" i="1"/>
  <c r="S441" i="1" s="1"/>
  <c r="R441" i="1"/>
  <c r="T441" i="1" s="1"/>
  <c r="R415" i="1"/>
  <c r="T415" i="1" s="1"/>
  <c r="Q415" i="1"/>
  <c r="S415" i="1" s="1"/>
  <c r="R433" i="1"/>
  <c r="T433" i="1" s="1"/>
  <c r="R451" i="1"/>
  <c r="T451" i="1" s="1"/>
  <c r="Q451" i="1"/>
  <c r="S451" i="1" s="1"/>
  <c r="Q516" i="1"/>
  <c r="S516" i="1" s="1"/>
  <c r="R516" i="1"/>
  <c r="T516" i="1" s="1"/>
  <c r="R438" i="1"/>
  <c r="T438" i="1" s="1"/>
  <c r="Q438" i="1"/>
  <c r="S438" i="1" s="1"/>
  <c r="R488" i="1"/>
  <c r="T488" i="1" s="1"/>
  <c r="Q512" i="1"/>
  <c r="S512" i="1" s="1"/>
  <c r="R512" i="1"/>
  <c r="T512" i="1" s="1"/>
  <c r="Q473" i="1"/>
  <c r="S473" i="1" s="1"/>
  <c r="R530" i="1"/>
  <c r="T530" i="1" s="1"/>
  <c r="Q530" i="1"/>
  <c r="S530" i="1" s="1"/>
  <c r="R544" i="1"/>
  <c r="T544" i="1" s="1"/>
  <c r="Q541" i="1"/>
  <c r="S541" i="1" s="1"/>
  <c r="B203" i="1" l="1"/>
  <c r="B485" i="1"/>
  <c r="B236" i="1"/>
  <c r="B313" i="1"/>
  <c r="B517" i="1"/>
  <c r="B420" i="1"/>
  <c r="B142" i="1"/>
  <c r="B392" i="1"/>
  <c r="B527" i="1"/>
  <c r="B253" i="1"/>
  <c r="B10" i="1"/>
  <c r="B5" i="1"/>
  <c r="B371" i="1"/>
  <c r="B465" i="1"/>
  <c r="B241" i="1"/>
  <c r="B528" i="1"/>
  <c r="B368" i="1"/>
  <c r="B512" i="1"/>
  <c r="B461" i="1"/>
  <c r="B457" i="1"/>
  <c r="B12" i="1"/>
  <c r="B540" i="1"/>
  <c r="B8" i="1"/>
  <c r="B410" i="1"/>
  <c r="B238" i="1"/>
  <c r="B499" i="1"/>
  <c r="B409" i="1"/>
  <c r="B169" i="1"/>
  <c r="B62" i="1"/>
  <c r="B347" i="1"/>
  <c r="B317" i="1"/>
  <c r="B316" i="1"/>
  <c r="B260" i="1"/>
  <c r="B64" i="1"/>
  <c r="B492" i="1"/>
  <c r="B312" i="1"/>
  <c r="B552" i="1"/>
  <c r="B531" i="1"/>
  <c r="B71" i="1"/>
  <c r="B532" i="1"/>
  <c r="B186" i="1"/>
  <c r="B400" i="1"/>
  <c r="B454" i="1"/>
  <c r="B542" i="1"/>
  <c r="B350" i="1"/>
  <c r="B475" i="1"/>
  <c r="B39" i="1"/>
  <c r="B437" i="1"/>
  <c r="B516" i="1"/>
  <c r="B101" i="1"/>
  <c r="B194" i="1"/>
  <c r="B232" i="1"/>
  <c r="B402" i="1"/>
  <c r="B98" i="1"/>
  <c r="B302" i="1"/>
  <c r="B291" i="1"/>
  <c r="B319" i="1"/>
  <c r="B88" i="1"/>
  <c r="B282" i="1"/>
  <c r="B178" i="1"/>
  <c r="B300" i="1"/>
  <c r="B449" i="1"/>
  <c r="B93" i="1"/>
  <c r="B425" i="1"/>
  <c r="B419" i="1"/>
  <c r="B250" i="1"/>
  <c r="B546" i="1"/>
  <c r="B27" i="1"/>
  <c r="B283" i="1"/>
  <c r="B107" i="1"/>
  <c r="B544" i="1"/>
  <c r="B139" i="1"/>
  <c r="B355" i="1"/>
  <c r="B167" i="1"/>
  <c r="B270" i="1"/>
  <c r="B487" i="1"/>
  <c r="B464" i="1"/>
  <c r="B156" i="1"/>
  <c r="B558" i="1"/>
  <c r="B442" i="1"/>
  <c r="B498" i="1"/>
  <c r="B520" i="1"/>
  <c r="B422" i="1"/>
  <c r="B151" i="1"/>
  <c r="B321" i="1"/>
  <c r="B280" i="1"/>
  <c r="B366" i="1"/>
  <c r="B421" i="1"/>
  <c r="B384" i="1"/>
  <c r="B394" i="1"/>
  <c r="B190" i="1"/>
  <c r="B48" i="1"/>
  <c r="B125" i="1"/>
  <c r="B284" i="1"/>
  <c r="B181" i="1"/>
  <c r="B428" i="1"/>
  <c r="B20" i="1"/>
  <c r="B72" i="1"/>
  <c r="B423" i="1"/>
  <c r="B332" i="1"/>
  <c r="B326" i="1"/>
  <c r="B99" i="1"/>
  <c r="B292" i="1"/>
  <c r="B110" i="1"/>
  <c r="B556" i="1"/>
  <c r="B81" i="1"/>
  <c r="B483" i="1"/>
  <c r="B143" i="1"/>
  <c r="B161" i="1"/>
  <c r="B30" i="1"/>
  <c r="B301" i="1"/>
  <c r="B244" i="1"/>
  <c r="B303" i="1"/>
  <c r="B146" i="1"/>
  <c r="B468" i="1"/>
  <c r="B3" i="1"/>
  <c r="B299" i="1"/>
  <c r="B359" i="1"/>
  <c r="B272" i="1"/>
  <c r="B97" i="1"/>
  <c r="B233" i="1"/>
  <c r="B106" i="1"/>
  <c r="B100" i="1"/>
  <c r="B375" i="1"/>
  <c r="B43" i="1"/>
  <c r="B249" i="1"/>
  <c r="B274" i="1"/>
  <c r="B297" i="1"/>
  <c r="B105" i="1"/>
  <c r="B413" i="1"/>
  <c r="B281" i="1"/>
  <c r="B506" i="1"/>
  <c r="B491" i="1"/>
  <c r="B265" i="1"/>
  <c r="B436" i="1"/>
  <c r="B82" i="1"/>
  <c r="B514" i="1"/>
  <c r="B357" i="1"/>
  <c r="B458" i="1"/>
  <c r="B293" i="1"/>
  <c r="B35" i="1"/>
  <c r="B47" i="1"/>
  <c r="B112" i="1"/>
  <c r="B559" i="1"/>
  <c r="B154" i="1"/>
  <c r="B426" i="1"/>
  <c r="B87" i="1"/>
  <c r="B201" i="1"/>
  <c r="B49" i="1"/>
  <c r="B159" i="1"/>
  <c r="B522" i="1"/>
  <c r="B152" i="1"/>
  <c r="B78" i="1"/>
  <c r="B73" i="1"/>
  <c r="B555" i="1"/>
  <c r="B231" i="1"/>
  <c r="B336" i="1"/>
  <c r="B401" i="1"/>
  <c r="B31" i="1"/>
  <c r="B182" i="1"/>
  <c r="B273" i="1"/>
  <c r="B529" i="1"/>
  <c r="B324" i="1"/>
  <c r="B430" i="1"/>
  <c r="B557" i="1"/>
  <c r="B469" i="1"/>
  <c r="B40" i="1"/>
  <c r="B175" i="1"/>
  <c r="B226" i="1"/>
  <c r="B4" i="1"/>
  <c r="B337" i="1"/>
  <c r="B119" i="1"/>
  <c r="B211" i="1"/>
  <c r="B275" i="1"/>
  <c r="B320" i="1"/>
  <c r="B134" i="1"/>
  <c r="B374" i="1"/>
  <c r="B228" i="1"/>
  <c r="B24" i="1"/>
  <c r="B286" i="1"/>
  <c r="B477" i="1"/>
  <c r="B444" i="1"/>
  <c r="B339" i="1"/>
  <c r="B165" i="1"/>
  <c r="B42" i="1"/>
  <c r="B329" i="1"/>
  <c r="B365" i="1"/>
  <c r="B192" i="1"/>
  <c r="B279" i="1"/>
  <c r="B207" i="1"/>
  <c r="B438" i="1"/>
  <c r="B478" i="1"/>
  <c r="B246" i="1"/>
  <c r="B45" i="1"/>
  <c r="B11" i="1"/>
  <c r="B448" i="1"/>
  <c r="B108" i="1"/>
  <c r="B271" i="1"/>
  <c r="B102" i="1"/>
  <c r="B453" i="1"/>
  <c r="B168" i="1"/>
  <c r="B122" i="1"/>
  <c r="B243" i="1"/>
  <c r="B223" i="1"/>
  <c r="B222" i="1"/>
  <c r="B285" i="1"/>
  <c r="B264" i="1"/>
  <c r="B388" i="1"/>
  <c r="B290" i="1"/>
  <c r="B395" i="1"/>
  <c r="B34" i="1"/>
  <c r="B33" i="1"/>
  <c r="B234" i="1"/>
  <c r="B447" i="1"/>
  <c r="B348" i="1"/>
  <c r="B75" i="1"/>
  <c r="B418" i="1"/>
  <c r="B473" i="1"/>
  <c r="B524" i="1"/>
  <c r="B206" i="1"/>
  <c r="B412" i="1"/>
  <c r="B21" i="1"/>
  <c r="B55" i="1"/>
  <c r="B489" i="1"/>
  <c r="B53" i="1"/>
  <c r="B541" i="1"/>
  <c r="B521" i="1"/>
  <c r="B61" i="1"/>
  <c r="B378" i="1"/>
  <c r="B455" i="1"/>
  <c r="B252" i="1"/>
  <c r="B140" i="1"/>
  <c r="B399" i="1"/>
  <c r="B367" i="1"/>
  <c r="B170" i="1"/>
  <c r="B497" i="1"/>
  <c r="B214" i="1"/>
  <c r="B484" i="1"/>
  <c r="B501" i="1"/>
  <c r="B287" i="1"/>
  <c r="B495" i="1"/>
  <c r="B493" i="1"/>
  <c r="B136" i="1"/>
  <c r="B305" i="1"/>
  <c r="B155" i="1"/>
  <c r="B503" i="1"/>
  <c r="B198" i="1"/>
  <c r="B114" i="1"/>
  <c r="B322" i="1"/>
  <c r="B356" i="1"/>
  <c r="B247" i="1"/>
  <c r="B37" i="1"/>
  <c r="B173" i="1"/>
  <c r="B14" i="1"/>
  <c r="B439" i="1"/>
  <c r="B382" i="1"/>
  <c r="B36" i="1"/>
  <c r="B77" i="1"/>
  <c r="B296" i="1"/>
  <c r="B327" i="1"/>
  <c r="B330" i="1"/>
  <c r="B445" i="1"/>
  <c r="B349" i="1"/>
  <c r="B217" i="1"/>
  <c r="B187" i="1"/>
  <c r="B266" i="1"/>
  <c r="B561" i="1"/>
  <c r="B539" i="1"/>
  <c r="B463" i="1"/>
  <c r="B547" i="1"/>
  <c r="B343" i="1"/>
  <c r="B523" i="1"/>
  <c r="B57" i="1"/>
  <c r="B60" i="1"/>
  <c r="B26" i="1"/>
  <c r="B91" i="1"/>
  <c r="B18" i="1"/>
  <c r="B32" i="1"/>
  <c r="B15" i="1"/>
  <c r="B145" i="1"/>
  <c r="B96" i="1"/>
  <c r="B95" i="1"/>
  <c r="B52" i="1"/>
  <c r="B536" i="1"/>
  <c r="B255" i="1"/>
  <c r="B481" i="1"/>
  <c r="B460" i="1"/>
  <c r="B304" i="1"/>
  <c r="B261" i="1"/>
  <c r="B158" i="1"/>
  <c r="B28" i="1"/>
  <c r="B509" i="1"/>
  <c r="B537" i="1"/>
  <c r="B404" i="1"/>
  <c r="B115" i="1"/>
  <c r="B389" i="1"/>
  <c r="B113" i="1"/>
  <c r="B204" i="1"/>
  <c r="B345" i="1"/>
  <c r="B318" i="1"/>
  <c r="B17" i="1"/>
  <c r="B213" i="1"/>
  <c r="B163" i="1"/>
  <c r="B362" i="1"/>
  <c r="B494" i="1"/>
  <c r="B263" i="1"/>
  <c r="B309" i="1"/>
  <c r="B535" i="1"/>
  <c r="B124" i="1"/>
  <c r="B174" i="1"/>
  <c r="B513" i="1"/>
  <c r="B398" i="1"/>
  <c r="B268" i="1"/>
  <c r="B63" i="1"/>
  <c r="B377" i="1"/>
  <c r="B38" i="1"/>
  <c r="B256" i="1"/>
  <c r="B507" i="1"/>
  <c r="B189" i="1"/>
  <c r="B41" i="1"/>
  <c r="B220" i="1"/>
  <c r="B221" i="1"/>
  <c r="B411" i="1"/>
  <c r="B183" i="1"/>
  <c r="B278" i="1"/>
  <c r="B334" i="1"/>
  <c r="B496" i="1"/>
  <c r="B160" i="1"/>
  <c r="B381" i="1"/>
  <c r="B551" i="1"/>
  <c r="B383" i="1"/>
  <c r="B360" i="1"/>
  <c r="B176" i="1"/>
  <c r="B126" i="1"/>
  <c r="B209" i="1"/>
  <c r="B109" i="1"/>
  <c r="B56" i="1"/>
  <c r="B215" i="1"/>
  <c r="B308" i="1"/>
  <c r="B76" i="1"/>
  <c r="B490" i="1"/>
  <c r="B131" i="1"/>
  <c r="B25" i="1"/>
  <c r="B92" i="1"/>
  <c r="B373" i="1"/>
  <c r="B351" i="1"/>
  <c r="B385" i="1"/>
  <c r="B415" i="1"/>
  <c r="B29" i="1"/>
  <c r="B6" i="1"/>
  <c r="B199" i="1"/>
  <c r="B171" i="1"/>
  <c r="B74" i="1"/>
  <c r="B472" i="1"/>
  <c r="B54" i="1"/>
  <c r="B511" i="1"/>
  <c r="B335" i="1"/>
  <c r="B200" i="1"/>
  <c r="B328" i="1"/>
  <c r="B240" i="1"/>
  <c r="B127" i="1"/>
  <c r="B417" i="1"/>
  <c r="B120" i="1"/>
  <c r="B446" i="1"/>
  <c r="B141" i="1"/>
  <c r="B132" i="1"/>
  <c r="B59" i="1"/>
  <c r="B467" i="1"/>
  <c r="B179" i="1"/>
  <c r="B202" i="1"/>
  <c r="B148" i="1"/>
  <c r="B533" i="1"/>
  <c r="B177" i="1"/>
  <c r="B386" i="1"/>
  <c r="B208" i="1"/>
  <c r="B550" i="1"/>
  <c r="B341" i="1"/>
  <c r="B16" i="1"/>
  <c r="B65" i="1"/>
  <c r="B116" i="1"/>
  <c r="B307" i="1"/>
  <c r="B262" i="1"/>
  <c r="B94" i="1"/>
  <c r="B311" i="1"/>
  <c r="B195" i="1"/>
  <c r="B338" i="1"/>
  <c r="B69" i="1"/>
  <c r="B137" i="1"/>
  <c r="B251" i="1"/>
  <c r="B133" i="1"/>
  <c r="B325" i="1"/>
  <c r="B219" i="1"/>
  <c r="B342" i="1"/>
  <c r="B50" i="1"/>
  <c r="B466" i="1"/>
  <c r="B197" i="1"/>
  <c r="B370" i="1"/>
  <c r="B354" i="1"/>
  <c r="B67" i="1"/>
  <c r="B129" i="1"/>
  <c r="B242" i="1"/>
  <c r="B51" i="1"/>
  <c r="B403" i="1"/>
  <c r="B162" i="1"/>
  <c r="B340" i="1"/>
  <c r="B441" i="1"/>
  <c r="B191" i="1"/>
  <c r="B2" i="1"/>
  <c r="B166" i="1"/>
  <c r="B83" i="1"/>
  <c r="B123" i="1"/>
  <c r="B363" i="1"/>
  <c r="B538" i="1"/>
  <c r="B560" i="1"/>
  <c r="B149" i="1"/>
  <c r="B353" i="1"/>
  <c r="B518" i="1"/>
  <c r="B407" i="1"/>
  <c r="B121" i="1"/>
  <c r="B46" i="1"/>
  <c r="B157" i="1"/>
  <c r="B277" i="1"/>
  <c r="B135" i="1"/>
  <c r="B224" i="1"/>
  <c r="B486" i="1"/>
  <c r="B515" i="1"/>
  <c r="B405" i="1"/>
  <c r="B380" i="1"/>
  <c r="B237" i="1"/>
  <c r="B390" i="1"/>
  <c r="B84" i="1"/>
  <c r="B452" i="1"/>
  <c r="B150" i="1"/>
  <c r="B397" i="1"/>
  <c r="B333" i="1"/>
  <c r="B543" i="1"/>
  <c r="B361" i="1"/>
  <c r="B235" i="1"/>
  <c r="B22" i="1"/>
  <c r="B434" i="1"/>
  <c r="B548" i="1"/>
  <c r="B364" i="1"/>
  <c r="B68" i="1"/>
  <c r="B216" i="1"/>
  <c r="B294" i="1"/>
  <c r="B372" i="1"/>
  <c r="B346" i="1"/>
  <c r="B315" i="1"/>
  <c r="B180" i="1"/>
  <c r="B230" i="1"/>
  <c r="B13" i="1"/>
  <c r="B210" i="1"/>
  <c r="B433" i="1"/>
  <c r="B504" i="1"/>
  <c r="B358" i="1"/>
  <c r="B23" i="1"/>
  <c r="B229" i="1"/>
  <c r="B470" i="1"/>
  <c r="B269" i="1"/>
  <c r="B393" i="1"/>
  <c r="B288" i="1"/>
  <c r="B369" i="1"/>
  <c r="B306" i="1"/>
  <c r="B502" i="1"/>
  <c r="B128" i="1"/>
  <c r="B44" i="1"/>
  <c r="B554" i="1"/>
  <c r="B138" i="1"/>
  <c r="B545" i="1"/>
  <c r="B508" i="1"/>
  <c r="B257" i="1"/>
  <c r="B86" i="1"/>
  <c r="B396" i="1"/>
  <c r="B9" i="1"/>
  <c r="B89" i="1"/>
  <c r="B193" i="1"/>
  <c r="B416" i="1"/>
  <c r="B414" i="1"/>
  <c r="B519" i="1"/>
  <c r="B164" i="1"/>
  <c r="B534" i="1"/>
  <c r="B459" i="1"/>
  <c r="B196" i="1"/>
  <c r="B482" i="1"/>
  <c r="B471" i="1"/>
  <c r="B379" i="1"/>
  <c r="B80" i="1"/>
  <c r="B258" i="1"/>
  <c r="B443" i="1"/>
  <c r="B391" i="1"/>
  <c r="B387" i="1"/>
  <c r="B70" i="1"/>
  <c r="B505" i="1"/>
  <c r="B118" i="1"/>
  <c r="B212" i="1"/>
  <c r="B488" i="1"/>
  <c r="B289" i="1"/>
  <c r="B510" i="1"/>
  <c r="B90" i="1"/>
  <c r="B310" i="1"/>
  <c r="B188" i="1"/>
  <c r="B144" i="1"/>
  <c r="B427" i="1"/>
  <c r="B331" i="1"/>
  <c r="B526" i="1"/>
  <c r="B267" i="1"/>
  <c r="B462" i="1"/>
  <c r="B227" i="1"/>
  <c r="B117" i="1"/>
  <c r="B259" i="1"/>
  <c r="B500" i="1"/>
  <c r="B111" i="1"/>
  <c r="B248" i="1"/>
  <c r="B295" i="1"/>
  <c r="B431" i="1"/>
  <c r="B276" i="1"/>
  <c r="B103" i="1"/>
  <c r="B530" i="1"/>
  <c r="B298" i="1"/>
  <c r="B239" i="1"/>
  <c r="B435" i="1"/>
  <c r="B7" i="1"/>
  <c r="B408" i="1"/>
  <c r="B254" i="1"/>
  <c r="B66" i="1"/>
  <c r="B344" i="1"/>
  <c r="B323" i="1"/>
  <c r="B480" i="1"/>
  <c r="B432" i="1"/>
  <c r="B147" i="1"/>
  <c r="B451" i="1"/>
  <c r="B218" i="1"/>
  <c r="B153" i="1"/>
  <c r="B525" i="1"/>
  <c r="B184" i="1"/>
  <c r="B185" i="1"/>
  <c r="B406" i="1"/>
  <c r="B130" i="1"/>
  <c r="B450" i="1"/>
  <c r="B79" i="1"/>
  <c r="B225" i="1"/>
  <c r="B19" i="1"/>
  <c r="B104" i="1"/>
  <c r="B245" i="1"/>
  <c r="B549" i="1"/>
  <c r="B352" i="1"/>
  <c r="B474" i="1"/>
  <c r="B85" i="1"/>
  <c r="B553" i="1"/>
  <c r="B429" i="1"/>
  <c r="B376" i="1"/>
  <c r="B476" i="1"/>
  <c r="B205" i="1"/>
  <c r="B440" i="1"/>
  <c r="B314" i="1"/>
  <c r="B456" i="1"/>
  <c r="B172" i="1"/>
  <c r="B58" i="1"/>
  <c r="B479" i="1"/>
  <c r="B424" i="1"/>
  <c r="C542" i="1" l="1"/>
  <c r="X542" i="1" s="1"/>
  <c r="A542" i="1"/>
  <c r="C187" i="1"/>
  <c r="X187" i="1" s="1"/>
  <c r="A187" i="1"/>
  <c r="K132" i="1" a="1"/>
  <c r="K132" i="1" s="1"/>
  <c r="H132" i="1"/>
  <c r="N132" i="1" a="1"/>
  <c r="N132" i="1" s="1"/>
  <c r="H411" i="1"/>
  <c r="K411" i="1" a="1"/>
  <c r="K411" i="1" s="1"/>
  <c r="N411" i="1" a="1"/>
  <c r="N411" i="1" s="1"/>
  <c r="N398" i="1" a="1"/>
  <c r="N398" i="1" s="1"/>
  <c r="K398" i="1" a="1"/>
  <c r="K398" i="1" s="1"/>
  <c r="G398" i="1" s="1"/>
  <c r="H398" i="1"/>
  <c r="H415" i="1"/>
  <c r="N415" i="1" a="1"/>
  <c r="N415" i="1" s="1"/>
  <c r="K415" i="1" a="1"/>
  <c r="K415" i="1" s="1"/>
  <c r="G415" i="1" s="1"/>
  <c r="H368" i="1"/>
  <c r="N368" i="1" a="1"/>
  <c r="N368" i="1" s="1"/>
  <c r="K368" i="1" a="1"/>
  <c r="K368" i="1" s="1"/>
  <c r="H265" i="1"/>
  <c r="N265" i="1" a="1"/>
  <c r="N265" i="1" s="1"/>
  <c r="K265" i="1" a="1"/>
  <c r="K265" i="1" s="1"/>
  <c r="G265" i="1" s="1"/>
  <c r="A109" i="1"/>
  <c r="C109" i="1"/>
  <c r="X109" i="1" s="1"/>
  <c r="C96" i="1"/>
  <c r="X96" i="1" s="1"/>
  <c r="A96" i="1"/>
  <c r="C84" i="1"/>
  <c r="X84" i="1" s="1"/>
  <c r="A84" i="1"/>
  <c r="C86" i="1"/>
  <c r="X86" i="1" s="1"/>
  <c r="A86" i="1"/>
  <c r="A538" i="1"/>
  <c r="C538" i="1"/>
  <c r="X538" i="1" s="1"/>
  <c r="C394" i="1"/>
  <c r="X394" i="1" s="1"/>
  <c r="A394" i="1"/>
  <c r="H80" i="1"/>
  <c r="N80" i="1" a="1"/>
  <c r="N80" i="1" s="1"/>
  <c r="K80" i="1" a="1"/>
  <c r="K80" i="1" s="1"/>
  <c r="K278" i="1" a="1"/>
  <c r="K278" i="1" s="1"/>
  <c r="H278" i="1"/>
  <c r="N278" i="1" a="1"/>
  <c r="N278" i="1" s="1"/>
  <c r="C341" i="1"/>
  <c r="X341" i="1" s="1"/>
  <c r="A341" i="1"/>
  <c r="C266" i="1"/>
  <c r="X266" i="1" s="1"/>
  <c r="A266" i="1"/>
  <c r="K137" i="1" a="1"/>
  <c r="K137" i="1" s="1"/>
  <c r="H137" i="1"/>
  <c r="N137" i="1" a="1"/>
  <c r="N137" i="1" s="1"/>
  <c r="K202" i="1" a="1"/>
  <c r="K202" i="1" s="1"/>
  <c r="G202" i="1" s="1"/>
  <c r="H202" i="1"/>
  <c r="N202" i="1" a="1"/>
  <c r="N202" i="1" s="1"/>
  <c r="A436" i="1"/>
  <c r="C436" i="1"/>
  <c r="X436" i="1" s="1"/>
  <c r="H139" i="1"/>
  <c r="N139" i="1" a="1"/>
  <c r="N139" i="1" s="1"/>
  <c r="K139" i="1" a="1"/>
  <c r="K139" i="1" s="1"/>
  <c r="K441" i="1" a="1"/>
  <c r="K441" i="1" s="1"/>
  <c r="G441" i="1" s="1"/>
  <c r="H441" i="1"/>
  <c r="N441" i="1" a="1"/>
  <c r="N441" i="1" s="1"/>
  <c r="C422" i="1"/>
  <c r="X422" i="1" s="1"/>
  <c r="A422" i="1"/>
  <c r="C477" i="1"/>
  <c r="X477" i="1" s="1"/>
  <c r="A477" i="1"/>
  <c r="A335" i="1"/>
  <c r="C335" i="1"/>
  <c r="X335" i="1" s="1"/>
  <c r="N550" i="1" a="1"/>
  <c r="N550" i="1" s="1"/>
  <c r="K550" i="1" a="1"/>
  <c r="K550" i="1" s="1"/>
  <c r="G550" i="1" s="1"/>
  <c r="C36" i="1"/>
  <c r="X36" i="1" s="1"/>
  <c r="A36" i="1"/>
  <c r="C298" i="1"/>
  <c r="X298" i="1" s="1"/>
  <c r="A298" i="1"/>
  <c r="A349" i="1"/>
  <c r="C349" i="1"/>
  <c r="X349" i="1" s="1"/>
  <c r="H395" i="1"/>
  <c r="K395" i="1" a="1"/>
  <c r="K395" i="1" s="1"/>
  <c r="G395" i="1" s="1"/>
  <c r="N395" i="1" a="1"/>
  <c r="N395" i="1" s="1"/>
  <c r="C222" i="1"/>
  <c r="X222" i="1" s="1"/>
  <c r="A222" i="1"/>
  <c r="N208" i="1" a="1"/>
  <c r="N208" i="1" s="1"/>
  <c r="K208" i="1" a="1"/>
  <c r="K208" i="1" s="1"/>
  <c r="G208" i="1" s="1"/>
  <c r="C56" i="1"/>
  <c r="X56" i="1" s="1"/>
  <c r="A56" i="1"/>
  <c r="C403" i="1"/>
  <c r="X403" i="1" s="1"/>
  <c r="A403" i="1"/>
  <c r="N86" i="1" a="1"/>
  <c r="N86" i="1" s="1"/>
  <c r="K86" i="1" a="1"/>
  <c r="K86" i="1" s="1"/>
  <c r="G86" i="1" s="1"/>
  <c r="N537" i="1" a="1"/>
  <c r="N537" i="1" s="1"/>
  <c r="K537" i="1" a="1"/>
  <c r="K537" i="1" s="1"/>
  <c r="G537" i="1" s="1"/>
  <c r="H537" i="1"/>
  <c r="K298" i="1" a="1"/>
  <c r="K298" i="1" s="1"/>
  <c r="H298" i="1"/>
  <c r="N298" i="1" a="1"/>
  <c r="N298" i="1" s="1"/>
  <c r="C2" i="1"/>
  <c r="X2" i="1" s="1"/>
  <c r="A2" i="1"/>
  <c r="K253" i="1" a="1"/>
  <c r="K253" i="1" s="1"/>
  <c r="G253" i="1" s="1"/>
  <c r="H253" i="1"/>
  <c r="N253" i="1" a="1"/>
  <c r="N253" i="1" s="1"/>
  <c r="K154" i="1" a="1"/>
  <c r="K154" i="1" s="1"/>
  <c r="H154" i="1"/>
  <c r="N154" i="1" a="1"/>
  <c r="N154" i="1" s="1"/>
  <c r="K399" i="1" a="1"/>
  <c r="K399" i="1" s="1"/>
  <c r="N399" i="1" a="1"/>
  <c r="N399" i="1" s="1"/>
  <c r="H399" i="1"/>
  <c r="N195" i="1" a="1"/>
  <c r="N195" i="1" s="1"/>
  <c r="K195" i="1" a="1"/>
  <c r="K195" i="1" s="1"/>
  <c r="G195" i="1" s="1"/>
  <c r="H195" i="1"/>
  <c r="C354" i="1"/>
  <c r="X354" i="1" s="1"/>
  <c r="A354" i="1"/>
  <c r="C277" i="1"/>
  <c r="X277" i="1" s="1"/>
  <c r="A277" i="1"/>
  <c r="C410" i="1"/>
  <c r="X410" i="1" s="1"/>
  <c r="A410" i="1"/>
  <c r="C85" i="1"/>
  <c r="X85" i="1" s="1"/>
  <c r="A85" i="1"/>
  <c r="C20" i="1"/>
  <c r="X20" i="1" s="1"/>
  <c r="A20" i="1"/>
  <c r="A230" i="1"/>
  <c r="C230" i="1"/>
  <c r="X230" i="1" s="1"/>
  <c r="K20" i="1" a="1"/>
  <c r="K20" i="1" s="1"/>
  <c r="H20" i="1"/>
  <c r="N20" i="1" a="1"/>
  <c r="N20" i="1" s="1"/>
  <c r="N219" i="1" a="1"/>
  <c r="N219" i="1" s="1"/>
  <c r="K219" i="1" a="1"/>
  <c r="K219" i="1" s="1"/>
  <c r="H219" i="1"/>
  <c r="N419" i="1" a="1"/>
  <c r="N419" i="1" s="1"/>
  <c r="K419" i="1" a="1"/>
  <c r="K419" i="1" s="1"/>
  <c r="G419" i="1" s="1"/>
  <c r="H529" i="1"/>
  <c r="N529" i="1" a="1"/>
  <c r="N529" i="1" s="1"/>
  <c r="K529" i="1" a="1"/>
  <c r="K529" i="1" s="1"/>
  <c r="C13" i="1"/>
  <c r="X13" i="1" s="1"/>
  <c r="A13" i="1"/>
  <c r="K118" i="1" a="1"/>
  <c r="K118" i="1" s="1"/>
  <c r="G118" i="1" s="1"/>
  <c r="H118" i="1"/>
  <c r="N118" i="1" a="1"/>
  <c r="N118" i="1" s="1"/>
  <c r="C556" i="1"/>
  <c r="X556" i="1" s="1"/>
  <c r="A556" i="1"/>
  <c r="N273" i="1" a="1"/>
  <c r="N273" i="1" s="1"/>
  <c r="K273" i="1" a="1"/>
  <c r="K273" i="1" s="1"/>
  <c r="G273" i="1" s="1"/>
  <c r="N374" i="1" a="1"/>
  <c r="N374" i="1" s="1"/>
  <c r="K374" i="1" a="1"/>
  <c r="K374" i="1" s="1"/>
  <c r="G374" i="1" s="1"/>
  <c r="N437" i="1" a="1"/>
  <c r="N437" i="1" s="1"/>
  <c r="K437" i="1" a="1"/>
  <c r="K437" i="1" s="1"/>
  <c r="H437" i="1"/>
  <c r="C43" i="1"/>
  <c r="X43" i="1" s="1"/>
  <c r="A43" i="1"/>
  <c r="K520" i="1" a="1"/>
  <c r="K520" i="1" s="1"/>
  <c r="G520" i="1" s="1"/>
  <c r="N520" i="1" a="1"/>
  <c r="N520" i="1" s="1"/>
  <c r="H520" i="1"/>
  <c r="K400" i="1" a="1"/>
  <c r="K400" i="1" s="1"/>
  <c r="H400" i="1"/>
  <c r="N400" i="1" a="1"/>
  <c r="N400" i="1" s="1"/>
  <c r="N252" i="1" a="1"/>
  <c r="N252" i="1" s="1"/>
  <c r="K252" i="1" a="1"/>
  <c r="K252" i="1" s="1"/>
  <c r="H252" i="1"/>
  <c r="H319" i="1"/>
  <c r="N319" i="1" a="1"/>
  <c r="N319" i="1" s="1"/>
  <c r="K319" i="1" a="1"/>
  <c r="K319" i="1" s="1"/>
  <c r="K172" i="1" a="1"/>
  <c r="K172" i="1" s="1"/>
  <c r="G172" i="1" s="1"/>
  <c r="H172" i="1"/>
  <c r="N172" i="1" a="1"/>
  <c r="N172" i="1" s="1"/>
  <c r="C195" i="1"/>
  <c r="X195" i="1" s="1"/>
  <c r="A195" i="1"/>
  <c r="A453" i="1"/>
  <c r="C453" i="1"/>
  <c r="X453" i="1" s="1"/>
  <c r="N317" i="1" a="1"/>
  <c r="N317" i="1" s="1"/>
  <c r="K317" i="1" a="1"/>
  <c r="K317" i="1" s="1"/>
  <c r="G317" i="1" s="1"/>
  <c r="C386" i="1"/>
  <c r="X386" i="1" s="1"/>
  <c r="A386" i="1"/>
  <c r="A382" i="1"/>
  <c r="C382" i="1"/>
  <c r="X382" i="1" s="1"/>
  <c r="C473" i="1"/>
  <c r="X473" i="1" s="1"/>
  <c r="A473" i="1"/>
  <c r="K150" i="1" a="1"/>
  <c r="K150" i="1" s="1"/>
  <c r="H150" i="1"/>
  <c r="N150" i="1" a="1"/>
  <c r="N150" i="1" s="1"/>
  <c r="C177" i="1"/>
  <c r="X177" i="1" s="1"/>
  <c r="A177" i="1"/>
  <c r="H204" i="1"/>
  <c r="N204" i="1" a="1"/>
  <c r="N204" i="1" s="1"/>
  <c r="K204" i="1" a="1"/>
  <c r="K204" i="1" s="1"/>
  <c r="G204" i="1" s="1"/>
  <c r="A288" i="1"/>
  <c r="C288" i="1"/>
  <c r="X288" i="1" s="1"/>
  <c r="C498" i="1"/>
  <c r="X498" i="1" s="1"/>
  <c r="A498" i="1"/>
  <c r="K170" i="1" a="1"/>
  <c r="K170" i="1" s="1"/>
  <c r="G170" i="1" s="1"/>
  <c r="H170" i="1"/>
  <c r="N170" i="1" a="1"/>
  <c r="N170" i="1" s="1"/>
  <c r="N390" i="1" a="1"/>
  <c r="N390" i="1" s="1"/>
  <c r="K390" i="1" a="1"/>
  <c r="K390" i="1" s="1"/>
  <c r="G390" i="1" s="1"/>
  <c r="C69" i="1"/>
  <c r="X69" i="1" s="1"/>
  <c r="A69" i="1"/>
  <c r="H292" i="1"/>
  <c r="N292" i="1" a="1"/>
  <c r="N292" i="1" s="1"/>
  <c r="K292" i="1" a="1"/>
  <c r="K292" i="1" s="1"/>
  <c r="G292" i="1" s="1"/>
  <c r="C336" i="1"/>
  <c r="X336" i="1" s="1"/>
  <c r="A336" i="1"/>
  <c r="C290" i="1"/>
  <c r="X290" i="1" s="1"/>
  <c r="A290" i="1"/>
  <c r="C297" i="1"/>
  <c r="X297" i="1" s="1"/>
  <c r="A297" i="1"/>
  <c r="K126" i="1" a="1"/>
  <c r="K126" i="1" s="1"/>
  <c r="G126" i="1" s="1"/>
  <c r="H126" i="1"/>
  <c r="N126" i="1" a="1"/>
  <c r="N126" i="1" s="1"/>
  <c r="C214" i="1"/>
  <c r="X214" i="1" s="1"/>
  <c r="A214" i="1"/>
  <c r="H497" i="1"/>
  <c r="K497" i="1" a="1"/>
  <c r="K497" i="1" s="1"/>
  <c r="G497" i="1" s="1"/>
  <c r="N497" i="1" a="1"/>
  <c r="N497" i="1" s="1"/>
  <c r="N177" i="1" a="1"/>
  <c r="N177" i="1" s="1"/>
  <c r="K177" i="1" a="1"/>
  <c r="K177" i="1" s="1"/>
  <c r="G177" i="1" s="1"/>
  <c r="N3" i="1" a="1"/>
  <c r="N3" i="1" s="1"/>
  <c r="K3" i="1" a="1"/>
  <c r="K3" i="1" s="1"/>
  <c r="G3" i="1" s="1"/>
  <c r="C323" i="1"/>
  <c r="X323" i="1" s="1"/>
  <c r="A323" i="1"/>
  <c r="N93" i="1" a="1"/>
  <c r="N93" i="1" s="1"/>
  <c r="K93" i="1" a="1"/>
  <c r="K93" i="1" s="1"/>
  <c r="G93" i="1" s="1"/>
  <c r="H93" i="1"/>
  <c r="C27" i="1"/>
  <c r="X27" i="1" s="1"/>
  <c r="A27" i="1"/>
  <c r="A104" i="1"/>
  <c r="C104" i="1"/>
  <c r="X104" i="1" s="1"/>
  <c r="A375" i="1"/>
  <c r="C375" i="1"/>
  <c r="X375" i="1" s="1"/>
  <c r="H55" i="1"/>
  <c r="N55" i="1" a="1"/>
  <c r="N55" i="1" s="1"/>
  <c r="K55" i="1" a="1"/>
  <c r="K55" i="1" s="1"/>
  <c r="C147" i="1"/>
  <c r="X147" i="1" s="1"/>
  <c r="A147" i="1"/>
  <c r="C4" i="1"/>
  <c r="X4" i="1" s="1"/>
  <c r="A4" i="1"/>
  <c r="A412" i="1"/>
  <c r="C412" i="1"/>
  <c r="X412" i="1" s="1"/>
  <c r="A24" i="1"/>
  <c r="C24" i="1"/>
  <c r="X24" i="1" s="1"/>
  <c r="N205" i="1" a="1"/>
  <c r="N205" i="1" s="1"/>
  <c r="K205" i="1" a="1"/>
  <c r="K205" i="1" s="1"/>
  <c r="H205" i="1"/>
  <c r="A554" i="1"/>
  <c r="C554" i="1"/>
  <c r="X554" i="1" s="1"/>
  <c r="C243" i="1"/>
  <c r="X243" i="1" s="1"/>
  <c r="A243" i="1"/>
  <c r="C176" i="1"/>
  <c r="X176" i="1" s="1"/>
  <c r="A176" i="1"/>
  <c r="A526" i="1"/>
  <c r="C526" i="1"/>
  <c r="X526" i="1" s="1"/>
  <c r="K490" i="1" a="1"/>
  <c r="K490" i="1" s="1"/>
  <c r="G490" i="1" s="1"/>
  <c r="N490" i="1" a="1"/>
  <c r="N490" i="1" s="1"/>
  <c r="H490" i="1"/>
  <c r="C370" i="1"/>
  <c r="X370" i="1" s="1"/>
  <c r="A370" i="1"/>
  <c r="N106" i="1" a="1"/>
  <c r="N106" i="1" s="1"/>
  <c r="K106" i="1" a="1"/>
  <c r="K106" i="1" s="1"/>
  <c r="G106" i="1" s="1"/>
  <c r="K519" i="1" a="1"/>
  <c r="K519" i="1" s="1"/>
  <c r="H519" i="1"/>
  <c r="N519" i="1" a="1"/>
  <c r="N519" i="1" s="1"/>
  <c r="K207" i="1" a="1"/>
  <c r="K207" i="1" s="1"/>
  <c r="G207" i="1" s="1"/>
  <c r="H207" i="1"/>
  <c r="N207" i="1" a="1"/>
  <c r="N207" i="1" s="1"/>
  <c r="C506" i="1"/>
  <c r="X506" i="1" s="1"/>
  <c r="A506" i="1"/>
  <c r="C42" i="1"/>
  <c r="X42" i="1" s="1"/>
  <c r="A42" i="1"/>
  <c r="C283" i="1"/>
  <c r="X283" i="1" s="1"/>
  <c r="A283" i="1"/>
  <c r="C411" i="1"/>
  <c r="X411" i="1" s="1"/>
  <c r="A411" i="1"/>
  <c r="N199" i="1" a="1"/>
  <c r="N199" i="1" s="1"/>
  <c r="K199" i="1" a="1"/>
  <c r="K199" i="1" s="1"/>
  <c r="G199" i="1" s="1"/>
  <c r="H199" i="1"/>
  <c r="C344" i="1"/>
  <c r="X344" i="1" s="1"/>
  <c r="A344" i="1"/>
  <c r="C476" i="1"/>
  <c r="X476" i="1" s="1"/>
  <c r="A476" i="1"/>
  <c r="H127" i="1"/>
  <c r="N127" i="1" a="1"/>
  <c r="N127" i="1" s="1"/>
  <c r="K127" i="1" a="1"/>
  <c r="K127" i="1" s="1"/>
  <c r="G127" i="1" s="1"/>
  <c r="H102" i="1"/>
  <c r="K102" i="1" a="1"/>
  <c r="K102" i="1" s="1"/>
  <c r="G102" i="1" s="1"/>
  <c r="N102" i="1" a="1"/>
  <c r="N102" i="1" s="1"/>
  <c r="C500" i="1"/>
  <c r="X500" i="1" s="1"/>
  <c r="A500" i="1"/>
  <c r="K148" i="1" a="1"/>
  <c r="K148" i="1" s="1"/>
  <c r="G148" i="1" s="1"/>
  <c r="N148" i="1" a="1"/>
  <c r="N148" i="1" s="1"/>
  <c r="C162" i="1"/>
  <c r="X162" i="1" s="1"/>
  <c r="A162" i="1"/>
  <c r="H393" i="1"/>
  <c r="K393" i="1" a="1"/>
  <c r="K393" i="1" s="1"/>
  <c r="N393" i="1" a="1"/>
  <c r="N393" i="1" s="1"/>
  <c r="C479" i="1"/>
  <c r="X479" i="1" s="1"/>
  <c r="A479" i="1"/>
  <c r="C552" i="1"/>
  <c r="X552" i="1" s="1"/>
  <c r="A552" i="1"/>
  <c r="K71" i="1" a="1"/>
  <c r="K71" i="1" s="1"/>
  <c r="H71" i="1"/>
  <c r="N71" i="1" a="1"/>
  <c r="N71" i="1" s="1"/>
  <c r="C238" i="1"/>
  <c r="X238" i="1" s="1"/>
  <c r="A238" i="1"/>
  <c r="C534" i="1"/>
  <c r="X534" i="1" s="1"/>
  <c r="A534" i="1"/>
  <c r="N38" i="1" a="1"/>
  <c r="N38" i="1" s="1"/>
  <c r="K38" i="1" a="1"/>
  <c r="K38" i="1" s="1"/>
  <c r="G38" i="1" s="1"/>
  <c r="K109" i="1" a="1"/>
  <c r="K109" i="1" s="1"/>
  <c r="G109" i="1" s="1"/>
  <c r="H109" i="1"/>
  <c r="N109" i="1" a="1"/>
  <c r="N109" i="1" s="1"/>
  <c r="N85" i="1" a="1"/>
  <c r="N85" i="1" s="1"/>
  <c r="K85" i="1" a="1"/>
  <c r="K85" i="1" s="1"/>
  <c r="G85" i="1" s="1"/>
  <c r="H85" i="1"/>
  <c r="C59" i="1"/>
  <c r="X59" i="1" s="1"/>
  <c r="A59" i="1"/>
  <c r="C319" i="1"/>
  <c r="X319" i="1" s="1"/>
  <c r="A319" i="1"/>
  <c r="K488" i="1" a="1"/>
  <c r="K488" i="1" s="1"/>
  <c r="G488" i="1" s="1"/>
  <c r="H488" i="1"/>
  <c r="N488" i="1" a="1"/>
  <c r="N488" i="1" s="1"/>
  <c r="C447" i="1"/>
  <c r="X447" i="1" s="1"/>
  <c r="A447" i="1"/>
  <c r="C143" i="1"/>
  <c r="X143" i="1" s="1"/>
  <c r="A143" i="1"/>
  <c r="N101" i="1" a="1"/>
  <c r="N101" i="1" s="1"/>
  <c r="K101" i="1" a="1"/>
  <c r="K101" i="1" s="1"/>
  <c r="G101" i="1" s="1"/>
  <c r="H101" i="1"/>
  <c r="K156" i="1" a="1"/>
  <c r="K156" i="1" s="1"/>
  <c r="G156" i="1" s="1"/>
  <c r="N156" i="1" a="1"/>
  <c r="N156" i="1" s="1"/>
  <c r="C15" i="1"/>
  <c r="X15" i="1" s="1"/>
  <c r="A15" i="1"/>
  <c r="C309" i="1"/>
  <c r="X309" i="1" s="1"/>
  <c r="A309" i="1"/>
  <c r="K131" i="1" a="1"/>
  <c r="K131" i="1" s="1"/>
  <c r="G131" i="1" s="1"/>
  <c r="H131" i="1"/>
  <c r="N131" i="1" a="1"/>
  <c r="N131" i="1" s="1"/>
  <c r="N31" i="1" a="1"/>
  <c r="N31" i="1" s="1"/>
  <c r="K31" i="1" a="1"/>
  <c r="K31" i="1" s="1"/>
  <c r="G31" i="1" s="1"/>
  <c r="A365" i="1"/>
  <c r="C365" i="1"/>
  <c r="X365" i="1" s="1"/>
  <c r="K133" i="1" a="1"/>
  <c r="K133" i="1" s="1"/>
  <c r="G133" i="1" s="1"/>
  <c r="H133" i="1"/>
  <c r="N133" i="1" a="1"/>
  <c r="N133" i="1" s="1"/>
  <c r="A116" i="1"/>
  <c r="C116" i="1"/>
  <c r="X116" i="1" s="1"/>
  <c r="A249" i="1"/>
  <c r="C249" i="1"/>
  <c r="X249" i="1" s="1"/>
  <c r="C122" i="1"/>
  <c r="X122" i="1" s="1"/>
  <c r="A122" i="1"/>
  <c r="K332" i="1" a="1"/>
  <c r="K332" i="1" s="1"/>
  <c r="H332" i="1"/>
  <c r="N332" i="1" a="1"/>
  <c r="N332" i="1" s="1"/>
  <c r="H36" i="1"/>
  <c r="N36" i="1" a="1"/>
  <c r="N36" i="1" s="1"/>
  <c r="K36" i="1" a="1"/>
  <c r="K36" i="1" s="1"/>
  <c r="K450" i="1" a="1"/>
  <c r="K450" i="1" s="1"/>
  <c r="H450" i="1"/>
  <c r="N450" i="1" a="1"/>
  <c r="N450" i="1" s="1"/>
  <c r="C33" i="1"/>
  <c r="X33" i="1" s="1"/>
  <c r="A33" i="1"/>
  <c r="A417" i="1"/>
  <c r="C417" i="1"/>
  <c r="X417" i="1" s="1"/>
  <c r="K476" i="1" a="1"/>
  <c r="K476" i="1" s="1"/>
  <c r="G476" i="1" s="1"/>
  <c r="N476" i="1" a="1"/>
  <c r="N476" i="1" s="1"/>
  <c r="H476" i="1"/>
  <c r="N314" i="1" a="1"/>
  <c r="N314" i="1" s="1"/>
  <c r="K314" i="1" a="1"/>
  <c r="K314" i="1" s="1"/>
  <c r="H314" i="1"/>
  <c r="H310" i="1"/>
  <c r="N310" i="1" a="1"/>
  <c r="N310" i="1" s="1"/>
  <c r="K310" i="1" a="1"/>
  <c r="K310" i="1" s="1"/>
  <c r="C14" i="1"/>
  <c r="X14" i="1" s="1"/>
  <c r="A14" i="1"/>
  <c r="N214" i="1" a="1"/>
  <c r="N214" i="1" s="1"/>
  <c r="K214" i="1" a="1"/>
  <c r="K214" i="1" s="1"/>
  <c r="G214" i="1" s="1"/>
  <c r="H214" i="1"/>
  <c r="A398" i="1"/>
  <c r="C398" i="1"/>
  <c r="X398" i="1" s="1"/>
  <c r="K63" i="1" a="1"/>
  <c r="K63" i="1" s="1"/>
  <c r="H63" i="1"/>
  <c r="N63" i="1" a="1"/>
  <c r="N63" i="1" s="1"/>
  <c r="A456" i="1"/>
  <c r="C456" i="1"/>
  <c r="X456" i="1" s="1"/>
  <c r="A281" i="1"/>
  <c r="C281" i="1"/>
  <c r="X281" i="1" s="1"/>
  <c r="C239" i="1"/>
  <c r="X239" i="1" s="1"/>
  <c r="A239" i="1"/>
  <c r="A314" i="1"/>
  <c r="C314" i="1"/>
  <c r="X314" i="1" s="1"/>
  <c r="A488" i="1"/>
  <c r="C488" i="1"/>
  <c r="X488" i="1" s="1"/>
  <c r="A472" i="1"/>
  <c r="C472" i="1"/>
  <c r="X472" i="1" s="1"/>
  <c r="K183" i="1" a="1"/>
  <c r="K183" i="1" s="1"/>
  <c r="G183" i="1" s="1"/>
  <c r="H183" i="1"/>
  <c r="N183" i="1" a="1"/>
  <c r="N183" i="1" s="1"/>
  <c r="H433" i="1"/>
  <c r="K433" i="1" a="1"/>
  <c r="K433" i="1" s="1"/>
  <c r="G433" i="1" s="1"/>
  <c r="N433" i="1" a="1"/>
  <c r="N433" i="1" s="1"/>
  <c r="A73" i="1"/>
  <c r="C73" i="1"/>
  <c r="X73" i="1" s="1"/>
  <c r="A442" i="1"/>
  <c r="C442" i="1"/>
  <c r="X442" i="1" s="1"/>
  <c r="C440" i="1"/>
  <c r="X440" i="1" s="1"/>
  <c r="A440" i="1"/>
  <c r="C443" i="1"/>
  <c r="X443" i="1" s="1"/>
  <c r="A443" i="1"/>
  <c r="C26" i="1"/>
  <c r="X26" i="1" s="1"/>
  <c r="A26" i="1"/>
  <c r="A392" i="1"/>
  <c r="C392" i="1"/>
  <c r="X392" i="1" s="1"/>
  <c r="H515" i="1"/>
  <c r="K515" i="1" a="1"/>
  <c r="K515" i="1" s="1"/>
  <c r="N515" i="1" a="1"/>
  <c r="N515" i="1" s="1"/>
  <c r="N540" i="1" a="1"/>
  <c r="N540" i="1" s="1"/>
  <c r="K540" i="1" a="1"/>
  <c r="K540" i="1" s="1"/>
  <c r="H540" i="1"/>
  <c r="K151" i="1" a="1"/>
  <c r="K151" i="1" s="1"/>
  <c r="G151" i="1" s="1"/>
  <c r="H151" i="1"/>
  <c r="N151" i="1" a="1"/>
  <c r="N151" i="1" s="1"/>
  <c r="A123" i="1"/>
  <c r="C123" i="1"/>
  <c r="X123" i="1" s="1"/>
  <c r="C10" i="1"/>
  <c r="X10" i="1" s="1"/>
  <c r="A10" i="1"/>
  <c r="A541" i="1"/>
  <c r="C541" i="1"/>
  <c r="X541" i="1" s="1"/>
  <c r="K185" i="1" a="1"/>
  <c r="K185" i="1" s="1"/>
  <c r="H185" i="1"/>
  <c r="N185" i="1" a="1"/>
  <c r="N185" i="1" s="1"/>
  <c r="H30" i="1"/>
  <c r="N30" i="1" a="1"/>
  <c r="N30" i="1" s="1"/>
  <c r="K30" i="1" a="1"/>
  <c r="K30" i="1" s="1"/>
  <c r="G30" i="1" s="1"/>
  <c r="A402" i="1"/>
  <c r="C402" i="1"/>
  <c r="X402" i="1" s="1"/>
  <c r="K337" i="1" a="1"/>
  <c r="K337" i="1" s="1"/>
  <c r="G337" i="1" s="1"/>
  <c r="N337" i="1" a="1"/>
  <c r="N337" i="1" s="1"/>
  <c r="H337" i="1"/>
  <c r="A260" i="1"/>
  <c r="C260" i="1"/>
  <c r="X260" i="1" s="1"/>
  <c r="A522" i="1"/>
  <c r="C522" i="1"/>
  <c r="X522" i="1" s="1"/>
  <c r="A51" i="1"/>
  <c r="C51" i="1"/>
  <c r="X51" i="1" s="1"/>
  <c r="H525" i="1"/>
  <c r="K525" i="1" a="1"/>
  <c r="K525" i="1" s="1"/>
  <c r="N525" i="1" a="1"/>
  <c r="N525" i="1" s="1"/>
  <c r="N499" i="1" a="1"/>
  <c r="N499" i="1" s="1"/>
  <c r="K499" i="1" a="1"/>
  <c r="K499" i="1" s="1"/>
  <c r="H499" i="1"/>
  <c r="C206" i="1"/>
  <c r="X206" i="1" s="1"/>
  <c r="A206" i="1"/>
  <c r="C55" i="1"/>
  <c r="X55" i="1" s="1"/>
  <c r="A55" i="1"/>
  <c r="N514" i="1" a="1"/>
  <c r="N514" i="1" s="1"/>
  <c r="H514" i="1"/>
  <c r="K514" i="1" a="1"/>
  <c r="K514" i="1" s="1"/>
  <c r="A76" i="1"/>
  <c r="C76" i="1"/>
  <c r="X76" i="1" s="1"/>
  <c r="K279" i="1" a="1"/>
  <c r="K279" i="1" s="1"/>
  <c r="H279" i="1"/>
  <c r="N279" i="1" a="1"/>
  <c r="N279" i="1" s="1"/>
  <c r="C287" i="1"/>
  <c r="X287" i="1" s="1"/>
  <c r="A287" i="1"/>
  <c r="C226" i="1"/>
  <c r="X226" i="1" s="1"/>
  <c r="A226" i="1"/>
  <c r="K457" i="1" a="1"/>
  <c r="K457" i="1" s="1"/>
  <c r="G457" i="1" s="1"/>
  <c r="N457" i="1" a="1"/>
  <c r="N457" i="1" s="1"/>
  <c r="N426" i="1" a="1"/>
  <c r="N426" i="1" s="1"/>
  <c r="K426" i="1" a="1"/>
  <c r="K426" i="1" s="1"/>
  <c r="H426" i="1"/>
  <c r="C191" i="1"/>
  <c r="X191" i="1" s="1"/>
  <c r="A191" i="1"/>
  <c r="C60" i="1"/>
  <c r="X60" i="1" s="1"/>
  <c r="A60" i="1"/>
  <c r="C80" i="1"/>
  <c r="X80" i="1" s="1"/>
  <c r="A80" i="1"/>
  <c r="N311" i="1" a="1"/>
  <c r="N311" i="1" s="1"/>
  <c r="K311" i="1" a="1"/>
  <c r="K311" i="1" s="1"/>
  <c r="H311" i="1"/>
  <c r="C379" i="1"/>
  <c r="X379" i="1" s="1"/>
  <c r="A379" i="1"/>
  <c r="C41" i="1"/>
  <c r="X41" i="1" s="1"/>
  <c r="A41" i="1"/>
  <c r="H52" i="1"/>
  <c r="N52" i="1" a="1"/>
  <c r="N52" i="1" s="1"/>
  <c r="K52" i="1" a="1"/>
  <c r="K52" i="1" s="1"/>
  <c r="G52" i="1" s="1"/>
  <c r="N83" i="1" a="1"/>
  <c r="N83" i="1" s="1"/>
  <c r="K83" i="1" a="1"/>
  <c r="K83" i="1" s="1"/>
  <c r="G83" i="1" s="1"/>
  <c r="K97" i="1" a="1"/>
  <c r="K97" i="1" s="1"/>
  <c r="H97" i="1"/>
  <c r="N97" i="1" a="1"/>
  <c r="N97" i="1" s="1"/>
  <c r="N535" i="1" a="1"/>
  <c r="N535" i="1" s="1"/>
  <c r="K535" i="1" a="1"/>
  <c r="K535" i="1" s="1"/>
  <c r="G535" i="1" s="1"/>
  <c r="C92" i="1"/>
  <c r="X92" i="1" s="1"/>
  <c r="A92" i="1"/>
  <c r="C510" i="1"/>
  <c r="X510" i="1" s="1"/>
  <c r="A510" i="1"/>
  <c r="C5" i="1"/>
  <c r="X5" i="1" s="1"/>
  <c r="A5" i="1"/>
  <c r="H113" i="1"/>
  <c r="N113" i="1" a="1"/>
  <c r="N113" i="1" s="1"/>
  <c r="K113" i="1" a="1"/>
  <c r="K113" i="1" s="1"/>
  <c r="G113" i="1" s="1"/>
  <c r="H447" i="1"/>
  <c r="K447" i="1" a="1"/>
  <c r="K447" i="1" s="1"/>
  <c r="N447" i="1" a="1"/>
  <c r="N447" i="1" s="1"/>
  <c r="A253" i="1"/>
  <c r="C253" i="1"/>
  <c r="X253" i="1" s="1"/>
  <c r="C449" i="1"/>
  <c r="X449" i="1" s="1"/>
  <c r="A449" i="1"/>
  <c r="H346" i="1"/>
  <c r="N346" i="1" a="1"/>
  <c r="N346" i="1" s="1"/>
  <c r="K346" i="1" a="1"/>
  <c r="K346" i="1" s="1"/>
  <c r="C216" i="1"/>
  <c r="X216" i="1" s="1"/>
  <c r="A216" i="1"/>
  <c r="N194" i="1" a="1"/>
  <c r="N194" i="1" s="1"/>
  <c r="K194" i="1" a="1"/>
  <c r="K194" i="1" s="1"/>
  <c r="G194" i="1" s="1"/>
  <c r="K104" i="1" a="1"/>
  <c r="K104" i="1" s="1"/>
  <c r="H104" i="1"/>
  <c r="N104" i="1" a="1"/>
  <c r="N104" i="1" s="1"/>
  <c r="H211" i="1"/>
  <c r="N211" i="1" a="1"/>
  <c r="N211" i="1" s="1"/>
  <c r="K211" i="1" a="1"/>
  <c r="K211" i="1" s="1"/>
  <c r="N463" i="1" a="1"/>
  <c r="N463" i="1" s="1"/>
  <c r="K463" i="1" a="1"/>
  <c r="K463" i="1" s="1"/>
  <c r="H463" i="1"/>
  <c r="C487" i="1"/>
  <c r="X487" i="1" s="1"/>
  <c r="A487" i="1"/>
  <c r="H189" i="1"/>
  <c r="N189" i="1" a="1"/>
  <c r="N189" i="1" s="1"/>
  <c r="K189" i="1" a="1"/>
  <c r="K189" i="1" s="1"/>
  <c r="N442" i="1" a="1"/>
  <c r="N442" i="1" s="1"/>
  <c r="K442" i="1" a="1"/>
  <c r="K442" i="1" s="1"/>
  <c r="G442" i="1" s="1"/>
  <c r="C204" i="1"/>
  <c r="X204" i="1" s="1"/>
  <c r="A204" i="1"/>
  <c r="N502" i="1" a="1"/>
  <c r="N502" i="1" s="1"/>
  <c r="K502" i="1" a="1"/>
  <c r="K502" i="1" s="1"/>
  <c r="G502" i="1" s="1"/>
  <c r="H406" i="1"/>
  <c r="N406" i="1" a="1"/>
  <c r="N406" i="1" s="1"/>
  <c r="K406" i="1" a="1"/>
  <c r="K406" i="1" s="1"/>
  <c r="G406" i="1" s="1"/>
  <c r="K361" i="1" a="1"/>
  <c r="K361" i="1" s="1"/>
  <c r="N361" i="1" a="1"/>
  <c r="N361" i="1" s="1"/>
  <c r="H361" i="1"/>
  <c r="A304" i="1"/>
  <c r="C304" i="1"/>
  <c r="X304" i="1" s="1"/>
  <c r="K523" i="1" a="1"/>
  <c r="K523" i="1" s="1"/>
  <c r="G523" i="1" s="1"/>
  <c r="N523" i="1" a="1"/>
  <c r="N523" i="1" s="1"/>
  <c r="H542" i="1"/>
  <c r="N542" i="1" a="1"/>
  <c r="N542" i="1" s="1"/>
  <c r="K542" i="1" a="1"/>
  <c r="K542" i="1" s="1"/>
  <c r="G542" i="1" s="1"/>
  <c r="N382" i="1" a="1"/>
  <c r="N382" i="1" s="1"/>
  <c r="K382" i="1" a="1"/>
  <c r="K382" i="1" s="1"/>
  <c r="G382" i="1" s="1"/>
  <c r="H382" i="1"/>
  <c r="K469" i="1" a="1"/>
  <c r="K469" i="1" s="1"/>
  <c r="G469" i="1" s="1"/>
  <c r="N469" i="1" a="1"/>
  <c r="N469" i="1" s="1"/>
  <c r="H469" i="1"/>
  <c r="H526" i="1"/>
  <c r="N526" i="1" a="1"/>
  <c r="N526" i="1" s="1"/>
  <c r="K526" i="1" a="1"/>
  <c r="K526" i="1" s="1"/>
  <c r="G526" i="1" s="1"/>
  <c r="K69" i="1" a="1"/>
  <c r="K69" i="1" s="1"/>
  <c r="H69" i="1"/>
  <c r="N69" i="1" a="1"/>
  <c r="N69" i="1" s="1"/>
  <c r="K259" i="1" a="1"/>
  <c r="K259" i="1" s="1"/>
  <c r="G259" i="1" s="1"/>
  <c r="H259" i="1"/>
  <c r="N259" i="1" a="1"/>
  <c r="N259" i="1" s="1"/>
  <c r="C313" i="1"/>
  <c r="X313" i="1" s="1"/>
  <c r="A313" i="1"/>
  <c r="C416" i="1"/>
  <c r="X416" i="1" s="1"/>
  <c r="A416" i="1"/>
  <c r="C446" i="1"/>
  <c r="X446" i="1" s="1"/>
  <c r="A446" i="1"/>
  <c r="K218" i="1" a="1"/>
  <c r="K218" i="1" s="1"/>
  <c r="H218" i="1"/>
  <c r="N218" i="1" a="1"/>
  <c r="N218" i="1" s="1"/>
  <c r="K222" i="1" a="1"/>
  <c r="K222" i="1" s="1"/>
  <c r="N222" i="1" a="1"/>
  <c r="N222" i="1" s="1"/>
  <c r="H222" i="1"/>
  <c r="K552" i="1" a="1"/>
  <c r="K552" i="1" s="1"/>
  <c r="H552" i="1"/>
  <c r="N552" i="1" a="1"/>
  <c r="N552" i="1" s="1"/>
  <c r="C70" i="1"/>
  <c r="X70" i="1" s="1"/>
  <c r="A70" i="1"/>
  <c r="N547" i="1" a="1"/>
  <c r="N547" i="1" s="1"/>
  <c r="K547" i="1" a="1"/>
  <c r="K547" i="1" s="1"/>
  <c r="H547" i="1"/>
  <c r="C78" i="1"/>
  <c r="X78" i="1" s="1"/>
  <c r="A78" i="1"/>
  <c r="H25" i="1"/>
  <c r="N25" i="1" a="1"/>
  <c r="N25" i="1" s="1"/>
  <c r="K25" i="1" a="1"/>
  <c r="K25" i="1" s="1"/>
  <c r="C52" i="1"/>
  <c r="X52" i="1" s="1"/>
  <c r="A52" i="1"/>
  <c r="K402" i="1" a="1"/>
  <c r="K402" i="1" s="1"/>
  <c r="G402" i="1" s="1"/>
  <c r="N402" i="1" a="1"/>
  <c r="N402" i="1" s="1"/>
  <c r="C39" i="1"/>
  <c r="X39" i="1" s="1"/>
  <c r="A39" i="1"/>
  <c r="C49" i="1"/>
  <c r="X49" i="1" s="1"/>
  <c r="A49" i="1"/>
  <c r="A231" i="1"/>
  <c r="C231" i="1"/>
  <c r="X231" i="1" s="1"/>
  <c r="H335" i="1"/>
  <c r="N335" i="1" a="1"/>
  <c r="N335" i="1" s="1"/>
  <c r="K335" i="1" a="1"/>
  <c r="K335" i="1" s="1"/>
  <c r="K70" i="1" a="1"/>
  <c r="K70" i="1" s="1"/>
  <c r="H70" i="1"/>
  <c r="N70" i="1" a="1"/>
  <c r="N70" i="1" s="1"/>
  <c r="K230" i="1" a="1"/>
  <c r="K230" i="1" s="1"/>
  <c r="H230" i="1"/>
  <c r="N230" i="1" a="1"/>
  <c r="N230" i="1" s="1"/>
  <c r="N377" i="1" a="1"/>
  <c r="N377" i="1" s="1"/>
  <c r="H377" i="1"/>
  <c r="K377" i="1" a="1"/>
  <c r="K377" i="1" s="1"/>
  <c r="G377" i="1" s="1"/>
  <c r="A54" i="1"/>
  <c r="C54" i="1"/>
  <c r="X54" i="1" s="1"/>
  <c r="K322" i="1" a="1"/>
  <c r="K322" i="1" s="1"/>
  <c r="G322" i="1" s="1"/>
  <c r="N322" i="1" a="1"/>
  <c r="N322" i="1" s="1"/>
  <c r="C435" i="1"/>
  <c r="X435" i="1" s="1"/>
  <c r="A435" i="1"/>
  <c r="C312" i="1"/>
  <c r="X312" i="1" s="1"/>
  <c r="A312" i="1"/>
  <c r="C62" i="1"/>
  <c r="X62" i="1" s="1"/>
  <c r="A62" i="1"/>
  <c r="C34" i="1"/>
  <c r="X34" i="1" s="1"/>
  <c r="A34" i="1"/>
  <c r="C268" i="1"/>
  <c r="X268" i="1" s="1"/>
  <c r="A268" i="1"/>
  <c r="A119" i="1"/>
  <c r="C119" i="1"/>
  <c r="X119" i="1" s="1"/>
  <c r="C347" i="1"/>
  <c r="X347" i="1" s="1"/>
  <c r="A347" i="1"/>
  <c r="C293" i="1"/>
  <c r="X293" i="1" s="1"/>
  <c r="A293" i="1"/>
  <c r="C458" i="1"/>
  <c r="X458" i="1" s="1"/>
  <c r="A458" i="1"/>
  <c r="A282" i="1"/>
  <c r="C282" i="1"/>
  <c r="X282" i="1" s="1"/>
  <c r="C434" i="1"/>
  <c r="X434" i="1" s="1"/>
  <c r="A434" i="1"/>
  <c r="A489" i="1"/>
  <c r="C489" i="1"/>
  <c r="X489" i="1" s="1"/>
  <c r="H373" i="1"/>
  <c r="N373" i="1" a="1"/>
  <c r="N373" i="1" s="1"/>
  <c r="K373" i="1" a="1"/>
  <c r="K373" i="1" s="1"/>
  <c r="G373" i="1" s="1"/>
  <c r="A65" i="1"/>
  <c r="C65" i="1"/>
  <c r="X65" i="1" s="1"/>
  <c r="N360" i="1" a="1"/>
  <c r="N360" i="1" s="1"/>
  <c r="K360" i="1" a="1"/>
  <c r="K360" i="1" s="1"/>
  <c r="G360" i="1" s="1"/>
  <c r="H360" i="1"/>
  <c r="K227" i="1" a="1"/>
  <c r="K227" i="1" s="1"/>
  <c r="H227" i="1"/>
  <c r="N227" i="1" a="1"/>
  <c r="N227" i="1" s="1"/>
  <c r="K248" i="1" a="1"/>
  <c r="K248" i="1" s="1"/>
  <c r="N248" i="1" a="1"/>
  <c r="N248" i="1" s="1"/>
  <c r="H248" i="1"/>
  <c r="K46" i="1" a="1"/>
  <c r="K46" i="1" s="1"/>
  <c r="H46" i="1"/>
  <c r="N46" i="1" a="1"/>
  <c r="N46" i="1" s="1"/>
  <c r="N549" i="1" a="1"/>
  <c r="N549" i="1" s="1"/>
  <c r="K549" i="1" a="1"/>
  <c r="K549" i="1" s="1"/>
  <c r="G549" i="1" s="1"/>
  <c r="H549" i="1"/>
  <c r="C99" i="1"/>
  <c r="X99" i="1" s="1"/>
  <c r="A99" i="1"/>
  <c r="C9" i="1"/>
  <c r="X9" i="1" s="1"/>
  <c r="A9" i="1"/>
  <c r="C295" i="1"/>
  <c r="X295" i="1" s="1"/>
  <c r="A295" i="1"/>
  <c r="H340" i="1"/>
  <c r="N340" i="1" a="1"/>
  <c r="N340" i="1" s="1"/>
  <c r="K340" i="1" a="1"/>
  <c r="K340" i="1" s="1"/>
  <c r="H494" i="1"/>
  <c r="K494" i="1" a="1"/>
  <c r="K494" i="1" s="1"/>
  <c r="N494" i="1" a="1"/>
  <c r="N494" i="1" s="1"/>
  <c r="K235" i="1" a="1"/>
  <c r="K235" i="1" s="1"/>
  <c r="G235" i="1" s="1"/>
  <c r="H235" i="1"/>
  <c r="N235" i="1" a="1"/>
  <c r="N235" i="1" s="1"/>
  <c r="K4" i="1" a="1"/>
  <c r="K4" i="1" s="1"/>
  <c r="H4" i="1"/>
  <c r="N4" i="1" a="1"/>
  <c r="N4" i="1" s="1"/>
  <c r="A548" i="1"/>
  <c r="C548" i="1"/>
  <c r="X548" i="1" s="1"/>
  <c r="A44" i="1"/>
  <c r="C44" i="1"/>
  <c r="X44" i="1" s="1"/>
  <c r="A388" i="1"/>
  <c r="C388" i="1"/>
  <c r="X388" i="1" s="1"/>
  <c r="H186" i="1"/>
  <c r="N186" i="1" a="1"/>
  <c r="N186" i="1" s="1"/>
  <c r="K186" i="1" a="1"/>
  <c r="K186" i="1" s="1"/>
  <c r="G186" i="1" s="1"/>
  <c r="H232" i="1"/>
  <c r="N232" i="1" a="1"/>
  <c r="N232" i="1" s="1"/>
  <c r="K232" i="1" a="1"/>
  <c r="K232" i="1" s="1"/>
  <c r="G232" i="1" s="1"/>
  <c r="K243" i="1" a="1"/>
  <c r="K243" i="1" s="1"/>
  <c r="G243" i="1" s="1"/>
  <c r="H243" i="1"/>
  <c r="N243" i="1" a="1"/>
  <c r="N243" i="1" s="1"/>
  <c r="N454" i="1" a="1"/>
  <c r="N454" i="1" s="1"/>
  <c r="K454" i="1" a="1"/>
  <c r="K454" i="1" s="1"/>
  <c r="H454" i="1"/>
  <c r="N538" i="1" a="1"/>
  <c r="N538" i="1" s="1"/>
  <c r="K538" i="1" a="1"/>
  <c r="K538" i="1" s="1"/>
  <c r="G538" i="1" s="1"/>
  <c r="C120" i="1"/>
  <c r="X120" i="1" s="1"/>
  <c r="A120" i="1"/>
  <c r="A270" i="1"/>
  <c r="C270" i="1"/>
  <c r="X270" i="1" s="1"/>
  <c r="N359" i="1" a="1"/>
  <c r="N359" i="1" s="1"/>
  <c r="K359" i="1" a="1"/>
  <c r="K359" i="1" s="1"/>
  <c r="G359" i="1" s="1"/>
  <c r="C248" i="1"/>
  <c r="X248" i="1" s="1"/>
  <c r="A248" i="1"/>
  <c r="H356" i="1"/>
  <c r="K356" i="1" a="1"/>
  <c r="K356" i="1" s="1"/>
  <c r="N356" i="1" a="1"/>
  <c r="N356" i="1" s="1"/>
  <c r="C236" i="1"/>
  <c r="X236" i="1" s="1"/>
  <c r="A236" i="1"/>
  <c r="K249" i="1" a="1"/>
  <c r="K249" i="1" s="1"/>
  <c r="G249" i="1" s="1"/>
  <c r="H249" i="1"/>
  <c r="N249" i="1" a="1"/>
  <c r="N249" i="1" s="1"/>
  <c r="H67" i="1"/>
  <c r="N67" i="1" a="1"/>
  <c r="N67" i="1" s="1"/>
  <c r="K67" i="1" a="1"/>
  <c r="K67" i="1" s="1"/>
  <c r="H231" i="1"/>
  <c r="N231" i="1" a="1"/>
  <c r="N231" i="1" s="1"/>
  <c r="K231" i="1" a="1"/>
  <c r="K231" i="1" s="1"/>
  <c r="N544" i="1" a="1"/>
  <c r="N544" i="1" s="1"/>
  <c r="K544" i="1" a="1"/>
  <c r="K544" i="1" s="1"/>
  <c r="G544" i="1" s="1"/>
  <c r="H544" i="1"/>
  <c r="H504" i="1"/>
  <c r="K504" i="1" a="1"/>
  <c r="K504" i="1" s="1"/>
  <c r="N504" i="1" a="1"/>
  <c r="N504" i="1" s="1"/>
  <c r="N394" i="1" a="1"/>
  <c r="N394" i="1" s="1"/>
  <c r="H394" i="1"/>
  <c r="K394" i="1" a="1"/>
  <c r="K394" i="1" s="1"/>
  <c r="H351" i="1"/>
  <c r="N351" i="1" a="1"/>
  <c r="N351" i="1" s="1"/>
  <c r="K351" i="1" a="1"/>
  <c r="K351" i="1" s="1"/>
  <c r="H48" i="1"/>
  <c r="N48" i="1" a="1"/>
  <c r="N48" i="1" s="1"/>
  <c r="K48" i="1" a="1"/>
  <c r="K48" i="1" s="1"/>
  <c r="G48" i="1" s="1"/>
  <c r="C401" i="1"/>
  <c r="X401" i="1" s="1"/>
  <c r="A401" i="1"/>
  <c r="A48" i="1"/>
  <c r="C48" i="1"/>
  <c r="X48" i="1" s="1"/>
  <c r="C193" i="1"/>
  <c r="X193" i="1" s="1"/>
  <c r="A193" i="1"/>
  <c r="A459" i="1"/>
  <c r="C459" i="1"/>
  <c r="X459" i="1" s="1"/>
  <c r="C35" i="1"/>
  <c r="X35" i="1" s="1"/>
  <c r="A35" i="1"/>
  <c r="N91" i="1" a="1"/>
  <c r="N91" i="1" s="1"/>
  <c r="K91" i="1" a="1"/>
  <c r="K91" i="1" s="1"/>
  <c r="G91" i="1" s="1"/>
  <c r="H91" i="1"/>
  <c r="A158" i="1"/>
  <c r="C158" i="1"/>
  <c r="X158" i="1" s="1"/>
  <c r="C496" i="1"/>
  <c r="X496" i="1" s="1"/>
  <c r="A496" i="1"/>
  <c r="C3" i="1"/>
  <c r="X3" i="1" s="1"/>
  <c r="A3" i="1"/>
  <c r="K24" i="1" a="1"/>
  <c r="K24" i="1" s="1"/>
  <c r="G24" i="1" s="1"/>
  <c r="H24" i="1"/>
  <c r="N24" i="1" a="1"/>
  <c r="N24" i="1" s="1"/>
  <c r="C133" i="1"/>
  <c r="X133" i="1" s="1"/>
  <c r="A133" i="1"/>
  <c r="H51" i="1"/>
  <c r="N51" i="1" a="1"/>
  <c r="N51" i="1" s="1"/>
  <c r="K51" i="1" a="1"/>
  <c r="K51" i="1" s="1"/>
  <c r="C74" i="1"/>
  <c r="X74" i="1" s="1"/>
  <c r="A74" i="1"/>
  <c r="K147" i="1" a="1"/>
  <c r="K147" i="1" s="1"/>
  <c r="G147" i="1" s="1"/>
  <c r="H147" i="1"/>
  <c r="N147" i="1" a="1"/>
  <c r="N147" i="1" s="1"/>
  <c r="C192" i="1"/>
  <c r="X192" i="1" s="1"/>
  <c r="A192" i="1"/>
  <c r="N424" i="1" a="1"/>
  <c r="N424" i="1" s="1"/>
  <c r="H424" i="1"/>
  <c r="K424" i="1" a="1"/>
  <c r="K424" i="1" s="1"/>
  <c r="A333" i="1"/>
  <c r="C333" i="1"/>
  <c r="X333" i="1" s="1"/>
  <c r="C508" i="1"/>
  <c r="X508" i="1" s="1"/>
  <c r="A508" i="1"/>
  <c r="N328" i="1" a="1"/>
  <c r="N328" i="1" s="1"/>
  <c r="K328" i="1" a="1"/>
  <c r="K328" i="1" s="1"/>
  <c r="H328" i="1"/>
  <c r="C300" i="1"/>
  <c r="X300" i="1" s="1"/>
  <c r="A300" i="1"/>
  <c r="K280" i="1" a="1"/>
  <c r="K280" i="1" s="1"/>
  <c r="G280" i="1" s="1"/>
  <c r="H280" i="1"/>
  <c r="N280" i="1" a="1"/>
  <c r="N280" i="1" s="1"/>
  <c r="C531" i="1"/>
  <c r="X531" i="1" s="1"/>
  <c r="A531" i="1"/>
  <c r="C404" i="1"/>
  <c r="X404" i="1" s="1"/>
  <c r="A404" i="1"/>
  <c r="K455" i="1" a="1"/>
  <c r="K455" i="1" s="1"/>
  <c r="H455" i="1"/>
  <c r="N455" i="1" a="1"/>
  <c r="N455" i="1" s="1"/>
  <c r="H420" i="1"/>
  <c r="N420" i="1" a="1"/>
  <c r="N420" i="1" s="1"/>
  <c r="K420" i="1" a="1"/>
  <c r="K420" i="1" s="1"/>
  <c r="N13" i="1" a="1"/>
  <c r="N13" i="1" s="1"/>
  <c r="K13" i="1" a="1"/>
  <c r="K13" i="1" s="1"/>
  <c r="G13" i="1" s="1"/>
  <c r="C194" i="1"/>
  <c r="X194" i="1" s="1"/>
  <c r="A194" i="1"/>
  <c r="K554" i="1" a="1"/>
  <c r="K554" i="1" s="1"/>
  <c r="N554" i="1" a="1"/>
  <c r="N554" i="1" s="1"/>
  <c r="H554" i="1"/>
  <c r="C263" i="1"/>
  <c r="X263" i="1" s="1"/>
  <c r="A263" i="1"/>
  <c r="N111" i="1" a="1"/>
  <c r="N111" i="1" s="1"/>
  <c r="K111" i="1" a="1"/>
  <c r="K111" i="1" s="1"/>
  <c r="H111" i="1"/>
  <c r="C462" i="1"/>
  <c r="X462" i="1" s="1"/>
  <c r="A462" i="1"/>
  <c r="K323" i="1" a="1"/>
  <c r="K323" i="1" s="1"/>
  <c r="N323" i="1" a="1"/>
  <c r="N323" i="1" s="1"/>
  <c r="H323" i="1"/>
  <c r="K491" i="1" a="1"/>
  <c r="K491" i="1" s="1"/>
  <c r="H491" i="1"/>
  <c r="N491" i="1" a="1"/>
  <c r="N491" i="1" s="1"/>
  <c r="C553" i="1"/>
  <c r="X553" i="1" s="1"/>
  <c r="A553" i="1"/>
  <c r="A202" i="1"/>
  <c r="C202" i="1"/>
  <c r="X202" i="1" s="1"/>
  <c r="C40" i="1"/>
  <c r="X40" i="1" s="1"/>
  <c r="A40" i="1"/>
  <c r="N98" i="1" a="1"/>
  <c r="N98" i="1" s="1"/>
  <c r="K98" i="1" a="1"/>
  <c r="K98" i="1" s="1"/>
  <c r="G98" i="1" s="1"/>
  <c r="H98" i="1"/>
  <c r="K343" i="1" a="1"/>
  <c r="K343" i="1" s="1"/>
  <c r="G343" i="1" s="1"/>
  <c r="N343" i="1" a="1"/>
  <c r="N343" i="1" s="1"/>
  <c r="H343" i="1"/>
  <c r="K283" i="1" a="1"/>
  <c r="K283" i="1" s="1"/>
  <c r="H283" i="1"/>
  <c r="N283" i="1" a="1"/>
  <c r="N283" i="1" s="1"/>
  <c r="H129" i="1"/>
  <c r="N129" i="1" a="1"/>
  <c r="N129" i="1" s="1"/>
  <c r="K129" i="1" a="1"/>
  <c r="K129" i="1" s="1"/>
  <c r="G129" i="1" s="1"/>
  <c r="A267" i="1"/>
  <c r="C267" i="1"/>
  <c r="X267" i="1" s="1"/>
  <c r="N495" i="1" a="1"/>
  <c r="N495" i="1" s="1"/>
  <c r="K495" i="1" a="1"/>
  <c r="K495" i="1" s="1"/>
  <c r="G495" i="1" s="1"/>
  <c r="H495" i="1"/>
  <c r="N325" i="1" a="1"/>
  <c r="N325" i="1" s="1"/>
  <c r="H325" i="1"/>
  <c r="K325" i="1" a="1"/>
  <c r="K325" i="1" s="1"/>
  <c r="K295" i="1" a="1"/>
  <c r="K295" i="1" s="1"/>
  <c r="G295" i="1" s="1"/>
  <c r="H295" i="1"/>
  <c r="N295" i="1" a="1"/>
  <c r="N295" i="1" s="1"/>
  <c r="H461" i="1"/>
  <c r="K461" i="1" a="1"/>
  <c r="K461" i="1" s="1"/>
  <c r="G461" i="1" s="1"/>
  <c r="N461" i="1" a="1"/>
  <c r="N461" i="1" s="1"/>
  <c r="A516" i="1"/>
  <c r="C516" i="1"/>
  <c r="X516" i="1" s="1"/>
  <c r="A138" i="1"/>
  <c r="C138" i="1"/>
  <c r="X138" i="1" s="1"/>
  <c r="C317" i="1"/>
  <c r="X317" i="1" s="1"/>
  <c r="A317" i="1"/>
  <c r="K428" i="1" a="1"/>
  <c r="K428" i="1" s="1"/>
  <c r="G428" i="1" s="1"/>
  <c r="H428" i="1"/>
  <c r="N428" i="1" a="1"/>
  <c r="N428" i="1" s="1"/>
  <c r="C276" i="1"/>
  <c r="X276" i="1" s="1"/>
  <c r="A276" i="1"/>
  <c r="C482" i="1"/>
  <c r="X482" i="1" s="1"/>
  <c r="A482" i="1"/>
  <c r="A175" i="1"/>
  <c r="C175" i="1"/>
  <c r="X175" i="1" s="1"/>
  <c r="C102" i="1"/>
  <c r="X102" i="1" s="1"/>
  <c r="A102" i="1"/>
  <c r="A426" i="1"/>
  <c r="C426" i="1"/>
  <c r="X426" i="1" s="1"/>
  <c r="K182" i="1" a="1"/>
  <c r="K182" i="1" s="1"/>
  <c r="H182" i="1"/>
  <c r="N182" i="1" a="1"/>
  <c r="N182" i="1" s="1"/>
  <c r="C400" i="1"/>
  <c r="X400" i="1" s="1"/>
  <c r="A400" i="1"/>
  <c r="A210" i="1"/>
  <c r="C210" i="1"/>
  <c r="X210" i="1" s="1"/>
  <c r="N99" i="1" a="1"/>
  <c r="N99" i="1" s="1"/>
  <c r="K99" i="1" a="1"/>
  <c r="K99" i="1" s="1"/>
  <c r="G99" i="1" s="1"/>
  <c r="H500" i="1"/>
  <c r="N500" i="1" a="1"/>
  <c r="N500" i="1" s="1"/>
  <c r="K500" i="1" a="1"/>
  <c r="K500" i="1" s="1"/>
  <c r="C254" i="1"/>
  <c r="X254" i="1" s="1"/>
  <c r="A254" i="1"/>
  <c r="C179" i="1"/>
  <c r="X179" i="1" s="1"/>
  <c r="A179" i="1"/>
  <c r="C150" i="1"/>
  <c r="X150" i="1" s="1"/>
  <c r="A150" i="1"/>
  <c r="A47" i="1"/>
  <c r="C47" i="1"/>
  <c r="X47" i="1" s="1"/>
  <c r="H65" i="1"/>
  <c r="N65" i="1" a="1"/>
  <c r="N65" i="1" s="1"/>
  <c r="K65" i="1" a="1"/>
  <c r="K65" i="1" s="1"/>
  <c r="G65" i="1" s="1"/>
  <c r="C338" i="1"/>
  <c r="X338" i="1" s="1"/>
  <c r="A338" i="1"/>
  <c r="C352" i="1"/>
  <c r="X352" i="1" s="1"/>
  <c r="A352" i="1"/>
  <c r="C377" i="1"/>
  <c r="X377" i="1" s="1"/>
  <c r="A377" i="1"/>
  <c r="C351" i="1"/>
  <c r="X351" i="1" s="1"/>
  <c r="A351" i="1"/>
  <c r="A342" i="1"/>
  <c r="C342" i="1"/>
  <c r="X342" i="1" s="1"/>
  <c r="C430" i="1"/>
  <c r="X430" i="1" s="1"/>
  <c r="A430" i="1"/>
  <c r="N294" i="1" a="1"/>
  <c r="N294" i="1" s="1"/>
  <c r="K294" i="1" a="1"/>
  <c r="K294" i="1" s="1"/>
  <c r="H294" i="1"/>
  <c r="N312" i="1" a="1"/>
  <c r="N312" i="1" s="1"/>
  <c r="K312" i="1" a="1"/>
  <c r="K312" i="1" s="1"/>
  <c r="G312" i="1" s="1"/>
  <c r="H312" i="1"/>
  <c r="C507" i="1"/>
  <c r="X507" i="1" s="1"/>
  <c r="A507" i="1"/>
  <c r="K453" i="1" a="1"/>
  <c r="K453" i="1" s="1"/>
  <c r="G453" i="1" s="1"/>
  <c r="H453" i="1"/>
  <c r="N453" i="1" a="1"/>
  <c r="N453" i="1" s="1"/>
  <c r="C502" i="1"/>
  <c r="X502" i="1" s="1"/>
  <c r="A502" i="1"/>
  <c r="K492" i="1" a="1"/>
  <c r="K492" i="1" s="1"/>
  <c r="G492" i="1" s="1"/>
  <c r="H492" i="1"/>
  <c r="N492" i="1" a="1"/>
  <c r="N492" i="1" s="1"/>
  <c r="C203" i="1"/>
  <c r="X203" i="1" s="1"/>
  <c r="A203" i="1"/>
  <c r="K21" i="1" a="1"/>
  <c r="K21" i="1" s="1"/>
  <c r="H21" i="1"/>
  <c r="N21" i="1" a="1"/>
  <c r="N21" i="1" s="1"/>
  <c r="H327" i="1"/>
  <c r="N327" i="1" a="1"/>
  <c r="N327" i="1" s="1"/>
  <c r="K327" i="1" a="1"/>
  <c r="K327" i="1" s="1"/>
  <c r="C306" i="1"/>
  <c r="X306" i="1" s="1"/>
  <c r="A306" i="1"/>
  <c r="C433" i="1"/>
  <c r="X433" i="1" s="1"/>
  <c r="A433" i="1"/>
  <c r="A22" i="1"/>
  <c r="C22" i="1"/>
  <c r="X22" i="1" s="1"/>
  <c r="K206" i="1" a="1"/>
  <c r="K206" i="1" s="1"/>
  <c r="H206" i="1"/>
  <c r="N206" i="1" a="1"/>
  <c r="N206" i="1" s="1"/>
  <c r="H507" i="1"/>
  <c r="N507" i="1" a="1"/>
  <c r="N507" i="1" s="1"/>
  <c r="K507" i="1" a="1"/>
  <c r="K507" i="1" s="1"/>
  <c r="H228" i="1"/>
  <c r="N228" i="1" a="1"/>
  <c r="N228" i="1" s="1"/>
  <c r="K228" i="1" a="1"/>
  <c r="K228" i="1" s="1"/>
  <c r="G228" i="1" s="1"/>
  <c r="C211" i="1"/>
  <c r="X211" i="1" s="1"/>
  <c r="A211" i="1"/>
  <c r="K557" i="1" a="1"/>
  <c r="K557" i="1" s="1"/>
  <c r="N557" i="1" a="1"/>
  <c r="N557" i="1" s="1"/>
  <c r="H557" i="1"/>
  <c r="C37" i="1"/>
  <c r="X37" i="1" s="1"/>
  <c r="A37" i="1"/>
  <c r="C512" i="1"/>
  <c r="X512" i="1" s="1"/>
  <c r="A512" i="1"/>
  <c r="C480" i="1"/>
  <c r="X480" i="1" s="1"/>
  <c r="A480" i="1"/>
  <c r="K238" i="1" a="1"/>
  <c r="K238" i="1" s="1"/>
  <c r="H238" i="1"/>
  <c r="N238" i="1" a="1"/>
  <c r="N238" i="1" s="1"/>
  <c r="C483" i="1"/>
  <c r="X483" i="1" s="1"/>
  <c r="A483" i="1"/>
  <c r="C223" i="1"/>
  <c r="X223" i="1" s="1"/>
  <c r="A223" i="1"/>
  <c r="A225" i="1"/>
  <c r="C225" i="1"/>
  <c r="X225" i="1" s="1"/>
  <c r="C165" i="1"/>
  <c r="X165" i="1" s="1"/>
  <c r="A165" i="1"/>
  <c r="H29" i="1"/>
  <c r="N29" i="1" a="1"/>
  <c r="N29" i="1" s="1"/>
  <c r="K29" i="1" a="1"/>
  <c r="K29" i="1" s="1"/>
  <c r="N369" i="1" a="1"/>
  <c r="N369" i="1" s="1"/>
  <c r="K369" i="1" a="1"/>
  <c r="K369" i="1" s="1"/>
  <c r="G369" i="1" s="1"/>
  <c r="H369" i="1"/>
  <c r="K358" i="1" a="1"/>
  <c r="K358" i="1" s="1"/>
  <c r="G358" i="1" s="1"/>
  <c r="N358" i="1" a="1"/>
  <c r="N358" i="1" s="1"/>
  <c r="H358" i="1"/>
  <c r="C164" i="1"/>
  <c r="X164" i="1" s="1"/>
  <c r="A164" i="1"/>
  <c r="K472" i="1" a="1"/>
  <c r="K472" i="1" s="1"/>
  <c r="H472" i="1"/>
  <c r="N472" i="1" a="1"/>
  <c r="N472" i="1" s="1"/>
  <c r="C429" i="1"/>
  <c r="X429" i="1" s="1"/>
  <c r="A429" i="1"/>
  <c r="K19" i="1" a="1"/>
  <c r="K19" i="1" s="1"/>
  <c r="G19" i="1" s="1"/>
  <c r="H19" i="1"/>
  <c r="N19" i="1" a="1"/>
  <c r="N19" i="1" s="1"/>
  <c r="N366" i="1" a="1"/>
  <c r="N366" i="1" s="1"/>
  <c r="K366" i="1" a="1"/>
  <c r="K366" i="1" s="1"/>
  <c r="G366" i="1" s="1"/>
  <c r="H534" i="1"/>
  <c r="N534" i="1" a="1"/>
  <c r="N534" i="1" s="1"/>
  <c r="K534" i="1" a="1"/>
  <c r="K534" i="1" s="1"/>
  <c r="G534" i="1" s="1"/>
  <c r="C334" i="1"/>
  <c r="X334" i="1" s="1"/>
  <c r="A334" i="1"/>
  <c r="H28" i="1"/>
  <c r="N28" i="1" a="1"/>
  <c r="N28" i="1" s="1"/>
  <c r="K28" i="1" a="1"/>
  <c r="K28" i="1" s="1"/>
  <c r="G28" i="1" s="1"/>
  <c r="N96" i="1" a="1"/>
  <c r="N96" i="1" s="1"/>
  <c r="K96" i="1" a="1"/>
  <c r="K96" i="1" s="1"/>
  <c r="G96" i="1" s="1"/>
  <c r="H96" i="1"/>
  <c r="K72" i="1" a="1"/>
  <c r="K72" i="1" s="1"/>
  <c r="G72" i="1" s="1"/>
  <c r="H72" i="1"/>
  <c r="N72" i="1" a="1"/>
  <c r="N72" i="1" s="1"/>
  <c r="N162" i="1" a="1"/>
  <c r="N162" i="1" s="1"/>
  <c r="K162" i="1" a="1"/>
  <c r="K162" i="1" s="1"/>
  <c r="G162" i="1" s="1"/>
  <c r="H330" i="1"/>
  <c r="N330" i="1" a="1"/>
  <c r="N330" i="1" s="1"/>
  <c r="K330" i="1" a="1"/>
  <c r="K330" i="1" s="1"/>
  <c r="G330" i="1" s="1"/>
  <c r="C31" i="1"/>
  <c r="X31" i="1" s="1"/>
  <c r="A31" i="1"/>
  <c r="C280" i="1"/>
  <c r="X280" i="1" s="1"/>
  <c r="A280" i="1"/>
  <c r="N501" i="1" a="1"/>
  <c r="N501" i="1" s="1"/>
  <c r="K501" i="1" a="1"/>
  <c r="K501" i="1" s="1"/>
  <c r="G501" i="1" s="1"/>
  <c r="H501" i="1"/>
  <c r="N475" i="1" a="1"/>
  <c r="N475" i="1" s="1"/>
  <c r="K475" i="1" a="1"/>
  <c r="K475" i="1" s="1"/>
  <c r="H475" i="1"/>
  <c r="H293" i="1"/>
  <c r="N293" i="1" a="1"/>
  <c r="N293" i="1" s="1"/>
  <c r="K293" i="1" a="1"/>
  <c r="K293" i="1" s="1"/>
  <c r="K458" i="1" a="1"/>
  <c r="K458" i="1" s="1"/>
  <c r="G458" i="1" s="1"/>
  <c r="H458" i="1"/>
  <c r="N458" i="1" a="1"/>
  <c r="N458" i="1" s="1"/>
  <c r="H464" i="1"/>
  <c r="K464" i="1" a="1"/>
  <c r="K464" i="1" s="1"/>
  <c r="G464" i="1" s="1"/>
  <c r="N464" i="1" a="1"/>
  <c r="N464" i="1" s="1"/>
  <c r="H180" i="1"/>
  <c r="N180" i="1" a="1"/>
  <c r="N180" i="1" s="1"/>
  <c r="K180" i="1" a="1"/>
  <c r="K180" i="1" s="1"/>
  <c r="G180" i="1" s="1"/>
  <c r="K375" i="1" a="1"/>
  <c r="K375" i="1" s="1"/>
  <c r="G375" i="1" s="1"/>
  <c r="H375" i="1"/>
  <c r="N375" i="1" a="1"/>
  <c r="N375" i="1" s="1"/>
  <c r="C421" i="1"/>
  <c r="X421" i="1" s="1"/>
  <c r="A421" i="1"/>
  <c r="H477" i="1"/>
  <c r="K477" i="1" a="1"/>
  <c r="K477" i="1" s="1"/>
  <c r="N477" i="1" a="1"/>
  <c r="N477" i="1" s="1"/>
  <c r="A227" i="1"/>
  <c r="C227" i="1"/>
  <c r="X227" i="1" s="1"/>
  <c r="C46" i="1"/>
  <c r="X46" i="1" s="1"/>
  <c r="A46" i="1"/>
  <c r="H530" i="1"/>
  <c r="N530" i="1" a="1"/>
  <c r="N530" i="1" s="1"/>
  <c r="K530" i="1" a="1"/>
  <c r="K530" i="1" s="1"/>
  <c r="G530" i="1" s="1"/>
  <c r="C373" i="1"/>
  <c r="X373" i="1" s="1"/>
  <c r="A373" i="1"/>
  <c r="K45" i="1" a="1"/>
  <c r="K45" i="1" s="1"/>
  <c r="H45" i="1"/>
  <c r="N45" i="1" a="1"/>
  <c r="N45" i="1" s="1"/>
  <c r="C438" i="1"/>
  <c r="X438" i="1" s="1"/>
  <c r="A438" i="1"/>
  <c r="A107" i="1"/>
  <c r="C107" i="1"/>
  <c r="X107" i="1" s="1"/>
  <c r="C247" i="1"/>
  <c r="X247" i="1" s="1"/>
  <c r="A247" i="1"/>
  <c r="N271" i="1" a="1"/>
  <c r="N271" i="1" s="1"/>
  <c r="H271" i="1"/>
  <c r="K271" i="1" a="1"/>
  <c r="K271" i="1" s="1"/>
  <c r="C275" i="1"/>
  <c r="X275" i="1" s="1"/>
  <c r="A275" i="1"/>
  <c r="C463" i="1"/>
  <c r="X463" i="1" s="1"/>
  <c r="A463" i="1"/>
  <c r="N196" i="1" a="1"/>
  <c r="N196" i="1" s="1"/>
  <c r="K196" i="1" a="1"/>
  <c r="K196" i="1" s="1"/>
  <c r="H196" i="1"/>
  <c r="K119" i="1" a="1"/>
  <c r="K119" i="1" s="1"/>
  <c r="G119" i="1" s="1"/>
  <c r="N119" i="1" a="1"/>
  <c r="N119" i="1" s="1"/>
  <c r="H119" i="1"/>
  <c r="A491" i="1"/>
  <c r="C491" i="1"/>
  <c r="X491" i="1" s="1"/>
  <c r="K392" i="1" a="1"/>
  <c r="K392" i="1" s="1"/>
  <c r="G392" i="1" s="1"/>
  <c r="N392" i="1" a="1"/>
  <c r="N392" i="1" s="1"/>
  <c r="H392" i="1"/>
  <c r="C407" i="1"/>
  <c r="X407" i="1" s="1"/>
  <c r="A407" i="1"/>
  <c r="N291" i="1" a="1"/>
  <c r="N291" i="1" s="1"/>
  <c r="K291" i="1" a="1"/>
  <c r="K291" i="1" s="1"/>
  <c r="G291" i="1" s="1"/>
  <c r="N255" i="1" a="1"/>
  <c r="N255" i="1" s="1"/>
  <c r="K255" i="1" a="1"/>
  <c r="K255" i="1" s="1"/>
  <c r="H255" i="1"/>
  <c r="C139" i="1"/>
  <c r="X139" i="1" s="1"/>
  <c r="A139" i="1"/>
  <c r="K89" i="1" a="1"/>
  <c r="K89" i="1" s="1"/>
  <c r="G89" i="1" s="1"/>
  <c r="H89" i="1"/>
  <c r="N89" i="1" a="1"/>
  <c r="N89" i="1" s="1"/>
  <c r="A97" i="1"/>
  <c r="C97" i="1"/>
  <c r="X97" i="1" s="1"/>
  <c r="K321" i="1" a="1"/>
  <c r="K321" i="1" s="1"/>
  <c r="G321" i="1" s="1"/>
  <c r="H321" i="1"/>
  <c r="N321" i="1" a="1"/>
  <c r="N321" i="1" s="1"/>
  <c r="C95" i="1"/>
  <c r="X95" i="1" s="1"/>
  <c r="A95" i="1"/>
  <c r="H178" i="1"/>
  <c r="N178" i="1" a="1"/>
  <c r="N178" i="1" s="1"/>
  <c r="K178" i="1" a="1"/>
  <c r="K178" i="1" s="1"/>
  <c r="K149" i="1" a="1"/>
  <c r="K149" i="1" s="1"/>
  <c r="G149" i="1" s="1"/>
  <c r="H149" i="1"/>
  <c r="N149" i="1" a="1"/>
  <c r="N149" i="1" s="1"/>
  <c r="A431" i="1"/>
  <c r="C431" i="1"/>
  <c r="X431" i="1" s="1"/>
  <c r="K558" i="1" a="1"/>
  <c r="K558" i="1" s="1"/>
  <c r="G558" i="1" s="1"/>
  <c r="H558" i="1"/>
  <c r="N558" i="1" a="1"/>
  <c r="N558" i="1" s="1"/>
  <c r="K215" i="1" a="1"/>
  <c r="K215" i="1" s="1"/>
  <c r="H215" i="1"/>
  <c r="N215" i="1" a="1"/>
  <c r="N215" i="1" s="1"/>
  <c r="N167" i="1" a="1"/>
  <c r="N167" i="1" s="1"/>
  <c r="K167" i="1" a="1"/>
  <c r="K167" i="1" s="1"/>
  <c r="G167" i="1" s="1"/>
  <c r="H167" i="1"/>
  <c r="C331" i="1"/>
  <c r="X331" i="1" s="1"/>
  <c r="A331" i="1"/>
  <c r="C303" i="1"/>
  <c r="X303" i="1" s="1"/>
  <c r="A303" i="1"/>
  <c r="C470" i="1"/>
  <c r="X470" i="1" s="1"/>
  <c r="A470" i="1"/>
  <c r="A389" i="1"/>
  <c r="C389" i="1"/>
  <c r="X389" i="1" s="1"/>
  <c r="H200" i="1"/>
  <c r="N200" i="1" a="1"/>
  <c r="N200" i="1" s="1"/>
  <c r="K200" i="1" a="1"/>
  <c r="K200" i="1" s="1"/>
  <c r="H22" i="1"/>
  <c r="N22" i="1" a="1"/>
  <c r="N22" i="1" s="1"/>
  <c r="K22" i="1" a="1"/>
  <c r="K22" i="1" s="1"/>
  <c r="G22" i="1" s="1"/>
  <c r="N53" i="1" a="1"/>
  <c r="N53" i="1" s="1"/>
  <c r="K53" i="1" a="1"/>
  <c r="K53" i="1" s="1"/>
  <c r="G53" i="1" s="1"/>
  <c r="H81" i="1"/>
  <c r="N81" i="1" a="1"/>
  <c r="N81" i="1" s="1"/>
  <c r="K81" i="1" a="1"/>
  <c r="K81" i="1" s="1"/>
  <c r="C19" i="1"/>
  <c r="X19" i="1" s="1"/>
  <c r="A19" i="1"/>
  <c r="N378" i="1" a="1"/>
  <c r="N378" i="1" s="1"/>
  <c r="K378" i="1" a="1"/>
  <c r="K378" i="1" s="1"/>
  <c r="G378" i="1" s="1"/>
  <c r="C537" i="1"/>
  <c r="X537" i="1" s="1"/>
  <c r="A537" i="1"/>
  <c r="N37" i="1" a="1"/>
  <c r="N37" i="1" s="1"/>
  <c r="K37" i="1" a="1"/>
  <c r="K37" i="1" s="1"/>
  <c r="G37" i="1" s="1"/>
  <c r="H37" i="1"/>
  <c r="A492" i="1"/>
  <c r="C492" i="1"/>
  <c r="X492" i="1" s="1"/>
  <c r="K116" i="1" a="1"/>
  <c r="K116" i="1" s="1"/>
  <c r="G116" i="1" s="1"/>
  <c r="N116" i="1" a="1"/>
  <c r="N116" i="1" s="1"/>
  <c r="N297" i="1" a="1"/>
  <c r="N297" i="1" s="1"/>
  <c r="K297" i="1" a="1"/>
  <c r="K297" i="1" s="1"/>
  <c r="H297" i="1"/>
  <c r="A79" i="1"/>
  <c r="C79" i="1"/>
  <c r="X79" i="1" s="1"/>
  <c r="N511" i="1" a="1"/>
  <c r="N511" i="1" s="1"/>
  <c r="K511" i="1" a="1"/>
  <c r="K511" i="1" s="1"/>
  <c r="H511" i="1"/>
  <c r="K157" i="1" a="1"/>
  <c r="K157" i="1" s="1"/>
  <c r="H157" i="1"/>
  <c r="N157" i="1" a="1"/>
  <c r="N157" i="1" s="1"/>
  <c r="A18" i="1"/>
  <c r="C18" i="1"/>
  <c r="X18" i="1" s="1"/>
  <c r="C326" i="1"/>
  <c r="X326" i="1" s="1"/>
  <c r="A326" i="1"/>
  <c r="A155" i="1"/>
  <c r="C155" i="1"/>
  <c r="X155" i="1" s="1"/>
  <c r="N40" i="1" a="1"/>
  <c r="N40" i="1" s="1"/>
  <c r="K40" i="1" a="1"/>
  <c r="K40" i="1" s="1"/>
  <c r="H40" i="1"/>
  <c r="K47" i="1" a="1"/>
  <c r="K47" i="1" s="1"/>
  <c r="H47" i="1"/>
  <c r="N47" i="1" a="1"/>
  <c r="N47" i="1" s="1"/>
  <c r="C212" i="1"/>
  <c r="X212" i="1" s="1"/>
  <c r="A212" i="1"/>
  <c r="N388" i="1" a="1"/>
  <c r="N388" i="1" s="1"/>
  <c r="H388" i="1"/>
  <c r="K388" i="1" a="1"/>
  <c r="K388" i="1" s="1"/>
  <c r="C77" i="1"/>
  <c r="X77" i="1" s="1"/>
  <c r="A77" i="1"/>
  <c r="A152" i="1"/>
  <c r="C152" i="1"/>
  <c r="X152" i="1" s="1"/>
  <c r="N467" i="1" a="1"/>
  <c r="N467" i="1" s="1"/>
  <c r="K467" i="1" a="1"/>
  <c r="K467" i="1" s="1"/>
  <c r="H467" i="1"/>
  <c r="K485" i="1" a="1"/>
  <c r="K485" i="1" s="1"/>
  <c r="G485" i="1" s="1"/>
  <c r="H485" i="1"/>
  <c r="N485" i="1" a="1"/>
  <c r="N485" i="1" s="1"/>
  <c r="K165" i="1" a="1"/>
  <c r="K165" i="1" s="1"/>
  <c r="G165" i="1" s="1"/>
  <c r="H165" i="1"/>
  <c r="N165" i="1" a="1"/>
  <c r="N165" i="1" s="1"/>
  <c r="N78" i="1" a="1"/>
  <c r="N78" i="1" s="1"/>
  <c r="K78" i="1" a="1"/>
  <c r="K78" i="1" s="1"/>
  <c r="G78" i="1" s="1"/>
  <c r="H233" i="1"/>
  <c r="N233" i="1" a="1"/>
  <c r="N233" i="1" s="1"/>
  <c r="K233" i="1" a="1"/>
  <c r="K233" i="1" s="1"/>
  <c r="H518" i="1"/>
  <c r="K518" i="1" a="1"/>
  <c r="K518" i="1" s="1"/>
  <c r="G518" i="1" s="1"/>
  <c r="N518" i="1" a="1"/>
  <c r="N518" i="1" s="1"/>
  <c r="C546" i="1"/>
  <c r="X546" i="1" s="1"/>
  <c r="A546" i="1"/>
  <c r="K431" i="1" a="1"/>
  <c r="K431" i="1" s="1"/>
  <c r="H431" i="1"/>
  <c r="N431" i="1" a="1"/>
  <c r="N431" i="1" s="1"/>
  <c r="C170" i="1"/>
  <c r="X170" i="1" s="1"/>
  <c r="A170" i="1"/>
  <c r="C540" i="1"/>
  <c r="X540" i="1" s="1"/>
  <c r="A540" i="1"/>
  <c r="C11" i="1"/>
  <c r="X11" i="1" s="1"/>
  <c r="A11" i="1"/>
  <c r="K561" i="1" a="1"/>
  <c r="K561" i="1" s="1"/>
  <c r="H561" i="1"/>
  <c r="N561" i="1" a="1"/>
  <c r="N561" i="1" s="1"/>
  <c r="A188" i="1"/>
  <c r="C188" i="1"/>
  <c r="X188" i="1" s="1"/>
  <c r="K244" i="1" a="1"/>
  <c r="K244" i="1" s="1"/>
  <c r="H244" i="1"/>
  <c r="N244" i="1" a="1"/>
  <c r="N244" i="1" s="1"/>
  <c r="K171" i="1" a="1"/>
  <c r="K171" i="1" s="1"/>
  <c r="G171" i="1" s="1"/>
  <c r="N171" i="1" a="1"/>
  <c r="N171" i="1" s="1"/>
  <c r="C432" i="1"/>
  <c r="X432" i="1" s="1"/>
  <c r="A432" i="1"/>
  <c r="C384" i="1"/>
  <c r="X384" i="1" s="1"/>
  <c r="A384" i="1"/>
  <c r="K221" i="1" a="1"/>
  <c r="K221" i="1" s="1"/>
  <c r="G221" i="1" s="1"/>
  <c r="N221" i="1" a="1"/>
  <c r="N221" i="1" s="1"/>
  <c r="N440" i="1" a="1"/>
  <c r="N440" i="1" s="1"/>
  <c r="K440" i="1" a="1"/>
  <c r="K440" i="1" s="1"/>
  <c r="H440" i="1"/>
  <c r="C181" i="1"/>
  <c r="X181" i="1" s="1"/>
  <c r="A181" i="1"/>
  <c r="K223" i="1" a="1"/>
  <c r="K223" i="1" s="1"/>
  <c r="H223" i="1"/>
  <c r="N223" i="1" a="1"/>
  <c r="N223" i="1" s="1"/>
  <c r="C340" i="1"/>
  <c r="X340" i="1" s="1"/>
  <c r="A340" i="1"/>
  <c r="K6" i="1" a="1"/>
  <c r="K6" i="1" s="1"/>
  <c r="G6" i="1" s="1"/>
  <c r="H6" i="1"/>
  <c r="N6" i="1" a="1"/>
  <c r="N6" i="1" s="1"/>
  <c r="C299" i="1"/>
  <c r="X299" i="1" s="1"/>
  <c r="A299" i="1"/>
  <c r="N545" i="1" a="1"/>
  <c r="N545" i="1" s="1"/>
  <c r="K545" i="1" a="1"/>
  <c r="K545" i="1" s="1"/>
  <c r="G545" i="1" s="1"/>
  <c r="N269" i="1" a="1"/>
  <c r="N269" i="1" s="1"/>
  <c r="K269" i="1" a="1"/>
  <c r="K269" i="1" s="1"/>
  <c r="H269" i="1"/>
  <c r="K145" i="1" a="1"/>
  <c r="K145" i="1" s="1"/>
  <c r="H145" i="1"/>
  <c r="N145" i="1" a="1"/>
  <c r="N145" i="1" s="1"/>
  <c r="H54" i="1"/>
  <c r="N54" i="1" a="1"/>
  <c r="N54" i="1" s="1"/>
  <c r="K54" i="1" a="1"/>
  <c r="K54" i="1" s="1"/>
  <c r="H160" i="1"/>
  <c r="N160" i="1" a="1"/>
  <c r="N160" i="1" s="1"/>
  <c r="K160" i="1" a="1"/>
  <c r="K160" i="1" s="1"/>
  <c r="K362" i="1" a="1"/>
  <c r="K362" i="1" s="1"/>
  <c r="G362" i="1" s="1"/>
  <c r="N362" i="1" a="1"/>
  <c r="N362" i="1" s="1"/>
  <c r="H362" i="1"/>
  <c r="A358" i="1"/>
  <c r="C358" i="1"/>
  <c r="X358" i="1" s="1"/>
  <c r="C499" i="1"/>
  <c r="X499" i="1" s="1"/>
  <c r="A499" i="1"/>
  <c r="H197" i="1"/>
  <c r="N197" i="1" a="1"/>
  <c r="N197" i="1" s="1"/>
  <c r="K197" i="1" a="1"/>
  <c r="K197" i="1" s="1"/>
  <c r="G197" i="1" s="1"/>
  <c r="K553" i="1" a="1"/>
  <c r="K553" i="1" s="1"/>
  <c r="G553" i="1" s="1"/>
  <c r="H553" i="1"/>
  <c r="N553" i="1" a="1"/>
  <c r="N553" i="1" s="1"/>
  <c r="C414" i="1"/>
  <c r="X414" i="1" s="1"/>
  <c r="A414" i="1"/>
  <c r="N339" i="1" a="1"/>
  <c r="N339" i="1" s="1"/>
  <c r="K339" i="1" a="1"/>
  <c r="K339" i="1" s="1"/>
  <c r="G339" i="1" s="1"/>
  <c r="H339" i="1"/>
  <c r="N413" i="1" a="1"/>
  <c r="N413" i="1" s="1"/>
  <c r="K413" i="1" a="1"/>
  <c r="K413" i="1" s="1"/>
  <c r="G413" i="1" s="1"/>
  <c r="H413" i="1"/>
  <c r="C286" i="1"/>
  <c r="X286" i="1" s="1"/>
  <c r="A286" i="1"/>
  <c r="K301" i="1" a="1"/>
  <c r="K301" i="1" s="1"/>
  <c r="G301" i="1" s="1"/>
  <c r="H301" i="1"/>
  <c r="N301" i="1" a="1"/>
  <c r="N301" i="1" s="1"/>
  <c r="C172" i="1"/>
  <c r="X172" i="1" s="1"/>
  <c r="A172" i="1"/>
  <c r="K135" i="1" a="1"/>
  <c r="K135" i="1" s="1"/>
  <c r="H135" i="1"/>
  <c r="N135" i="1" a="1"/>
  <c r="N135" i="1" s="1"/>
  <c r="C274" i="1"/>
  <c r="X274" i="1" s="1"/>
  <c r="A274" i="1"/>
  <c r="K18" i="1" a="1"/>
  <c r="K18" i="1" s="1"/>
  <c r="G18" i="1" s="1"/>
  <c r="N18" i="1" a="1"/>
  <c r="N18" i="1" s="1"/>
  <c r="C408" i="1"/>
  <c r="X408" i="1" s="1"/>
  <c r="A408" i="1"/>
  <c r="C517" i="1"/>
  <c r="X517" i="1" s="1"/>
  <c r="A517" i="1"/>
  <c r="H510" i="1"/>
  <c r="N510" i="1" a="1"/>
  <c r="N510" i="1" s="1"/>
  <c r="K510" i="1" a="1"/>
  <c r="K510" i="1" s="1"/>
  <c r="G510" i="1" s="1"/>
  <c r="N130" i="1" a="1"/>
  <c r="N130" i="1" s="1"/>
  <c r="K130" i="1" a="1"/>
  <c r="K130" i="1" s="1"/>
  <c r="G130" i="1" s="1"/>
  <c r="H130" i="1"/>
  <c r="C103" i="1"/>
  <c r="X103" i="1" s="1"/>
  <c r="A103" i="1"/>
  <c r="C383" i="1"/>
  <c r="X383" i="1" s="1"/>
  <c r="A383" i="1"/>
  <c r="C518" i="1"/>
  <c r="X518" i="1" s="1"/>
  <c r="A518" i="1"/>
  <c r="C415" i="1"/>
  <c r="X415" i="1" s="1"/>
  <c r="A415" i="1"/>
  <c r="C106" i="1"/>
  <c r="X106" i="1" s="1"/>
  <c r="A106" i="1"/>
  <c r="C87" i="1"/>
  <c r="X87" i="1" s="1"/>
  <c r="A87" i="1"/>
  <c r="A560" i="1"/>
  <c r="C560" i="1"/>
  <c r="X560" i="1" s="1"/>
  <c r="K239" i="1" a="1"/>
  <c r="K239" i="1" s="1"/>
  <c r="H239" i="1"/>
  <c r="N239" i="1" a="1"/>
  <c r="N239" i="1" s="1"/>
  <c r="C311" i="1"/>
  <c r="X311" i="1" s="1"/>
  <c r="A311" i="1"/>
  <c r="N478" i="1" a="1"/>
  <c r="N478" i="1" s="1"/>
  <c r="K478" i="1" a="1"/>
  <c r="K478" i="1" s="1"/>
  <c r="H478" i="1"/>
  <c r="C484" i="1"/>
  <c r="X484" i="1" s="1"/>
  <c r="A484" i="1"/>
  <c r="C369" i="1"/>
  <c r="X369" i="1" s="1"/>
  <c r="A369" i="1"/>
  <c r="C161" i="1"/>
  <c r="X161" i="1" s="1"/>
  <c r="A161" i="1"/>
  <c r="C232" i="1"/>
  <c r="X232" i="1" s="1"/>
  <c r="A232" i="1"/>
  <c r="K2" i="1" a="1"/>
  <c r="K2" i="1" s="1"/>
  <c r="G2" i="1" s="1"/>
  <c r="H2" i="1"/>
  <c r="N2" i="1" a="1"/>
  <c r="N2" i="1" s="1"/>
  <c r="C441" i="1"/>
  <c r="X441" i="1" s="1"/>
  <c r="A441" i="1"/>
  <c r="K136" i="1" a="1"/>
  <c r="K136" i="1" s="1"/>
  <c r="H136" i="1"/>
  <c r="N136" i="1" a="1"/>
  <c r="N136" i="1" s="1"/>
  <c r="C302" i="1"/>
  <c r="X302" i="1" s="1"/>
  <c r="A302" i="1"/>
  <c r="H33" i="1"/>
  <c r="N33" i="1" a="1"/>
  <c r="N33" i="1" s="1"/>
  <c r="K33" i="1" a="1"/>
  <c r="K33" i="1" s="1"/>
  <c r="G33" i="1" s="1"/>
  <c r="H445" i="1"/>
  <c r="N445" i="1" a="1"/>
  <c r="N445" i="1" s="1"/>
  <c r="K445" i="1" a="1"/>
  <c r="K445" i="1" s="1"/>
  <c r="G445" i="1" s="1"/>
  <c r="A533" i="1"/>
  <c r="C533" i="1"/>
  <c r="X533" i="1" s="1"/>
  <c r="N27" i="1" a="1"/>
  <c r="N27" i="1" s="1"/>
  <c r="K27" i="1" a="1"/>
  <c r="K27" i="1" s="1"/>
  <c r="G27" i="1" s="1"/>
  <c r="N210" i="1" a="1"/>
  <c r="N210" i="1" s="1"/>
  <c r="K210" i="1" a="1"/>
  <c r="K210" i="1" s="1"/>
  <c r="H210" i="1"/>
  <c r="K302" i="1" a="1"/>
  <c r="K302" i="1" s="1"/>
  <c r="H302" i="1"/>
  <c r="N302" i="1" a="1"/>
  <c r="N302" i="1" s="1"/>
  <c r="K107" i="1" a="1"/>
  <c r="K107" i="1" s="1"/>
  <c r="G107" i="1" s="1"/>
  <c r="H107" i="1"/>
  <c r="N107" i="1" a="1"/>
  <c r="N107" i="1" s="1"/>
  <c r="N408" i="1" a="1"/>
  <c r="N408" i="1" s="1"/>
  <c r="K408" i="1" a="1"/>
  <c r="K408" i="1" s="1"/>
  <c r="G408" i="1" s="1"/>
  <c r="H379" i="1"/>
  <c r="N379" i="1" a="1"/>
  <c r="N379" i="1" s="1"/>
  <c r="K379" i="1" a="1"/>
  <c r="K379" i="1" s="1"/>
  <c r="G379" i="1" s="1"/>
  <c r="A137" i="1"/>
  <c r="C137" i="1"/>
  <c r="X137" i="1" s="1"/>
  <c r="N191" i="1" a="1"/>
  <c r="N191" i="1" s="1"/>
  <c r="K191" i="1" a="1"/>
  <c r="K191" i="1" s="1"/>
  <c r="G191" i="1" s="1"/>
  <c r="A409" i="1"/>
  <c r="C409" i="1"/>
  <c r="X409" i="1" s="1"/>
  <c r="K123" i="1" a="1"/>
  <c r="K123" i="1" s="1"/>
  <c r="G123" i="1" s="1"/>
  <c r="N123" i="1" a="1"/>
  <c r="N123" i="1" s="1"/>
  <c r="H155" i="1"/>
  <c r="N155" i="1" a="1"/>
  <c r="N155" i="1" s="1"/>
  <c r="K155" i="1" a="1"/>
  <c r="K155" i="1" s="1"/>
  <c r="G155" i="1" s="1"/>
  <c r="C17" i="1"/>
  <c r="X17" i="1" s="1"/>
  <c r="A17" i="1"/>
  <c r="A115" i="1"/>
  <c r="C115" i="1"/>
  <c r="X115" i="1" s="1"/>
  <c r="K367" i="1" a="1"/>
  <c r="K367" i="1" s="1"/>
  <c r="H367" i="1"/>
  <c r="N367" i="1" a="1"/>
  <c r="N367" i="1" s="1"/>
  <c r="C237" i="1"/>
  <c r="X237" i="1" s="1"/>
  <c r="A237" i="1"/>
  <c r="A371" i="1"/>
  <c r="C371" i="1"/>
  <c r="X371" i="1" s="1"/>
  <c r="K532" i="1" a="1"/>
  <c r="K532" i="1" s="1"/>
  <c r="H532" i="1"/>
  <c r="N532" i="1" a="1"/>
  <c r="N532" i="1" s="1"/>
  <c r="A215" i="1"/>
  <c r="C215" i="1"/>
  <c r="X215" i="1" s="1"/>
  <c r="A469" i="1"/>
  <c r="C469" i="1"/>
  <c r="X469" i="1" s="1"/>
  <c r="K247" i="1" a="1"/>
  <c r="K247" i="1" s="1"/>
  <c r="G247" i="1" s="1"/>
  <c r="H247" i="1"/>
  <c r="N247" i="1" a="1"/>
  <c r="N247" i="1" s="1"/>
  <c r="C330" i="1"/>
  <c r="X330" i="1" s="1"/>
  <c r="A330" i="1"/>
  <c r="C366" i="1"/>
  <c r="X366" i="1" s="1"/>
  <c r="A366" i="1"/>
  <c r="C183" i="1"/>
  <c r="X183" i="1" s="1"/>
  <c r="A183" i="1"/>
  <c r="C113" i="1"/>
  <c r="X113" i="1" s="1"/>
  <c r="A113" i="1"/>
  <c r="K493" i="1" a="1"/>
  <c r="K493" i="1" s="1"/>
  <c r="G493" i="1" s="1"/>
  <c r="N493" i="1" a="1"/>
  <c r="N493" i="1" s="1"/>
  <c r="C315" i="1"/>
  <c r="X315" i="1" s="1"/>
  <c r="A315" i="1"/>
  <c r="H175" i="1"/>
  <c r="N175" i="1" a="1"/>
  <c r="N175" i="1" s="1"/>
  <c r="K175" i="1" a="1"/>
  <c r="K175" i="1" s="1"/>
  <c r="C38" i="1"/>
  <c r="X38" i="1" s="1"/>
  <c r="A38" i="1"/>
  <c r="H306" i="1"/>
  <c r="N306" i="1" a="1"/>
  <c r="N306" i="1" s="1"/>
  <c r="K306" i="1" a="1"/>
  <c r="K306" i="1" s="1"/>
  <c r="G306" i="1" s="1"/>
  <c r="A376" i="1"/>
  <c r="C376" i="1"/>
  <c r="X376" i="1" s="1"/>
  <c r="C455" i="1"/>
  <c r="X455" i="1" s="1"/>
  <c r="A455" i="1"/>
  <c r="C490" i="1"/>
  <c r="X490" i="1" s="1"/>
  <c r="A490" i="1"/>
  <c r="C493" i="1"/>
  <c r="X493" i="1" s="1"/>
  <c r="A493" i="1"/>
  <c r="A343" i="1"/>
  <c r="C343" i="1"/>
  <c r="X343" i="1" s="1"/>
  <c r="K122" i="1" a="1"/>
  <c r="K122" i="1" s="1"/>
  <c r="G122" i="1" s="1"/>
  <c r="H122" i="1"/>
  <c r="N122" i="1" a="1"/>
  <c r="N122" i="1" s="1"/>
  <c r="C213" i="1"/>
  <c r="X213" i="1" s="1"/>
  <c r="A213" i="1"/>
  <c r="C523" i="1"/>
  <c r="X523" i="1" s="1"/>
  <c r="A523" i="1"/>
  <c r="A112" i="1"/>
  <c r="C112" i="1"/>
  <c r="X112" i="1" s="1"/>
  <c r="N536" i="1" a="1"/>
  <c r="N536" i="1" s="1"/>
  <c r="K536" i="1" a="1"/>
  <c r="K536" i="1" s="1"/>
  <c r="H536" i="1"/>
  <c r="H432" i="1"/>
  <c r="N432" i="1" a="1"/>
  <c r="N432" i="1" s="1"/>
  <c r="K432" i="1" a="1"/>
  <c r="K432" i="1" s="1"/>
  <c r="K262" i="1" a="1"/>
  <c r="K262" i="1" s="1"/>
  <c r="G262" i="1" s="1"/>
  <c r="H262" i="1"/>
  <c r="N262" i="1" a="1"/>
  <c r="N262" i="1" s="1"/>
  <c r="H344" i="1"/>
  <c r="K344" i="1" a="1"/>
  <c r="K344" i="1" s="1"/>
  <c r="N344" i="1" a="1"/>
  <c r="N344" i="1" s="1"/>
  <c r="A224" i="1"/>
  <c r="C224" i="1"/>
  <c r="X224" i="1" s="1"/>
  <c r="C454" i="1"/>
  <c r="X454" i="1" s="1"/>
  <c r="A454" i="1"/>
  <c r="C310" i="1"/>
  <c r="X310" i="1" s="1"/>
  <c r="A310" i="1"/>
  <c r="A245" i="1"/>
  <c r="C245" i="1"/>
  <c r="X245" i="1" s="1"/>
  <c r="A339" i="1"/>
  <c r="C339" i="1"/>
  <c r="X339" i="1" s="1"/>
  <c r="K115" i="1" a="1"/>
  <c r="K115" i="1" s="1"/>
  <c r="G115" i="1" s="1"/>
  <c r="H115" i="1"/>
  <c r="N115" i="1" a="1"/>
  <c r="N115" i="1" s="1"/>
  <c r="K350" i="1" a="1"/>
  <c r="K350" i="1" s="1"/>
  <c r="G350" i="1" s="1"/>
  <c r="N350" i="1" a="1"/>
  <c r="N350" i="1" s="1"/>
  <c r="K387" i="1" a="1"/>
  <c r="K387" i="1" s="1"/>
  <c r="G387" i="1" s="1"/>
  <c r="H387" i="1"/>
  <c r="N387" i="1" a="1"/>
  <c r="N387" i="1" s="1"/>
  <c r="K560" i="1" a="1"/>
  <c r="K560" i="1" s="1"/>
  <c r="G560" i="1" s="1"/>
  <c r="N560" i="1" a="1"/>
  <c r="N560" i="1" s="1"/>
  <c r="H560" i="1"/>
  <c r="A353" i="1"/>
  <c r="C353" i="1"/>
  <c r="X353" i="1" s="1"/>
  <c r="K5" i="1" a="1"/>
  <c r="K5" i="1" s="1"/>
  <c r="G5" i="1" s="1"/>
  <c r="H5" i="1"/>
  <c r="N5" i="1" a="1"/>
  <c r="N5" i="1" s="1"/>
  <c r="A530" i="1"/>
  <c r="C530" i="1"/>
  <c r="X530" i="1" s="1"/>
  <c r="C29" i="1"/>
  <c r="X29" i="1" s="1"/>
  <c r="A29" i="1"/>
  <c r="K512" i="1" a="1"/>
  <c r="K512" i="1" s="1"/>
  <c r="G512" i="1" s="1"/>
  <c r="H512" i="1"/>
  <c r="N512" i="1" a="1"/>
  <c r="N512" i="1" s="1"/>
  <c r="A350" i="1"/>
  <c r="C350" i="1"/>
  <c r="X350" i="1" s="1"/>
  <c r="C318" i="1"/>
  <c r="X318" i="1" s="1"/>
  <c r="A318" i="1"/>
  <c r="N34" i="1" a="1"/>
  <c r="N34" i="1" s="1"/>
  <c r="K34" i="1" a="1"/>
  <c r="K34" i="1" s="1"/>
  <c r="G34" i="1" s="1"/>
  <c r="H56" i="1"/>
  <c r="N56" i="1" a="1"/>
  <c r="N56" i="1" s="1"/>
  <c r="K56" i="1" a="1"/>
  <c r="K56" i="1" s="1"/>
  <c r="G56" i="1" s="1"/>
  <c r="H376" i="1"/>
  <c r="K376" i="1" a="1"/>
  <c r="K376" i="1" s="1"/>
  <c r="N376" i="1" a="1"/>
  <c r="N376" i="1" s="1"/>
  <c r="K276" i="1" a="1"/>
  <c r="K276" i="1" s="1"/>
  <c r="G276" i="1" s="1"/>
  <c r="H276" i="1"/>
  <c r="N276" i="1" a="1"/>
  <c r="N276" i="1" s="1"/>
  <c r="C387" i="1"/>
  <c r="X387" i="1" s="1"/>
  <c r="A387" i="1"/>
  <c r="A241" i="1"/>
  <c r="C241" i="1"/>
  <c r="X241" i="1" s="1"/>
  <c r="A7" i="1"/>
  <c r="C7" i="1"/>
  <c r="X7" i="1" s="1"/>
  <c r="N460" i="1" a="1"/>
  <c r="N460" i="1" s="1"/>
  <c r="H460" i="1"/>
  <c r="K460" i="1" a="1"/>
  <c r="K460" i="1" s="1"/>
  <c r="N410" i="1" a="1"/>
  <c r="N410" i="1" s="1"/>
  <c r="K410" i="1" a="1"/>
  <c r="K410" i="1" s="1"/>
  <c r="G410" i="1" s="1"/>
  <c r="H410" i="1"/>
  <c r="N57" i="1" a="1"/>
  <c r="N57" i="1" s="1"/>
  <c r="K57" i="1" a="1"/>
  <c r="K57" i="1" s="1"/>
  <c r="H57" i="1"/>
  <c r="C418" i="1"/>
  <c r="X418" i="1" s="1"/>
  <c r="A418" i="1"/>
  <c r="K75" i="1" a="1"/>
  <c r="K75" i="1" s="1"/>
  <c r="G75" i="1" s="1"/>
  <c r="H75" i="1"/>
  <c r="N75" i="1" a="1"/>
  <c r="N75" i="1" s="1"/>
  <c r="C544" i="1"/>
  <c r="X544" i="1" s="1"/>
  <c r="A544" i="1"/>
  <c r="A100" i="1"/>
  <c r="C100" i="1"/>
  <c r="X100" i="1" s="1"/>
  <c r="C169" i="1"/>
  <c r="X169" i="1" s="1"/>
  <c r="A169" i="1"/>
  <c r="N389" i="1" a="1"/>
  <c r="N389" i="1" s="1"/>
  <c r="K389" i="1" a="1"/>
  <c r="K389" i="1" s="1"/>
  <c r="G389" i="1" s="1"/>
  <c r="H389" i="1"/>
  <c r="N407" i="1" a="1"/>
  <c r="N407" i="1" s="1"/>
  <c r="K407" i="1" a="1"/>
  <c r="K407" i="1" s="1"/>
  <c r="G407" i="1" s="1"/>
  <c r="H407" i="1"/>
  <c r="C464" i="1"/>
  <c r="X464" i="1" s="1"/>
  <c r="A464" i="1"/>
  <c r="H353" i="1"/>
  <c r="N353" i="1" a="1"/>
  <c r="N353" i="1" s="1"/>
  <c r="K353" i="1" a="1"/>
  <c r="K353" i="1" s="1"/>
  <c r="G353" i="1" s="1"/>
  <c r="C196" i="1"/>
  <c r="X196" i="1" s="1"/>
  <c r="A196" i="1"/>
  <c r="A539" i="1"/>
  <c r="C539" i="1"/>
  <c r="X539" i="1" s="1"/>
  <c r="K246" i="1" a="1"/>
  <c r="K246" i="1" s="1"/>
  <c r="G246" i="1" s="1"/>
  <c r="N246" i="1" a="1"/>
  <c r="N246" i="1" s="1"/>
  <c r="N412" i="1" a="1"/>
  <c r="N412" i="1" s="1"/>
  <c r="K412" i="1" a="1"/>
  <c r="K412" i="1" s="1"/>
  <c r="G412" i="1" s="1"/>
  <c r="H412" i="1"/>
  <c r="A390" i="1"/>
  <c r="C390" i="1"/>
  <c r="X390" i="1" s="1"/>
  <c r="A509" i="1"/>
  <c r="C509" i="1"/>
  <c r="X509" i="1" s="1"/>
  <c r="C153" i="1"/>
  <c r="X153" i="1" s="1"/>
  <c r="A153" i="1"/>
  <c r="H286" i="1"/>
  <c r="N286" i="1" a="1"/>
  <c r="N286" i="1" s="1"/>
  <c r="K286" i="1" a="1"/>
  <c r="K286" i="1" s="1"/>
  <c r="G286" i="1" s="1"/>
  <c r="A252" i="1"/>
  <c r="C252" i="1"/>
  <c r="X252" i="1" s="1"/>
  <c r="K209" i="1" a="1"/>
  <c r="K209" i="1" s="1"/>
  <c r="G209" i="1" s="1"/>
  <c r="H209" i="1"/>
  <c r="N209" i="1" a="1"/>
  <c r="N209" i="1" s="1"/>
  <c r="C356" i="1"/>
  <c r="X356" i="1" s="1"/>
  <c r="A356" i="1"/>
  <c r="C71" i="1"/>
  <c r="X71" i="1" s="1"/>
  <c r="A71" i="1"/>
  <c r="A126" i="1"/>
  <c r="C126" i="1"/>
  <c r="X126" i="1" s="1"/>
  <c r="A273" i="1"/>
  <c r="C273" i="1"/>
  <c r="X273" i="1" s="1"/>
  <c r="N268" i="1" a="1"/>
  <c r="N268" i="1" s="1"/>
  <c r="K268" i="1" a="1"/>
  <c r="K268" i="1" s="1"/>
  <c r="G268" i="1" s="1"/>
  <c r="N333" i="1" a="1"/>
  <c r="N333" i="1" s="1"/>
  <c r="H333" i="1"/>
  <c r="K333" i="1" a="1"/>
  <c r="K333" i="1" s="1"/>
  <c r="G333" i="1" s="1"/>
  <c r="K444" i="1" a="1"/>
  <c r="K444" i="1" s="1"/>
  <c r="H444" i="1"/>
  <c r="N444" i="1" a="1"/>
  <c r="N444" i="1" s="1"/>
  <c r="K44" i="1" a="1"/>
  <c r="K44" i="1" s="1"/>
  <c r="G44" i="1" s="1"/>
  <c r="N44" i="1" a="1"/>
  <c r="N44" i="1" s="1"/>
  <c r="K62" i="1" a="1"/>
  <c r="K62" i="1" s="1"/>
  <c r="H62" i="1"/>
  <c r="N62" i="1" a="1"/>
  <c r="N62" i="1" s="1"/>
  <c r="A25" i="1"/>
  <c r="C25" i="1"/>
  <c r="X25" i="1" s="1"/>
  <c r="C262" i="1"/>
  <c r="X262" i="1" s="1"/>
  <c r="A262" i="1"/>
  <c r="H254" i="1"/>
  <c r="K254" i="1" a="1"/>
  <c r="K254" i="1" s="1"/>
  <c r="N254" i="1" a="1"/>
  <c r="N254" i="1" s="1"/>
  <c r="K438" i="1" a="1"/>
  <c r="K438" i="1" s="1"/>
  <c r="G438" i="1" s="1"/>
  <c r="N438" i="1" a="1"/>
  <c r="N438" i="1" s="1"/>
  <c r="H438" i="1"/>
  <c r="K397" i="1" a="1"/>
  <c r="K397" i="1" s="1"/>
  <c r="N397" i="1" a="1"/>
  <c r="N397" i="1" s="1"/>
  <c r="H397" i="1"/>
  <c r="C294" i="1"/>
  <c r="X294" i="1" s="1"/>
  <c r="A294" i="1"/>
  <c r="N371" i="1" a="1"/>
  <c r="N371" i="1" s="1"/>
  <c r="H371" i="1"/>
  <c r="K371" i="1" a="1"/>
  <c r="K371" i="1" s="1"/>
  <c r="G371" i="1" s="1"/>
  <c r="K384" i="1" a="1"/>
  <c r="K384" i="1" s="1"/>
  <c r="H384" i="1"/>
  <c r="N384" i="1" a="1"/>
  <c r="N384" i="1" s="1"/>
  <c r="H32" i="1"/>
  <c r="N32" i="1" a="1"/>
  <c r="N32" i="1" s="1"/>
  <c r="K32" i="1" a="1"/>
  <c r="K32" i="1" s="1"/>
  <c r="G32" i="1" s="1"/>
  <c r="N161" i="1" a="1"/>
  <c r="N161" i="1" s="1"/>
  <c r="K161" i="1" a="1"/>
  <c r="K161" i="1" s="1"/>
  <c r="G161" i="1" s="1"/>
  <c r="H161" i="1"/>
  <c r="C291" i="1"/>
  <c r="X291" i="1" s="1"/>
  <c r="A291" i="1"/>
  <c r="A486" i="1"/>
  <c r="C486" i="1"/>
  <c r="X486" i="1" s="1"/>
  <c r="K559" i="1" a="1"/>
  <c r="K559" i="1" s="1"/>
  <c r="G559" i="1" s="1"/>
  <c r="N559" i="1" a="1"/>
  <c r="N559" i="1" s="1"/>
  <c r="C364" i="1"/>
  <c r="X364" i="1" s="1"/>
  <c r="A364" i="1"/>
  <c r="K124" i="1" a="1"/>
  <c r="K124" i="1" s="1"/>
  <c r="H124" i="1"/>
  <c r="N124" i="1" a="1"/>
  <c r="N124" i="1" s="1"/>
  <c r="N481" i="1" a="1"/>
  <c r="N481" i="1" s="1"/>
  <c r="K481" i="1" a="1"/>
  <c r="K481" i="1" s="1"/>
  <c r="G481" i="1" s="1"/>
  <c r="C543" i="1"/>
  <c r="X543" i="1" s="1"/>
  <c r="A543" i="1"/>
  <c r="C88" i="1"/>
  <c r="X88" i="1" s="1"/>
  <c r="A88" i="1"/>
  <c r="K74" i="1" a="1"/>
  <c r="K74" i="1" s="1"/>
  <c r="G74" i="1" s="1"/>
  <c r="H74" i="1"/>
  <c r="N74" i="1" a="1"/>
  <c r="N74" i="1" s="1"/>
  <c r="A322" i="1"/>
  <c r="C322" i="1"/>
  <c r="X322" i="1" s="1"/>
  <c r="K315" i="1" a="1"/>
  <c r="K315" i="1" s="1"/>
  <c r="H315" i="1"/>
  <c r="N315" i="1" a="1"/>
  <c r="N315" i="1" s="1"/>
  <c r="C207" i="1"/>
  <c r="X207" i="1" s="1"/>
  <c r="A207" i="1"/>
  <c r="N434" i="1" a="1"/>
  <c r="N434" i="1" s="1"/>
  <c r="K434" i="1" a="1"/>
  <c r="K434" i="1" s="1"/>
  <c r="G434" i="1" s="1"/>
  <c r="K229" i="1" a="1"/>
  <c r="K229" i="1" s="1"/>
  <c r="G229" i="1" s="1"/>
  <c r="N229" i="1" a="1"/>
  <c r="N229" i="1" s="1"/>
  <c r="A190" i="1"/>
  <c r="C190" i="1"/>
  <c r="X190" i="1" s="1"/>
  <c r="K184" i="1" a="1"/>
  <c r="K184" i="1" s="1"/>
  <c r="H184" i="1"/>
  <c r="N184" i="1" a="1"/>
  <c r="N184" i="1" s="1"/>
  <c r="C289" i="1"/>
  <c r="X289" i="1" s="1"/>
  <c r="A289" i="1"/>
  <c r="N391" i="1" a="1"/>
  <c r="N391" i="1" s="1"/>
  <c r="K391" i="1" a="1"/>
  <c r="K391" i="1" s="1"/>
  <c r="H391" i="1"/>
  <c r="N345" i="1" a="1"/>
  <c r="N345" i="1" s="1"/>
  <c r="K345" i="1" a="1"/>
  <c r="K345" i="1" s="1"/>
  <c r="G345" i="1" s="1"/>
  <c r="H345" i="1"/>
  <c r="C229" i="1"/>
  <c r="X229" i="1" s="1"/>
  <c r="A229" i="1"/>
  <c r="C329" i="1"/>
  <c r="X329" i="1" s="1"/>
  <c r="A329" i="1"/>
  <c r="A75" i="1"/>
  <c r="C75" i="1"/>
  <c r="X75" i="1" s="1"/>
  <c r="K517" i="1" a="1"/>
  <c r="K517" i="1" s="1"/>
  <c r="G517" i="1" s="1"/>
  <c r="N517" i="1" a="1"/>
  <c r="N517" i="1" s="1"/>
  <c r="K16" i="1" a="1"/>
  <c r="K16" i="1" s="1"/>
  <c r="H16" i="1"/>
  <c r="N16" i="1" a="1"/>
  <c r="N16" i="1" s="1"/>
  <c r="A189" i="1"/>
  <c r="C189" i="1"/>
  <c r="X189" i="1" s="1"/>
  <c r="K174" i="1" a="1"/>
  <c r="K174" i="1" s="1"/>
  <c r="H174" i="1"/>
  <c r="N174" i="1" a="1"/>
  <c r="N174" i="1" s="1"/>
  <c r="C474" i="1"/>
  <c r="X474" i="1" s="1"/>
  <c r="A474" i="1"/>
  <c r="C278" i="1"/>
  <c r="X278" i="1" s="1"/>
  <c r="A278" i="1"/>
  <c r="H76" i="1"/>
  <c r="N76" i="1" a="1"/>
  <c r="N76" i="1" s="1"/>
  <c r="K76" i="1" a="1"/>
  <c r="K76" i="1" s="1"/>
  <c r="H326" i="1"/>
  <c r="K326" i="1" a="1"/>
  <c r="K326" i="1" s="1"/>
  <c r="G326" i="1" s="1"/>
  <c r="N326" i="1" a="1"/>
  <c r="N326" i="1" s="1"/>
  <c r="H158" i="1"/>
  <c r="N158" i="1" a="1"/>
  <c r="N158" i="1" s="1"/>
  <c r="K158" i="1" a="1"/>
  <c r="K158" i="1" s="1"/>
  <c r="G158" i="1" s="1"/>
  <c r="C419" i="1"/>
  <c r="X419" i="1" s="1"/>
  <c r="A419" i="1"/>
  <c r="H245" i="1"/>
  <c r="N245" i="1" a="1"/>
  <c r="N245" i="1" s="1"/>
  <c r="K245" i="1" a="1"/>
  <c r="K245" i="1" s="1"/>
  <c r="G245" i="1" s="1"/>
  <c r="N287" i="1" a="1"/>
  <c r="N287" i="1" s="1"/>
  <c r="K287" i="1" a="1"/>
  <c r="K287" i="1" s="1"/>
  <c r="G287" i="1" s="1"/>
  <c r="C180" i="1"/>
  <c r="X180" i="1" s="1"/>
  <c r="A180" i="1"/>
  <c r="A362" i="1"/>
  <c r="C362" i="1"/>
  <c r="X362" i="1" s="1"/>
  <c r="C98" i="1"/>
  <c r="X98" i="1" s="1"/>
  <c r="A98" i="1"/>
  <c r="H459" i="1"/>
  <c r="N459" i="1" a="1"/>
  <c r="N459" i="1" s="1"/>
  <c r="K459" i="1" a="1"/>
  <c r="K459" i="1" s="1"/>
  <c r="C160" i="1"/>
  <c r="X160" i="1" s="1"/>
  <c r="A160" i="1"/>
  <c r="H179" i="1"/>
  <c r="N179" i="1" a="1"/>
  <c r="N179" i="1" s="1"/>
  <c r="K179" i="1" a="1"/>
  <c r="K179" i="1" s="1"/>
  <c r="G179" i="1" s="1"/>
  <c r="C168" i="1"/>
  <c r="X168" i="1" s="1"/>
  <c r="A168" i="1"/>
  <c r="C184" i="1"/>
  <c r="X184" i="1" s="1"/>
  <c r="A184" i="1"/>
  <c r="A445" i="1"/>
  <c r="C445" i="1"/>
  <c r="X445" i="1" s="1"/>
  <c r="A321" i="1"/>
  <c r="C321" i="1"/>
  <c r="X321" i="1" s="1"/>
  <c r="C308" i="1"/>
  <c r="X308" i="1" s="1"/>
  <c r="A308" i="1"/>
  <c r="C167" i="1"/>
  <c r="X167" i="1" s="1"/>
  <c r="A167" i="1"/>
  <c r="K524" i="1" a="1"/>
  <c r="K524" i="1" s="1"/>
  <c r="H524" i="1"/>
  <c r="N524" i="1" a="1"/>
  <c r="N524" i="1" s="1"/>
  <c r="K256" i="1" a="1"/>
  <c r="K256" i="1" s="1"/>
  <c r="H256" i="1"/>
  <c r="N256" i="1" a="1"/>
  <c r="N256" i="1" s="1"/>
  <c r="C219" i="1"/>
  <c r="X219" i="1" s="1"/>
  <c r="A219" i="1"/>
  <c r="A557" i="1"/>
  <c r="C557" i="1"/>
  <c r="X557" i="1" s="1"/>
  <c r="N82" i="1" a="1"/>
  <c r="N82" i="1" s="1"/>
  <c r="K82" i="1" a="1"/>
  <c r="K82" i="1" s="1"/>
  <c r="G82" i="1" s="1"/>
  <c r="H82" i="1"/>
  <c r="A157" i="1"/>
  <c r="C157" i="1"/>
  <c r="X157" i="1" s="1"/>
  <c r="C363" i="1"/>
  <c r="X363" i="1" s="1"/>
  <c r="A363" i="1"/>
  <c r="C6" i="1"/>
  <c r="X6" i="1" s="1"/>
  <c r="A6" i="1"/>
  <c r="K64" i="1" a="1"/>
  <c r="K64" i="1" s="1"/>
  <c r="H64" i="1"/>
  <c r="N64" i="1" a="1"/>
  <c r="N64" i="1" s="1"/>
  <c r="A284" i="1"/>
  <c r="C284" i="1"/>
  <c r="X284" i="1" s="1"/>
  <c r="A337" i="1"/>
  <c r="C337" i="1"/>
  <c r="X337" i="1" s="1"/>
  <c r="C81" i="1"/>
  <c r="X81" i="1" s="1"/>
  <c r="A81" i="1"/>
  <c r="N482" i="1" a="1"/>
  <c r="N482" i="1" s="1"/>
  <c r="K482" i="1" a="1"/>
  <c r="K482" i="1" s="1"/>
  <c r="G482" i="1" s="1"/>
  <c r="H482" i="1"/>
  <c r="K59" i="1" a="1"/>
  <c r="K59" i="1" s="1"/>
  <c r="H59" i="1"/>
  <c r="N59" i="1" a="1"/>
  <c r="N59" i="1" s="1"/>
  <c r="A504" i="1"/>
  <c r="C504" i="1"/>
  <c r="X504" i="1" s="1"/>
  <c r="K275" i="1" a="1"/>
  <c r="K275" i="1" s="1"/>
  <c r="H275" i="1"/>
  <c r="N275" i="1" a="1"/>
  <c r="N275" i="1" s="1"/>
  <c r="N338" i="1" a="1"/>
  <c r="N338" i="1" s="1"/>
  <c r="K338" i="1" a="1"/>
  <c r="K338" i="1" s="1"/>
  <c r="G338" i="1" s="1"/>
  <c r="N198" i="1" a="1"/>
  <c r="N198" i="1" s="1"/>
  <c r="K198" i="1" a="1"/>
  <c r="K198" i="1" s="1"/>
  <c r="G198" i="1" s="1"/>
  <c r="H422" i="1"/>
  <c r="K422" i="1" a="1"/>
  <c r="K422" i="1" s="1"/>
  <c r="G422" i="1" s="1"/>
  <c r="N422" i="1" a="1"/>
  <c r="N422" i="1" s="1"/>
  <c r="A21" i="1"/>
  <c r="C21" i="1"/>
  <c r="X21" i="1" s="1"/>
  <c r="A497" i="1"/>
  <c r="C497" i="1"/>
  <c r="X497" i="1" s="1"/>
  <c r="C374" i="1"/>
  <c r="X374" i="1" s="1"/>
  <c r="A374" i="1"/>
  <c r="N505" i="1" a="1"/>
  <c r="N505" i="1" s="1"/>
  <c r="K505" i="1" a="1"/>
  <c r="K505" i="1" s="1"/>
  <c r="G505" i="1" s="1"/>
  <c r="H505" i="1"/>
  <c r="H409" i="1"/>
  <c r="K409" i="1" a="1"/>
  <c r="K409" i="1" s="1"/>
  <c r="N409" i="1" a="1"/>
  <c r="N409" i="1" s="1"/>
  <c r="H513" i="1"/>
  <c r="K513" i="1" a="1"/>
  <c r="K513" i="1" s="1"/>
  <c r="N513" i="1" a="1"/>
  <c r="N513" i="1" s="1"/>
  <c r="C457" i="1"/>
  <c r="X457" i="1" s="1"/>
  <c r="A457" i="1"/>
  <c r="N430" i="1" a="1"/>
  <c r="N430" i="1" s="1"/>
  <c r="K430" i="1" a="1"/>
  <c r="K430" i="1" s="1"/>
  <c r="H430" i="1"/>
  <c r="C520" i="1"/>
  <c r="X520" i="1" s="1"/>
  <c r="A520" i="1"/>
  <c r="C461" i="1"/>
  <c r="X461" i="1" s="1"/>
  <c r="A461" i="1"/>
  <c r="H120" i="1"/>
  <c r="K120" i="1" a="1"/>
  <c r="K120" i="1" s="1"/>
  <c r="N120" i="1" a="1"/>
  <c r="N120" i="1" s="1"/>
  <c r="K224" i="1" a="1"/>
  <c r="K224" i="1" s="1"/>
  <c r="H224" i="1"/>
  <c r="N224" i="1" a="1"/>
  <c r="N224" i="1" s="1"/>
  <c r="K403" i="1" a="1"/>
  <c r="K403" i="1" s="1"/>
  <c r="G403" i="1" s="1"/>
  <c r="H403" i="1"/>
  <c r="N403" i="1" a="1"/>
  <c r="N403" i="1" s="1"/>
  <c r="N236" i="1" a="1"/>
  <c r="N236" i="1" s="1"/>
  <c r="K236" i="1" a="1"/>
  <c r="K236" i="1" s="1"/>
  <c r="G236" i="1" s="1"/>
  <c r="H348" i="1"/>
  <c r="N348" i="1" a="1"/>
  <c r="N348" i="1" s="1"/>
  <c r="K348" i="1" a="1"/>
  <c r="K348" i="1" s="1"/>
  <c r="K352" i="1" a="1"/>
  <c r="K352" i="1" s="1"/>
  <c r="N352" i="1" a="1"/>
  <c r="N352" i="1" s="1"/>
  <c r="H352" i="1"/>
  <c r="C173" i="1"/>
  <c r="X173" i="1" s="1"/>
  <c r="A173" i="1"/>
  <c r="K242" i="1" a="1"/>
  <c r="K242" i="1" s="1"/>
  <c r="G242" i="1" s="1"/>
  <c r="N242" i="1" a="1"/>
  <c r="N242" i="1" s="1"/>
  <c r="H270" i="1"/>
  <c r="K270" i="1" a="1"/>
  <c r="K270" i="1" s="1"/>
  <c r="G270" i="1" s="1"/>
  <c r="N270" i="1" a="1"/>
  <c r="N270" i="1" s="1"/>
  <c r="C271" i="1"/>
  <c r="X271" i="1" s="1"/>
  <c r="A271" i="1"/>
  <c r="A527" i="1"/>
  <c r="C527" i="1"/>
  <c r="X527" i="1" s="1"/>
  <c r="C532" i="1"/>
  <c r="X532" i="1" s="1"/>
  <c r="A532" i="1"/>
  <c r="C320" i="1"/>
  <c r="X320" i="1" s="1"/>
  <c r="A320" i="1"/>
  <c r="C32" i="1"/>
  <c r="X32" i="1" s="1"/>
  <c r="A32" i="1"/>
  <c r="A242" i="1"/>
  <c r="C242" i="1"/>
  <c r="X242" i="1" s="1"/>
  <c r="C360" i="1"/>
  <c r="X360" i="1" s="1"/>
  <c r="A360" i="1"/>
  <c r="C292" i="1"/>
  <c r="X292" i="1" s="1"/>
  <c r="A292" i="1"/>
  <c r="C93" i="1"/>
  <c r="X93" i="1" s="1"/>
  <c r="A93" i="1"/>
  <c r="N443" i="1" a="1"/>
  <c r="N443" i="1" s="1"/>
  <c r="K443" i="1" a="1"/>
  <c r="K443" i="1" s="1"/>
  <c r="H443" i="1"/>
  <c r="N68" i="1" a="1"/>
  <c r="N68" i="1" s="1"/>
  <c r="K68" i="1" a="1"/>
  <c r="K68" i="1" s="1"/>
  <c r="G68" i="1" s="1"/>
  <c r="H68" i="1"/>
  <c r="A327" i="1"/>
  <c r="C327" i="1"/>
  <c r="X327" i="1" s="1"/>
  <c r="C258" i="1"/>
  <c r="X258" i="1" s="1"/>
  <c r="A258" i="1"/>
  <c r="C529" i="1"/>
  <c r="X529" i="1" s="1"/>
  <c r="A529" i="1"/>
  <c r="H334" i="1"/>
  <c r="K334" i="1" a="1"/>
  <c r="K334" i="1" s="1"/>
  <c r="G334" i="1" s="1"/>
  <c r="N334" i="1" a="1"/>
  <c r="N334" i="1" s="1"/>
  <c r="C182" i="1"/>
  <c r="X182" i="1" s="1"/>
  <c r="A182" i="1"/>
  <c r="C91" i="1"/>
  <c r="X91" i="1" s="1"/>
  <c r="A91" i="1"/>
  <c r="K49" i="1" a="1"/>
  <c r="K49" i="1" s="1"/>
  <c r="G49" i="1" s="1"/>
  <c r="N49" i="1" a="1"/>
  <c r="N49" i="1" s="1"/>
  <c r="A94" i="1"/>
  <c r="C94" i="1"/>
  <c r="X94" i="1" s="1"/>
  <c r="H261" i="1"/>
  <c r="N261" i="1" a="1"/>
  <c r="N261" i="1" s="1"/>
  <c r="K261" i="1" a="1"/>
  <c r="K261" i="1" s="1"/>
  <c r="N110" i="1" a="1"/>
  <c r="N110" i="1" s="1"/>
  <c r="K110" i="1" a="1"/>
  <c r="K110" i="1" s="1"/>
  <c r="G110" i="1" s="1"/>
  <c r="K42" i="1" a="1"/>
  <c r="K42" i="1" s="1"/>
  <c r="H42" i="1"/>
  <c r="N42" i="1" a="1"/>
  <c r="N42" i="1" s="1"/>
  <c r="N508" i="1" a="1"/>
  <c r="N508" i="1" s="1"/>
  <c r="K508" i="1" a="1"/>
  <c r="K508" i="1" s="1"/>
  <c r="G508" i="1" s="1"/>
  <c r="H508" i="1"/>
  <c r="N237" i="1" a="1"/>
  <c r="N237" i="1" s="1"/>
  <c r="K237" i="1" a="1"/>
  <c r="K237" i="1" s="1"/>
  <c r="G237" i="1" s="1"/>
  <c r="H237" i="1"/>
  <c r="K541" i="1" a="1"/>
  <c r="K541" i="1" s="1"/>
  <c r="G541" i="1" s="1"/>
  <c r="H541" i="1"/>
  <c r="N541" i="1" a="1"/>
  <c r="N541" i="1" s="1"/>
  <c r="N484" i="1" a="1"/>
  <c r="N484" i="1" s="1"/>
  <c r="K484" i="1" a="1"/>
  <c r="K484" i="1" s="1"/>
  <c r="H484" i="1"/>
  <c r="K17" i="1" a="1"/>
  <c r="K17" i="1" s="1"/>
  <c r="G17" i="1" s="1"/>
  <c r="H17" i="1"/>
  <c r="N17" i="1" a="1"/>
  <c r="N17" i="1" s="1"/>
  <c r="K73" i="1" a="1"/>
  <c r="K73" i="1" s="1"/>
  <c r="G73" i="1" s="1"/>
  <c r="N73" i="1" a="1"/>
  <c r="N73" i="1" s="1"/>
  <c r="A64" i="1"/>
  <c r="C64" i="1"/>
  <c r="X64" i="1" s="1"/>
  <c r="C514" i="1"/>
  <c r="X514" i="1" s="1"/>
  <c r="A514" i="1"/>
  <c r="K50" i="1" a="1"/>
  <c r="K50" i="1" s="1"/>
  <c r="H50" i="1"/>
  <c r="N50" i="1" a="1"/>
  <c r="N50" i="1" s="1"/>
  <c r="K251" i="1" a="1"/>
  <c r="K251" i="1" s="1"/>
  <c r="G251" i="1" s="1"/>
  <c r="H251" i="1"/>
  <c r="N251" i="1" a="1"/>
  <c r="N251" i="1" s="1"/>
  <c r="C296" i="1"/>
  <c r="X296" i="1" s="1"/>
  <c r="A296" i="1"/>
  <c r="A61" i="1"/>
  <c r="C61" i="1"/>
  <c r="X61" i="1" s="1"/>
  <c r="C481" i="1"/>
  <c r="X481" i="1" s="1"/>
  <c r="A481" i="1"/>
  <c r="C114" i="1"/>
  <c r="X114" i="1" s="1"/>
  <c r="A114" i="1"/>
  <c r="H456" i="1"/>
  <c r="N456" i="1" a="1"/>
  <c r="N456" i="1" s="1"/>
  <c r="K456" i="1" a="1"/>
  <c r="K456" i="1" s="1"/>
  <c r="G456" i="1" s="1"/>
  <c r="C101" i="1"/>
  <c r="X101" i="1" s="1"/>
  <c r="A101" i="1"/>
  <c r="A185" i="1"/>
  <c r="C185" i="1"/>
  <c r="X185" i="1" s="1"/>
  <c r="C264" i="1"/>
  <c r="X264" i="1" s="1"/>
  <c r="A264" i="1"/>
  <c r="C396" i="1"/>
  <c r="X396" i="1" s="1"/>
  <c r="A396" i="1"/>
  <c r="C234" i="1"/>
  <c r="X234" i="1" s="1"/>
  <c r="A234" i="1"/>
  <c r="N105" i="1" a="1"/>
  <c r="N105" i="1" s="1"/>
  <c r="K105" i="1" a="1"/>
  <c r="K105" i="1" s="1"/>
  <c r="G105" i="1" s="1"/>
  <c r="H105" i="1"/>
  <c r="C53" i="1"/>
  <c r="X53" i="1" s="1"/>
  <c r="A53" i="1"/>
  <c r="N90" i="1" a="1"/>
  <c r="N90" i="1" s="1"/>
  <c r="K90" i="1" a="1"/>
  <c r="K90" i="1" s="1"/>
  <c r="G90" i="1" s="1"/>
  <c r="N448" i="1" a="1"/>
  <c r="N448" i="1" s="1"/>
  <c r="K448" i="1" a="1"/>
  <c r="K448" i="1" s="1"/>
  <c r="G448" i="1" s="1"/>
  <c r="H448" i="1"/>
  <c r="C272" i="1"/>
  <c r="X272" i="1" s="1"/>
  <c r="A272" i="1"/>
  <c r="A205" i="1"/>
  <c r="C205" i="1"/>
  <c r="X205" i="1" s="1"/>
  <c r="A346" i="1"/>
  <c r="C346" i="1"/>
  <c r="X346" i="1" s="1"/>
  <c r="N427" i="1" a="1"/>
  <c r="N427" i="1" s="1"/>
  <c r="H427" i="1"/>
  <c r="K427" i="1" a="1"/>
  <c r="K427" i="1" s="1"/>
  <c r="A513" i="1"/>
  <c r="C513" i="1"/>
  <c r="X513" i="1" s="1"/>
  <c r="C250" i="1"/>
  <c r="X250" i="1" s="1"/>
  <c r="A250" i="1"/>
  <c r="C131" i="1"/>
  <c r="X131" i="1" s="1"/>
  <c r="A131" i="1"/>
  <c r="C135" i="1"/>
  <c r="X135" i="1" s="1"/>
  <c r="A135" i="1"/>
  <c r="N418" i="1" a="1"/>
  <c r="N418" i="1" s="1"/>
  <c r="K418" i="1" a="1"/>
  <c r="K418" i="1" s="1"/>
  <c r="G418" i="1" s="1"/>
  <c r="H418" i="1"/>
  <c r="C66" i="1"/>
  <c r="X66" i="1" s="1"/>
  <c r="A66" i="1"/>
  <c r="A558" i="1"/>
  <c r="C558" i="1"/>
  <c r="X558" i="1" s="1"/>
  <c r="N217" i="1" a="1"/>
  <c r="N217" i="1" s="1"/>
  <c r="K217" i="1" a="1"/>
  <c r="K217" i="1" s="1"/>
  <c r="G217" i="1" s="1"/>
  <c r="C142" i="1"/>
  <c r="X142" i="1" s="1"/>
  <c r="A142" i="1"/>
  <c r="A368" i="1"/>
  <c r="C368" i="1"/>
  <c r="X368" i="1" s="1"/>
  <c r="C58" i="1"/>
  <c r="X58" i="1" s="1"/>
  <c r="A58" i="1"/>
  <c r="K41" i="1" a="1"/>
  <c r="K41" i="1" s="1"/>
  <c r="H41" i="1"/>
  <c r="N41" i="1" a="1"/>
  <c r="N41" i="1" s="1"/>
  <c r="C372" i="1"/>
  <c r="X372" i="1" s="1"/>
  <c r="A372" i="1"/>
  <c r="K555" i="1" a="1"/>
  <c r="K555" i="1" s="1"/>
  <c r="G555" i="1" s="1"/>
  <c r="H555" i="1"/>
  <c r="N555" i="1" a="1"/>
  <c r="N555" i="1" s="1"/>
  <c r="H528" i="1"/>
  <c r="K528" i="1" a="1"/>
  <c r="K528" i="1" s="1"/>
  <c r="G528" i="1" s="1"/>
  <c r="N528" i="1" a="1"/>
  <c r="N528" i="1" s="1"/>
  <c r="K414" i="1" a="1"/>
  <c r="K414" i="1" s="1"/>
  <c r="H414" i="1"/>
  <c r="N414" i="1" a="1"/>
  <c r="N414" i="1" s="1"/>
  <c r="N296" i="1" a="1"/>
  <c r="N296" i="1" s="1"/>
  <c r="K296" i="1" a="1"/>
  <c r="K296" i="1" s="1"/>
  <c r="G296" i="1" s="1"/>
  <c r="H543" i="1"/>
  <c r="N543" i="1" a="1"/>
  <c r="N543" i="1" s="1"/>
  <c r="K543" i="1" a="1"/>
  <c r="K543" i="1" s="1"/>
  <c r="H404" i="1"/>
  <c r="N404" i="1" a="1"/>
  <c r="N404" i="1" s="1"/>
  <c r="K404" i="1" a="1"/>
  <c r="K404" i="1" s="1"/>
  <c r="C105" i="1"/>
  <c r="X105" i="1" s="1"/>
  <c r="A105" i="1"/>
  <c r="A385" i="1"/>
  <c r="C385" i="1"/>
  <c r="X385" i="1" s="1"/>
  <c r="A174" i="1"/>
  <c r="C174" i="1"/>
  <c r="X174" i="1" s="1"/>
  <c r="K506" i="1" a="1"/>
  <c r="K506" i="1" s="1"/>
  <c r="N506" i="1" a="1"/>
  <c r="N506" i="1" s="1"/>
  <c r="H506" i="1"/>
  <c r="H260" i="1"/>
  <c r="N260" i="1" a="1"/>
  <c r="N260" i="1" s="1"/>
  <c r="K260" i="1" a="1"/>
  <c r="K260" i="1" s="1"/>
  <c r="G260" i="1" s="1"/>
  <c r="H225" i="1"/>
  <c r="N225" i="1" a="1"/>
  <c r="N225" i="1" s="1"/>
  <c r="K225" i="1" a="1"/>
  <c r="K225" i="1" s="1"/>
  <c r="G225" i="1" s="1"/>
  <c r="K354" i="1" a="1"/>
  <c r="K354" i="1" s="1"/>
  <c r="G354" i="1" s="1"/>
  <c r="N354" i="1" a="1"/>
  <c r="N354" i="1" s="1"/>
  <c r="C233" i="1"/>
  <c r="X233" i="1" s="1"/>
  <c r="A233" i="1"/>
  <c r="N336" i="1" a="1"/>
  <c r="N336" i="1" s="1"/>
  <c r="K336" i="1" a="1"/>
  <c r="K336" i="1" s="1"/>
  <c r="H336" i="1"/>
  <c r="K226" i="1" a="1"/>
  <c r="K226" i="1" s="1"/>
  <c r="G226" i="1" s="1"/>
  <c r="N226" i="1" a="1"/>
  <c r="N226" i="1" s="1"/>
  <c r="H436" i="1"/>
  <c r="K436" i="1" a="1"/>
  <c r="K436" i="1" s="1"/>
  <c r="G436" i="1" s="1"/>
  <c r="N436" i="1" a="1"/>
  <c r="N436" i="1" s="1"/>
  <c r="K168" i="1" a="1"/>
  <c r="K168" i="1" s="1"/>
  <c r="H168" i="1"/>
  <c r="N168" i="1" a="1"/>
  <c r="N168" i="1" s="1"/>
  <c r="K7" i="1" a="1"/>
  <c r="K7" i="1" s="1"/>
  <c r="G7" i="1" s="1"/>
  <c r="H7" i="1"/>
  <c r="N7" i="1" a="1"/>
  <c r="N7" i="1" s="1"/>
  <c r="N548" i="1" a="1"/>
  <c r="N548" i="1" s="1"/>
  <c r="K548" i="1" a="1"/>
  <c r="K548" i="1" s="1"/>
  <c r="H548" i="1"/>
  <c r="N117" i="1" a="1"/>
  <c r="N117" i="1" s="1"/>
  <c r="K117" i="1" a="1"/>
  <c r="K117" i="1" s="1"/>
  <c r="H117" i="1"/>
  <c r="N234" i="1" a="1"/>
  <c r="N234" i="1" s="1"/>
  <c r="K234" i="1" a="1"/>
  <c r="K234" i="1" s="1"/>
  <c r="H234" i="1"/>
  <c r="K487" i="1" a="1"/>
  <c r="K487" i="1" s="1"/>
  <c r="N487" i="1" a="1"/>
  <c r="N487" i="1" s="1"/>
  <c r="H487" i="1"/>
  <c r="C427" i="1"/>
  <c r="X427" i="1" s="1"/>
  <c r="A427" i="1"/>
  <c r="A171" i="1"/>
  <c r="C171" i="1"/>
  <c r="X171" i="1" s="1"/>
  <c r="H385" i="1"/>
  <c r="N385" i="1" a="1"/>
  <c r="N385" i="1" s="1"/>
  <c r="K385" i="1" a="1"/>
  <c r="K385" i="1" s="1"/>
  <c r="G385" i="1" s="1"/>
  <c r="H92" i="1"/>
  <c r="K92" i="1" a="1"/>
  <c r="K92" i="1" s="1"/>
  <c r="N92" i="1" a="1"/>
  <c r="N92" i="1" s="1"/>
  <c r="C67" i="1"/>
  <c r="X67" i="1" s="1"/>
  <c r="A67" i="1"/>
  <c r="K23" i="1" a="1"/>
  <c r="K23" i="1" s="1"/>
  <c r="G23" i="1" s="1"/>
  <c r="N23" i="1" a="1"/>
  <c r="N23" i="1" s="1"/>
  <c r="N94" i="1" a="1"/>
  <c r="N94" i="1" s="1"/>
  <c r="K94" i="1" a="1"/>
  <c r="K94" i="1" s="1"/>
  <c r="G94" i="1" s="1"/>
  <c r="K250" i="1" a="1"/>
  <c r="K250" i="1" s="1"/>
  <c r="G250" i="1" s="1"/>
  <c r="N250" i="1" a="1"/>
  <c r="N250" i="1" s="1"/>
  <c r="C200" i="1"/>
  <c r="X200" i="1" s="1"/>
  <c r="A200" i="1"/>
  <c r="H84" i="1"/>
  <c r="N84" i="1" a="1"/>
  <c r="N84" i="1" s="1"/>
  <c r="K84" i="1" a="1"/>
  <c r="K84" i="1" s="1"/>
  <c r="K173" i="1" a="1"/>
  <c r="K173" i="1" s="1"/>
  <c r="H173" i="1"/>
  <c r="N173" i="1" a="1"/>
  <c r="N173" i="1" s="1"/>
  <c r="H77" i="1"/>
  <c r="N77" i="1" a="1"/>
  <c r="N77" i="1" s="1"/>
  <c r="K77" i="1" a="1"/>
  <c r="K77" i="1" s="1"/>
  <c r="G77" i="1" s="1"/>
  <c r="A186" i="1"/>
  <c r="C186" i="1"/>
  <c r="X186" i="1" s="1"/>
  <c r="N386" i="1" a="1"/>
  <c r="N386" i="1" s="1"/>
  <c r="K386" i="1" a="1"/>
  <c r="K386" i="1" s="1"/>
  <c r="H386" i="1"/>
  <c r="H87" i="1"/>
  <c r="N87" i="1" a="1"/>
  <c r="N87" i="1" s="1"/>
  <c r="K87" i="1" a="1"/>
  <c r="K87" i="1" s="1"/>
  <c r="G87" i="1" s="1"/>
  <c r="K303" i="1" a="1"/>
  <c r="K303" i="1" s="1"/>
  <c r="H303" i="1"/>
  <c r="N303" i="1" a="1"/>
  <c r="N303" i="1" s="1"/>
  <c r="C460" i="1"/>
  <c r="X460" i="1" s="1"/>
  <c r="A460" i="1"/>
  <c r="A8" i="1"/>
  <c r="C8" i="1"/>
  <c r="X8" i="1" s="1"/>
  <c r="H257" i="1"/>
  <c r="N257" i="1" a="1"/>
  <c r="N257" i="1" s="1"/>
  <c r="K257" i="1" a="1"/>
  <c r="K257" i="1" s="1"/>
  <c r="G257" i="1" s="1"/>
  <c r="K521" i="1" a="1"/>
  <c r="K521" i="1" s="1"/>
  <c r="H521" i="1"/>
  <c r="N521" i="1" a="1"/>
  <c r="N521" i="1" s="1"/>
  <c r="C130" i="1"/>
  <c r="X130" i="1" s="1"/>
  <c r="A130" i="1"/>
  <c r="C246" i="1"/>
  <c r="X246" i="1" s="1"/>
  <c r="A246" i="1"/>
  <c r="A468" i="1"/>
  <c r="C468" i="1"/>
  <c r="X468" i="1" s="1"/>
  <c r="C125" i="1"/>
  <c r="X125" i="1" s="1"/>
  <c r="A125" i="1"/>
  <c r="C471" i="1"/>
  <c r="X471" i="1" s="1"/>
  <c r="A471" i="1"/>
  <c r="N274" i="1" a="1"/>
  <c r="N274" i="1" s="1"/>
  <c r="K274" i="1" a="1"/>
  <c r="K274" i="1" s="1"/>
  <c r="G274" i="1" s="1"/>
  <c r="H274" i="1"/>
  <c r="C549" i="1"/>
  <c r="X549" i="1" s="1"/>
  <c r="A549" i="1"/>
  <c r="C428" i="1"/>
  <c r="X428" i="1" s="1"/>
  <c r="A428" i="1"/>
  <c r="A391" i="1"/>
  <c r="C391" i="1"/>
  <c r="X391" i="1" s="1"/>
  <c r="N258" i="1" a="1"/>
  <c r="N258" i="1" s="1"/>
  <c r="K258" i="1" a="1"/>
  <c r="K258" i="1" s="1"/>
  <c r="G258" i="1" s="1"/>
  <c r="A198" i="1"/>
  <c r="C198" i="1"/>
  <c r="X198" i="1" s="1"/>
  <c r="A361" i="1"/>
  <c r="C361" i="1"/>
  <c r="X361" i="1" s="1"/>
  <c r="K503" i="1" a="1"/>
  <c r="K503" i="1" s="1"/>
  <c r="G503" i="1" s="1"/>
  <c r="H503" i="1"/>
  <c r="N503" i="1" a="1"/>
  <c r="N503" i="1" s="1"/>
  <c r="C437" i="1"/>
  <c r="X437" i="1" s="1"/>
  <c r="A437" i="1"/>
  <c r="K329" i="1" a="1"/>
  <c r="K329" i="1" s="1"/>
  <c r="G329" i="1" s="1"/>
  <c r="N329" i="1" a="1"/>
  <c r="N329" i="1" s="1"/>
  <c r="H329" i="1"/>
  <c r="A244" i="1"/>
  <c r="C244" i="1"/>
  <c r="X244" i="1" s="1"/>
  <c r="C425" i="1"/>
  <c r="X425" i="1" s="1"/>
  <c r="A425" i="1"/>
  <c r="K439" i="1" a="1"/>
  <c r="K439" i="1" s="1"/>
  <c r="H439" i="1"/>
  <c r="N439" i="1" a="1"/>
  <c r="N439" i="1" s="1"/>
  <c r="C199" i="1"/>
  <c r="X199" i="1" s="1"/>
  <c r="A199" i="1"/>
  <c r="K449" i="1" a="1"/>
  <c r="K449" i="1" s="1"/>
  <c r="N449" i="1" a="1"/>
  <c r="N449" i="1" s="1"/>
  <c r="H449" i="1"/>
  <c r="C110" i="1"/>
  <c r="X110" i="1" s="1"/>
  <c r="A110" i="1"/>
  <c r="C132" i="1"/>
  <c r="X132" i="1" s="1"/>
  <c r="A132" i="1"/>
  <c r="C82" i="1"/>
  <c r="X82" i="1" s="1"/>
  <c r="A82" i="1"/>
  <c r="K509" i="1" a="1"/>
  <c r="K509" i="1" s="1"/>
  <c r="G509" i="1" s="1"/>
  <c r="N509" i="1" a="1"/>
  <c r="N509" i="1" s="1"/>
  <c r="C89" i="1"/>
  <c r="X89" i="1" s="1"/>
  <c r="A89" i="1"/>
  <c r="N516" i="1" a="1"/>
  <c r="N516" i="1" s="1"/>
  <c r="H516" i="1"/>
  <c r="K516" i="1" a="1"/>
  <c r="K516" i="1" s="1"/>
  <c r="G516" i="1" s="1"/>
  <c r="A528" i="1"/>
  <c r="C528" i="1"/>
  <c r="X528" i="1" s="1"/>
  <c r="A154" i="1"/>
  <c r="C154" i="1"/>
  <c r="X154" i="1" s="1"/>
  <c r="N496" i="1" a="1"/>
  <c r="N496" i="1" s="1"/>
  <c r="K496" i="1" a="1"/>
  <c r="K496" i="1" s="1"/>
  <c r="H496" i="1"/>
  <c r="A515" i="1"/>
  <c r="C515" i="1"/>
  <c r="X515" i="1" s="1"/>
  <c r="C83" i="1"/>
  <c r="X83" i="1" s="1"/>
  <c r="A83" i="1"/>
  <c r="N277" i="1" a="1"/>
  <c r="N277" i="1" s="1"/>
  <c r="K277" i="1" a="1"/>
  <c r="K277" i="1" s="1"/>
  <c r="G277" i="1" s="1"/>
  <c r="N551" i="1" a="1"/>
  <c r="N551" i="1" s="1"/>
  <c r="K551" i="1" a="1"/>
  <c r="K551" i="1" s="1"/>
  <c r="G551" i="1" s="1"/>
  <c r="H551" i="1"/>
  <c r="A545" i="1"/>
  <c r="C545" i="1"/>
  <c r="X545" i="1" s="1"/>
  <c r="N421" i="1" a="1"/>
  <c r="N421" i="1" s="1"/>
  <c r="H421" i="1"/>
  <c r="K421" i="1" a="1"/>
  <c r="K421" i="1" s="1"/>
  <c r="C136" i="1"/>
  <c r="X136" i="1" s="1"/>
  <c r="A136" i="1"/>
  <c r="N380" i="1" a="1"/>
  <c r="N380" i="1" s="1"/>
  <c r="K380" i="1" a="1"/>
  <c r="K380" i="1" s="1"/>
  <c r="G380" i="1" s="1"/>
  <c r="H380" i="1"/>
  <c r="H289" i="1"/>
  <c r="N289" i="1" a="1"/>
  <c r="N289" i="1" s="1"/>
  <c r="K289" i="1" a="1"/>
  <c r="K289" i="1" s="1"/>
  <c r="H79" i="1"/>
  <c r="N79" i="1" a="1"/>
  <c r="N79" i="1" s="1"/>
  <c r="K79" i="1" a="1"/>
  <c r="K79" i="1" s="1"/>
  <c r="K169" i="1" a="1"/>
  <c r="K169" i="1" s="1"/>
  <c r="H169" i="1"/>
  <c r="N169" i="1" a="1"/>
  <c r="N169" i="1" s="1"/>
  <c r="H35" i="1"/>
  <c r="N35" i="1" a="1"/>
  <c r="N35" i="1" s="1"/>
  <c r="K35" i="1" a="1"/>
  <c r="K35" i="1" s="1"/>
  <c r="G35" i="1" s="1"/>
  <c r="H307" i="1"/>
  <c r="N307" i="1" a="1"/>
  <c r="N307" i="1" s="1"/>
  <c r="K307" i="1" a="1"/>
  <c r="K307" i="1" s="1"/>
  <c r="N365" i="1" a="1"/>
  <c r="N365" i="1" s="1"/>
  <c r="K365" i="1" a="1"/>
  <c r="K365" i="1" s="1"/>
  <c r="G365" i="1" s="1"/>
  <c r="H365" i="1"/>
  <c r="C166" i="1"/>
  <c r="X166" i="1" s="1"/>
  <c r="A166" i="1"/>
  <c r="N465" i="1" a="1"/>
  <c r="N465" i="1" s="1"/>
  <c r="K465" i="1" a="1"/>
  <c r="K465" i="1" s="1"/>
  <c r="H465" i="1"/>
  <c r="K43" i="1" a="1"/>
  <c r="K43" i="1" s="1"/>
  <c r="G43" i="1" s="1"/>
  <c r="H43" i="1"/>
  <c r="N43" i="1" a="1"/>
  <c r="N43" i="1" s="1"/>
  <c r="N203" i="1" a="1"/>
  <c r="N203" i="1" s="1"/>
  <c r="K203" i="1" a="1"/>
  <c r="K203" i="1" s="1"/>
  <c r="H203" i="1"/>
  <c r="H192" i="1"/>
  <c r="N192" i="1" a="1"/>
  <c r="N192" i="1" s="1"/>
  <c r="K192" i="1" a="1"/>
  <c r="K192" i="1" s="1"/>
  <c r="C163" i="1"/>
  <c r="X163" i="1" s="1"/>
  <c r="A163" i="1"/>
  <c r="K471" i="1" a="1"/>
  <c r="K471" i="1" s="1"/>
  <c r="N471" i="1" a="1"/>
  <c r="N471" i="1" s="1"/>
  <c r="H471" i="1"/>
  <c r="A332" i="1"/>
  <c r="C332" i="1"/>
  <c r="X332" i="1" s="1"/>
  <c r="K187" i="1" a="1"/>
  <c r="K187" i="1" s="1"/>
  <c r="G187" i="1" s="1"/>
  <c r="N187" i="1" a="1"/>
  <c r="N187" i="1" s="1"/>
  <c r="A536" i="1"/>
  <c r="C536" i="1"/>
  <c r="X536" i="1" s="1"/>
  <c r="K355" i="1" a="1"/>
  <c r="K355" i="1" s="1"/>
  <c r="G355" i="1" s="1"/>
  <c r="N355" i="1" a="1"/>
  <c r="N355" i="1" s="1"/>
  <c r="H355" i="1"/>
  <c r="A28" i="1"/>
  <c r="C28" i="1"/>
  <c r="X28" i="1" s="1"/>
  <c r="K370" i="1" a="1"/>
  <c r="K370" i="1" s="1"/>
  <c r="H370" i="1"/>
  <c r="N370" i="1" a="1"/>
  <c r="N370" i="1" s="1"/>
  <c r="A72" i="1"/>
  <c r="C72" i="1"/>
  <c r="X72" i="1" s="1"/>
  <c r="K489" i="1" a="1"/>
  <c r="K489" i="1" s="1"/>
  <c r="G489" i="1" s="1"/>
  <c r="N489" i="1" a="1"/>
  <c r="N489" i="1" s="1"/>
  <c r="A111" i="1"/>
  <c r="C111" i="1"/>
  <c r="X111" i="1" s="1"/>
  <c r="N108" i="1" a="1"/>
  <c r="N108" i="1" s="1"/>
  <c r="K108" i="1" a="1"/>
  <c r="K108" i="1" s="1"/>
  <c r="H108" i="1"/>
  <c r="A325" i="1"/>
  <c r="C325" i="1"/>
  <c r="X325" i="1" s="1"/>
  <c r="C90" i="1"/>
  <c r="X90" i="1" s="1"/>
  <c r="A90" i="1"/>
  <c r="A525" i="1"/>
  <c r="C525" i="1"/>
  <c r="X525" i="1" s="1"/>
  <c r="N446" i="1" a="1"/>
  <c r="N446" i="1" s="1"/>
  <c r="K446" i="1" a="1"/>
  <c r="K446" i="1" s="1"/>
  <c r="H446" i="1"/>
  <c r="A265" i="1"/>
  <c r="C265" i="1"/>
  <c r="X265" i="1" s="1"/>
  <c r="H26" i="1"/>
  <c r="N26" i="1" a="1"/>
  <c r="N26" i="1" s="1"/>
  <c r="K26" i="1" a="1"/>
  <c r="K26" i="1" s="1"/>
  <c r="G26" i="1" s="1"/>
  <c r="K324" i="1" a="1"/>
  <c r="K324" i="1" s="1"/>
  <c r="H324" i="1"/>
  <c r="N324" i="1" a="1"/>
  <c r="N324" i="1" s="1"/>
  <c r="C345" i="1"/>
  <c r="X345" i="1" s="1"/>
  <c r="A345" i="1"/>
  <c r="C559" i="1"/>
  <c r="X559" i="1" s="1"/>
  <c r="A559" i="1"/>
  <c r="A259" i="1"/>
  <c r="C259" i="1"/>
  <c r="X259" i="1" s="1"/>
  <c r="A218" i="1"/>
  <c r="C218" i="1"/>
  <c r="X218" i="1" s="1"/>
  <c r="N141" i="1" a="1"/>
  <c r="N141" i="1" s="1"/>
  <c r="K141" i="1" a="1"/>
  <c r="K141" i="1" s="1"/>
  <c r="H141" i="1"/>
  <c r="C57" i="1"/>
  <c r="X57" i="1" s="1"/>
  <c r="A57" i="1"/>
  <c r="N164" i="1" a="1"/>
  <c r="N164" i="1" s="1"/>
  <c r="K164" i="1" a="1"/>
  <c r="K164" i="1" s="1"/>
  <c r="H164" i="1"/>
  <c r="K281" i="1" a="1"/>
  <c r="K281" i="1" s="1"/>
  <c r="G281" i="1" s="1"/>
  <c r="H281" i="1"/>
  <c r="N281" i="1" a="1"/>
  <c r="N281" i="1" s="1"/>
  <c r="C255" i="1"/>
  <c r="X255" i="1" s="1"/>
  <c r="A255" i="1"/>
  <c r="A475" i="1"/>
  <c r="C475" i="1"/>
  <c r="X475" i="1" s="1"/>
  <c r="N435" i="1" a="1"/>
  <c r="N435" i="1" s="1"/>
  <c r="K435" i="1" a="1"/>
  <c r="K435" i="1" s="1"/>
  <c r="G435" i="1" s="1"/>
  <c r="H435" i="1"/>
  <c r="H479" i="1"/>
  <c r="N479" i="1" a="1"/>
  <c r="N479" i="1" s="1"/>
  <c r="K479" i="1" a="1"/>
  <c r="K479" i="1" s="1"/>
  <c r="H290" i="1"/>
  <c r="N290" i="1" a="1"/>
  <c r="N290" i="1" s="1"/>
  <c r="K290" i="1" a="1"/>
  <c r="K290" i="1" s="1"/>
  <c r="G290" i="1" s="1"/>
  <c r="H39" i="1"/>
  <c r="N39" i="1" a="1"/>
  <c r="N39" i="1" s="1"/>
  <c r="K39" i="1" a="1"/>
  <c r="K39" i="1" s="1"/>
  <c r="G39" i="1" s="1"/>
  <c r="C23" i="1"/>
  <c r="X23" i="1" s="1"/>
  <c r="A23" i="1"/>
  <c r="C424" i="1"/>
  <c r="X424" i="1" s="1"/>
  <c r="A424" i="1"/>
  <c r="C381" i="1"/>
  <c r="X381" i="1" s="1"/>
  <c r="A381" i="1"/>
  <c r="N166" i="1" a="1"/>
  <c r="N166" i="1" s="1"/>
  <c r="K166" i="1" a="1"/>
  <c r="K166" i="1" s="1"/>
  <c r="G166" i="1" s="1"/>
  <c r="N300" i="1" a="1"/>
  <c r="N300" i="1" s="1"/>
  <c r="K300" i="1" a="1"/>
  <c r="K300" i="1" s="1"/>
  <c r="G300" i="1" s="1"/>
  <c r="A524" i="1"/>
  <c r="C524" i="1"/>
  <c r="X524" i="1" s="1"/>
  <c r="N143" i="1" a="1"/>
  <c r="N143" i="1" s="1"/>
  <c r="K143" i="1" a="1"/>
  <c r="K143" i="1" s="1"/>
  <c r="G143" i="1" s="1"/>
  <c r="K304" i="1" a="1"/>
  <c r="K304" i="1" s="1"/>
  <c r="H304" i="1"/>
  <c r="N304" i="1" a="1"/>
  <c r="N304" i="1" s="1"/>
  <c r="K264" i="1" a="1"/>
  <c r="K264" i="1" s="1"/>
  <c r="G264" i="1" s="1"/>
  <c r="N264" i="1" a="1"/>
  <c r="N264" i="1" s="1"/>
  <c r="H264" i="1"/>
  <c r="C397" i="1"/>
  <c r="X397" i="1" s="1"/>
  <c r="A397" i="1"/>
  <c r="H212" i="1"/>
  <c r="K212" i="1" a="1"/>
  <c r="K212" i="1" s="1"/>
  <c r="G212" i="1" s="1"/>
  <c r="N212" i="1" a="1"/>
  <c r="N212" i="1" s="1"/>
  <c r="C220" i="1"/>
  <c r="X220" i="1" s="1"/>
  <c r="A220" i="1"/>
  <c r="H522" i="1"/>
  <c r="K522" i="1" a="1"/>
  <c r="K522" i="1" s="1"/>
  <c r="G522" i="1" s="1"/>
  <c r="N522" i="1" a="1"/>
  <c r="N522" i="1" s="1"/>
  <c r="C129" i="1"/>
  <c r="X129" i="1" s="1"/>
  <c r="A129" i="1"/>
  <c r="K240" i="1" a="1"/>
  <c r="K240" i="1" s="1"/>
  <c r="H240" i="1"/>
  <c r="N240" i="1" a="1"/>
  <c r="N240" i="1" s="1"/>
  <c r="K364" i="1" a="1"/>
  <c r="K364" i="1" s="1"/>
  <c r="N364" i="1" a="1"/>
  <c r="N364" i="1" s="1"/>
  <c r="H364" i="1"/>
  <c r="A444" i="1"/>
  <c r="C444" i="1"/>
  <c r="X444" i="1" s="1"/>
  <c r="H9" i="1"/>
  <c r="N9" i="1" a="1"/>
  <c r="N9" i="1" s="1"/>
  <c r="K9" i="1" a="1"/>
  <c r="K9" i="1" s="1"/>
  <c r="G9" i="1" s="1"/>
  <c r="K134" i="1" a="1"/>
  <c r="K134" i="1" s="1"/>
  <c r="G134" i="1" s="1"/>
  <c r="N134" i="1" a="1"/>
  <c r="N134" i="1" s="1"/>
  <c r="C448" i="1"/>
  <c r="X448" i="1" s="1"/>
  <c r="A448" i="1"/>
  <c r="N383" i="1" a="1"/>
  <c r="N383" i="1" s="1"/>
  <c r="K383" i="1" a="1"/>
  <c r="K383" i="1" s="1"/>
  <c r="G383" i="1" s="1"/>
  <c r="H480" i="1"/>
  <c r="K480" i="1" a="1"/>
  <c r="K480" i="1" s="1"/>
  <c r="G480" i="1" s="1"/>
  <c r="N480" i="1" a="1"/>
  <c r="N480" i="1" s="1"/>
  <c r="A505" i="1"/>
  <c r="C505" i="1"/>
  <c r="X505" i="1" s="1"/>
  <c r="C399" i="1"/>
  <c r="X399" i="1" s="1"/>
  <c r="A399" i="1"/>
  <c r="C12" i="1"/>
  <c r="X12" i="1" s="1"/>
  <c r="A12" i="1"/>
  <c r="C128" i="1"/>
  <c r="X128" i="1" s="1"/>
  <c r="A128" i="1"/>
  <c r="N498" i="1" a="1"/>
  <c r="N498" i="1" s="1"/>
  <c r="K498" i="1" a="1"/>
  <c r="K498" i="1" s="1"/>
  <c r="G498" i="1" s="1"/>
  <c r="A201" i="1"/>
  <c r="C201" i="1"/>
  <c r="X201" i="1" s="1"/>
  <c r="A495" i="1"/>
  <c r="C495" i="1"/>
  <c r="X495" i="1" s="1"/>
  <c r="H138" i="1"/>
  <c r="N138" i="1" a="1"/>
  <c r="N138" i="1" s="1"/>
  <c r="K138" i="1" a="1"/>
  <c r="K138" i="1" s="1"/>
  <c r="G138" i="1" s="1"/>
  <c r="N114" i="1" a="1"/>
  <c r="N114" i="1" s="1"/>
  <c r="K114" i="1" a="1"/>
  <c r="K114" i="1" s="1"/>
  <c r="H114" i="1"/>
  <c r="A478" i="1"/>
  <c r="C478" i="1"/>
  <c r="X478" i="1" s="1"/>
  <c r="K349" i="1" a="1"/>
  <c r="K349" i="1" s="1"/>
  <c r="G349" i="1" s="1"/>
  <c r="N349" i="1" a="1"/>
  <c r="N349" i="1" s="1"/>
  <c r="H349" i="1"/>
  <c r="C63" i="1"/>
  <c r="X63" i="1" s="1"/>
  <c r="A63" i="1"/>
  <c r="K486" i="1" a="1"/>
  <c r="K486" i="1" s="1"/>
  <c r="G486" i="1" s="1"/>
  <c r="N486" i="1" a="1"/>
  <c r="N486" i="1" s="1"/>
  <c r="A256" i="1"/>
  <c r="C256" i="1"/>
  <c r="X256" i="1" s="1"/>
  <c r="K282" i="1" a="1"/>
  <c r="K282" i="1" s="1"/>
  <c r="G282" i="1" s="1"/>
  <c r="N282" i="1" a="1"/>
  <c r="N282" i="1" s="1"/>
  <c r="H417" i="1"/>
  <c r="N417" i="1" a="1"/>
  <c r="N417" i="1" s="1"/>
  <c r="K417" i="1" a="1"/>
  <c r="K417" i="1" s="1"/>
  <c r="C117" i="1"/>
  <c r="X117" i="1" s="1"/>
  <c r="A117" i="1"/>
  <c r="C30" i="1"/>
  <c r="X30" i="1" s="1"/>
  <c r="A30" i="1"/>
  <c r="A221" i="1"/>
  <c r="C221" i="1"/>
  <c r="X221" i="1" s="1"/>
  <c r="K284" i="1" a="1"/>
  <c r="K284" i="1" s="1"/>
  <c r="G284" i="1" s="1"/>
  <c r="H284" i="1"/>
  <c r="N284" i="1" a="1"/>
  <c r="N284" i="1" s="1"/>
  <c r="K146" i="1" a="1"/>
  <c r="K146" i="1" s="1"/>
  <c r="H146" i="1"/>
  <c r="N146" i="1" a="1"/>
  <c r="N146" i="1" s="1"/>
  <c r="A561" i="1"/>
  <c r="C561" i="1"/>
  <c r="X561" i="1" s="1"/>
  <c r="A555" i="1"/>
  <c r="C555" i="1"/>
  <c r="X555" i="1" s="1"/>
  <c r="C301" i="1"/>
  <c r="X301" i="1" s="1"/>
  <c r="A301" i="1"/>
  <c r="A178" i="1"/>
  <c r="C178" i="1"/>
  <c r="X178" i="1" s="1"/>
  <c r="N216" i="1" a="1"/>
  <c r="N216" i="1" s="1"/>
  <c r="K216" i="1" a="1"/>
  <c r="K216" i="1" s="1"/>
  <c r="G216" i="1" s="1"/>
  <c r="H216" i="1"/>
  <c r="C328" i="1"/>
  <c r="X328" i="1" s="1"/>
  <c r="A328" i="1"/>
  <c r="A521" i="1"/>
  <c r="C521" i="1"/>
  <c r="X521" i="1" s="1"/>
  <c r="N470" i="1" a="1"/>
  <c r="N470" i="1" s="1"/>
  <c r="K470" i="1" a="1"/>
  <c r="K470" i="1" s="1"/>
  <c r="G470" i="1" s="1"/>
  <c r="A450" i="1"/>
  <c r="C450" i="1"/>
  <c r="X450" i="1" s="1"/>
  <c r="C68" i="1"/>
  <c r="X68" i="1" s="1"/>
  <c r="A68" i="1"/>
  <c r="K318" i="1" a="1"/>
  <c r="K318" i="1" s="1"/>
  <c r="N318" i="1" a="1"/>
  <c r="N318" i="1" s="1"/>
  <c r="H318" i="1"/>
  <c r="A551" i="1"/>
  <c r="C551" i="1"/>
  <c r="X551" i="1" s="1"/>
  <c r="K190" i="1" a="1"/>
  <c r="K190" i="1" s="1"/>
  <c r="G190" i="1" s="1"/>
  <c r="H190" i="1"/>
  <c r="N190" i="1" a="1"/>
  <c r="N190" i="1" s="1"/>
  <c r="H100" i="1"/>
  <c r="N100" i="1" a="1"/>
  <c r="N100" i="1" s="1"/>
  <c r="K100" i="1" a="1"/>
  <c r="K100" i="1" s="1"/>
  <c r="C251" i="1"/>
  <c r="X251" i="1" s="1"/>
  <c r="A251" i="1"/>
  <c r="C501" i="1"/>
  <c r="X501" i="1" s="1"/>
  <c r="A501" i="1"/>
  <c r="H66" i="1"/>
  <c r="N66" i="1" a="1"/>
  <c r="N66" i="1" s="1"/>
  <c r="K66" i="1" a="1"/>
  <c r="K66" i="1" s="1"/>
  <c r="A127" i="1"/>
  <c r="C127" i="1"/>
  <c r="X127" i="1" s="1"/>
  <c r="H285" i="1"/>
  <c r="N285" i="1" a="1"/>
  <c r="N285" i="1" s="1"/>
  <c r="K285" i="1" a="1"/>
  <c r="K285" i="1" s="1"/>
  <c r="H473" i="1"/>
  <c r="N473" i="1" a="1"/>
  <c r="N473" i="1" s="1"/>
  <c r="K473" i="1" a="1"/>
  <c r="K473" i="1" s="1"/>
  <c r="G473" i="1" s="1"/>
  <c r="C465" i="1"/>
  <c r="X465" i="1" s="1"/>
  <c r="A465" i="1"/>
  <c r="N11" i="1" a="1"/>
  <c r="N11" i="1" s="1"/>
  <c r="K11" i="1" a="1"/>
  <c r="K11" i="1" s="1"/>
  <c r="H11" i="1"/>
  <c r="H159" i="1"/>
  <c r="N159" i="1" a="1"/>
  <c r="N159" i="1" s="1"/>
  <c r="K159" i="1" a="1"/>
  <c r="K159" i="1" s="1"/>
  <c r="G159" i="1" s="1"/>
  <c r="C149" i="1"/>
  <c r="X149" i="1" s="1"/>
  <c r="A149" i="1"/>
  <c r="C550" i="1"/>
  <c r="X550" i="1" s="1"/>
  <c r="A550" i="1"/>
  <c r="H10" i="1"/>
  <c r="N10" i="1" a="1"/>
  <c r="N10" i="1" s="1"/>
  <c r="K10" i="1" a="1"/>
  <c r="K10" i="1" s="1"/>
  <c r="C45" i="1"/>
  <c r="X45" i="1" s="1"/>
  <c r="A45" i="1"/>
  <c r="K220" i="1" a="1"/>
  <c r="K220" i="1" s="1"/>
  <c r="G220" i="1" s="1"/>
  <c r="H220" i="1"/>
  <c r="N220" i="1" a="1"/>
  <c r="N220" i="1" s="1"/>
  <c r="K299" i="1" a="1"/>
  <c r="K299" i="1" s="1"/>
  <c r="G299" i="1" s="1"/>
  <c r="H299" i="1"/>
  <c r="N299" i="1" a="1"/>
  <c r="N299" i="1" s="1"/>
  <c r="C367" i="1"/>
  <c r="X367" i="1" s="1"/>
  <c r="A367" i="1"/>
  <c r="H288" i="1"/>
  <c r="N288" i="1" a="1"/>
  <c r="N288" i="1" s="1"/>
  <c r="K288" i="1" a="1"/>
  <c r="K288" i="1" s="1"/>
  <c r="G288" i="1" s="1"/>
  <c r="C405" i="1"/>
  <c r="X405" i="1" s="1"/>
  <c r="A405" i="1"/>
  <c r="K121" i="1" a="1"/>
  <c r="K121" i="1" s="1"/>
  <c r="H121" i="1"/>
  <c r="N121" i="1" a="1"/>
  <c r="N121" i="1" s="1"/>
  <c r="C547" i="1"/>
  <c r="X547" i="1" s="1"/>
  <c r="A547" i="1"/>
  <c r="C261" i="1"/>
  <c r="X261" i="1" s="1"/>
  <c r="A261" i="1"/>
  <c r="H176" i="1"/>
  <c r="N176" i="1" a="1"/>
  <c r="N176" i="1" s="1"/>
  <c r="K176" i="1" a="1"/>
  <c r="K176" i="1" s="1"/>
  <c r="G176" i="1" s="1"/>
  <c r="N533" i="1" a="1"/>
  <c r="N533" i="1" s="1"/>
  <c r="K533" i="1" a="1"/>
  <c r="K533" i="1" s="1"/>
  <c r="H533" i="1"/>
  <c r="C16" i="1"/>
  <c r="X16" i="1" s="1"/>
  <c r="A16" i="1"/>
  <c r="C503" i="1"/>
  <c r="X503" i="1" s="1"/>
  <c r="A503" i="1"/>
  <c r="K201" i="1" a="1"/>
  <c r="K201" i="1" s="1"/>
  <c r="G201" i="1" s="1"/>
  <c r="H201" i="1"/>
  <c r="N201" i="1" a="1"/>
  <c r="N201" i="1" s="1"/>
  <c r="K527" i="1" a="1"/>
  <c r="K527" i="1" s="1"/>
  <c r="G527" i="1" s="1"/>
  <c r="N527" i="1" a="1"/>
  <c r="N527" i="1" s="1"/>
  <c r="C108" i="1"/>
  <c r="X108" i="1" s="1"/>
  <c r="A108" i="1"/>
  <c r="K331" i="1" a="1"/>
  <c r="K331" i="1" s="1"/>
  <c r="N331" i="1" a="1"/>
  <c r="N331" i="1" s="1"/>
  <c r="H331" i="1"/>
  <c r="N363" i="1" a="1"/>
  <c r="N363" i="1" s="1"/>
  <c r="K363" i="1" a="1"/>
  <c r="K363" i="1" s="1"/>
  <c r="G363" i="1" s="1"/>
  <c r="H425" i="1"/>
  <c r="K425" i="1" a="1"/>
  <c r="K425" i="1" s="1"/>
  <c r="N425" i="1" a="1"/>
  <c r="N425" i="1" s="1"/>
  <c r="C355" i="1"/>
  <c r="X355" i="1" s="1"/>
  <c r="A355" i="1"/>
  <c r="K152" i="1" a="1"/>
  <c r="K152" i="1" s="1"/>
  <c r="G152" i="1" s="1"/>
  <c r="N152" i="1" a="1"/>
  <c r="N152" i="1" s="1"/>
  <c r="A148" i="1"/>
  <c r="C148" i="1"/>
  <c r="X148" i="1" s="1"/>
  <c r="A420" i="1"/>
  <c r="C420" i="1"/>
  <c r="X420" i="1" s="1"/>
  <c r="N88" i="1" a="1"/>
  <c r="N88" i="1" s="1"/>
  <c r="K88" i="1" a="1"/>
  <c r="K88" i="1" s="1"/>
  <c r="H88" i="1"/>
  <c r="C279" i="1"/>
  <c r="X279" i="1" s="1"/>
  <c r="A279" i="1"/>
  <c r="A324" i="1"/>
  <c r="C324" i="1"/>
  <c r="X324" i="1" s="1"/>
  <c r="C357" i="1"/>
  <c r="X357" i="1" s="1"/>
  <c r="A357" i="1"/>
  <c r="C118" i="1"/>
  <c r="X118" i="1" s="1"/>
  <c r="A118" i="1"/>
  <c r="A285" i="1"/>
  <c r="C285" i="1"/>
  <c r="X285" i="1" s="1"/>
  <c r="A519" i="1"/>
  <c r="C519" i="1"/>
  <c r="X519" i="1" s="1"/>
  <c r="K12" i="1" a="1"/>
  <c r="K12" i="1" s="1"/>
  <c r="G12" i="1" s="1"/>
  <c r="H12" i="1"/>
  <c r="N12" i="1" a="1"/>
  <c r="N12" i="1" s="1"/>
  <c r="C348" i="1"/>
  <c r="X348" i="1" s="1"/>
  <c r="A348" i="1"/>
  <c r="C159" i="1"/>
  <c r="X159" i="1" s="1"/>
  <c r="A159" i="1"/>
  <c r="C144" i="1"/>
  <c r="X144" i="1" s="1"/>
  <c r="A144" i="1"/>
  <c r="C535" i="1"/>
  <c r="X535" i="1" s="1"/>
  <c r="A535" i="1"/>
  <c r="H305" i="1"/>
  <c r="N305" i="1" a="1"/>
  <c r="N305" i="1" s="1"/>
  <c r="K305" i="1" a="1"/>
  <c r="K305" i="1" s="1"/>
  <c r="G305" i="1" s="1"/>
  <c r="A393" i="1"/>
  <c r="C393" i="1"/>
  <c r="X393" i="1" s="1"/>
  <c r="N14" i="1" a="1"/>
  <c r="N14" i="1" s="1"/>
  <c r="K14" i="1" a="1"/>
  <c r="K14" i="1" s="1"/>
  <c r="G14" i="1" s="1"/>
  <c r="H14" i="1"/>
  <c r="C380" i="1"/>
  <c r="X380" i="1" s="1"/>
  <c r="A380" i="1"/>
  <c r="H193" i="1"/>
  <c r="N193" i="1" a="1"/>
  <c r="N193" i="1" s="1"/>
  <c r="K193" i="1" a="1"/>
  <c r="K193" i="1" s="1"/>
  <c r="G193" i="1" s="1"/>
  <c r="K60" i="1" a="1"/>
  <c r="K60" i="1" s="1"/>
  <c r="G60" i="1" s="1"/>
  <c r="H60" i="1"/>
  <c r="N60" i="1" a="1"/>
  <c r="N60" i="1" s="1"/>
  <c r="K416" i="1" a="1"/>
  <c r="K416" i="1" s="1"/>
  <c r="G416" i="1" s="1"/>
  <c r="N416" i="1" a="1"/>
  <c r="N416" i="1" s="1"/>
  <c r="H416" i="1"/>
  <c r="H8" i="1"/>
  <c r="N8" i="1" a="1"/>
  <c r="N8" i="1" s="1"/>
  <c r="K8" i="1" a="1"/>
  <c r="K8" i="1" s="1"/>
  <c r="K15" i="1" a="1"/>
  <c r="K15" i="1" s="1"/>
  <c r="G15" i="1" s="1"/>
  <c r="H15" i="1"/>
  <c r="N15" i="1" a="1"/>
  <c r="N15" i="1" s="1"/>
  <c r="C124" i="1"/>
  <c r="X124" i="1" s="1"/>
  <c r="A124" i="1"/>
  <c r="A378" i="1"/>
  <c r="C378" i="1"/>
  <c r="X378" i="1" s="1"/>
  <c r="C316" i="1"/>
  <c r="X316" i="1" s="1"/>
  <c r="A316" i="1"/>
  <c r="C269" i="1"/>
  <c r="X269" i="1" s="1"/>
  <c r="A269" i="1"/>
  <c r="C307" i="1"/>
  <c r="X307" i="1" s="1"/>
  <c r="A307" i="1"/>
  <c r="N429" i="1" a="1"/>
  <c r="N429" i="1" s="1"/>
  <c r="K429" i="1" a="1"/>
  <c r="K429" i="1" s="1"/>
  <c r="G429" i="1" s="1"/>
  <c r="K452" i="1" a="1"/>
  <c r="K452" i="1" s="1"/>
  <c r="G452" i="1" s="1"/>
  <c r="N452" i="1" a="1"/>
  <c r="N452" i="1" s="1"/>
  <c r="K112" i="1" a="1"/>
  <c r="K112" i="1" s="1"/>
  <c r="G112" i="1" s="1"/>
  <c r="H112" i="1"/>
  <c r="N112" i="1" a="1"/>
  <c r="N112" i="1" s="1"/>
  <c r="A50" i="1"/>
  <c r="C50" i="1"/>
  <c r="X50" i="1" s="1"/>
  <c r="C156" i="1"/>
  <c r="X156" i="1" s="1"/>
  <c r="A156" i="1"/>
  <c r="N313" i="1" a="1"/>
  <c r="N313" i="1" s="1"/>
  <c r="K313" i="1" a="1"/>
  <c r="K313" i="1" s="1"/>
  <c r="G313" i="1" s="1"/>
  <c r="A228" i="1"/>
  <c r="C228" i="1"/>
  <c r="X228" i="1" s="1"/>
  <c r="K142" i="1" a="1"/>
  <c r="K142" i="1" s="1"/>
  <c r="G142" i="1" s="1"/>
  <c r="H142" i="1"/>
  <c r="N142" i="1" a="1"/>
  <c r="N142" i="1" s="1"/>
  <c r="N474" i="1" a="1"/>
  <c r="N474" i="1" s="1"/>
  <c r="K474" i="1" a="1"/>
  <c r="K474" i="1" s="1"/>
  <c r="G474" i="1" s="1"/>
  <c r="C451" i="1"/>
  <c r="X451" i="1" s="1"/>
  <c r="A451" i="1"/>
  <c r="A134" i="1"/>
  <c r="C134" i="1"/>
  <c r="X134" i="1" s="1"/>
  <c r="C511" i="1"/>
  <c r="X511" i="1" s="1"/>
  <c r="A511" i="1"/>
  <c r="N263" i="1" a="1"/>
  <c r="N263" i="1" s="1"/>
  <c r="K263" i="1" a="1"/>
  <c r="K263" i="1" s="1"/>
  <c r="H263" i="1"/>
  <c r="N144" i="1" a="1"/>
  <c r="N144" i="1" s="1"/>
  <c r="K144" i="1" a="1"/>
  <c r="K144" i="1" s="1"/>
  <c r="G144" i="1" s="1"/>
  <c r="H144" i="1"/>
  <c r="C217" i="1"/>
  <c r="X217" i="1" s="1"/>
  <c r="A217" i="1"/>
  <c r="A406" i="1"/>
  <c r="C406" i="1"/>
  <c r="X406" i="1" s="1"/>
  <c r="K320" i="1" a="1"/>
  <c r="K320" i="1" s="1"/>
  <c r="N320" i="1" a="1"/>
  <c r="N320" i="1" s="1"/>
  <c r="H320" i="1"/>
  <c r="H267" i="1"/>
  <c r="K267" i="1" a="1"/>
  <c r="K267" i="1" s="1"/>
  <c r="G267" i="1" s="1"/>
  <c r="N267" i="1" a="1"/>
  <c r="N267" i="1" s="1"/>
  <c r="H213" i="1"/>
  <c r="N213" i="1" a="1"/>
  <c r="N213" i="1" s="1"/>
  <c r="K213" i="1" a="1"/>
  <c r="K213" i="1" s="1"/>
  <c r="G213" i="1" s="1"/>
  <c r="C235" i="1"/>
  <c r="X235" i="1" s="1"/>
  <c r="A235" i="1"/>
  <c r="C452" i="1"/>
  <c r="X452" i="1" s="1"/>
  <c r="A452" i="1"/>
  <c r="N451" i="1" a="1"/>
  <c r="N451" i="1" s="1"/>
  <c r="K451" i="1" a="1"/>
  <c r="K451" i="1" s="1"/>
  <c r="G451" i="1" s="1"/>
  <c r="H451" i="1"/>
  <c r="C197" i="1"/>
  <c r="X197" i="1" s="1"/>
  <c r="A197" i="1"/>
  <c r="C466" i="1"/>
  <c r="X466" i="1" s="1"/>
  <c r="A466" i="1"/>
  <c r="C240" i="1"/>
  <c r="X240" i="1" s="1"/>
  <c r="A240" i="1"/>
  <c r="H341" i="1"/>
  <c r="N341" i="1" a="1"/>
  <c r="N341" i="1" s="1"/>
  <c r="K341" i="1" a="1"/>
  <c r="K341" i="1" s="1"/>
  <c r="G341" i="1" s="1"/>
  <c r="K103" i="1" a="1"/>
  <c r="K103" i="1" s="1"/>
  <c r="G103" i="1" s="1"/>
  <c r="N103" i="1" a="1"/>
  <c r="N103" i="1" s="1"/>
  <c r="H103" i="1"/>
  <c r="K241" i="1" a="1"/>
  <c r="K241" i="1" s="1"/>
  <c r="G241" i="1" s="1"/>
  <c r="H241" i="1"/>
  <c r="N241" i="1" a="1"/>
  <c r="N241" i="1" s="1"/>
  <c r="A485" i="1"/>
  <c r="C485" i="1"/>
  <c r="X485" i="1" s="1"/>
  <c r="C467" i="1"/>
  <c r="X467" i="1" s="1"/>
  <c r="A467" i="1"/>
  <c r="A359" i="1"/>
  <c r="C359" i="1"/>
  <c r="X359" i="1" s="1"/>
  <c r="N308" i="1" a="1"/>
  <c r="N308" i="1" s="1"/>
  <c r="K308" i="1" a="1"/>
  <c r="K308" i="1" s="1"/>
  <c r="G308" i="1" s="1"/>
  <c r="H308" i="1"/>
  <c r="A305" i="1"/>
  <c r="C305" i="1"/>
  <c r="X305" i="1" s="1"/>
  <c r="H140" i="1"/>
  <c r="N140" i="1" a="1"/>
  <c r="N140" i="1" s="1"/>
  <c r="K140" i="1" a="1"/>
  <c r="K140" i="1" s="1"/>
  <c r="H128" i="1"/>
  <c r="N128" i="1" a="1"/>
  <c r="N128" i="1" s="1"/>
  <c r="K128" i="1" a="1"/>
  <c r="K128" i="1" s="1"/>
  <c r="H466" i="1"/>
  <c r="N466" i="1" a="1"/>
  <c r="N466" i="1" s="1"/>
  <c r="K466" i="1" a="1"/>
  <c r="K466" i="1" s="1"/>
  <c r="G466" i="1" s="1"/>
  <c r="A423" i="1"/>
  <c r="C423" i="1"/>
  <c r="X423" i="1" s="1"/>
  <c r="N396" i="1" a="1"/>
  <c r="N396" i="1" s="1"/>
  <c r="K396" i="1" a="1"/>
  <c r="K396" i="1" s="1"/>
  <c r="G396" i="1" s="1"/>
  <c r="H396" i="1"/>
  <c r="K405" i="1" a="1"/>
  <c r="K405" i="1" s="1"/>
  <c r="G405" i="1" s="1"/>
  <c r="N405" i="1" a="1"/>
  <c r="N405" i="1" s="1"/>
  <c r="H405" i="1"/>
  <c r="C140" i="1"/>
  <c r="X140" i="1" s="1"/>
  <c r="A140" i="1"/>
  <c r="H546" i="1"/>
  <c r="N546" i="1" a="1"/>
  <c r="N546" i="1" s="1"/>
  <c r="K546" i="1" a="1"/>
  <c r="K546" i="1" s="1"/>
  <c r="G546" i="1" s="1"/>
  <c r="K58" i="1" a="1"/>
  <c r="K58" i="1" s="1"/>
  <c r="H58" i="1"/>
  <c r="N58" i="1" a="1"/>
  <c r="N58" i="1" s="1"/>
  <c r="A439" i="1"/>
  <c r="C439" i="1"/>
  <c r="X439" i="1" s="1"/>
  <c r="K125" i="1" a="1"/>
  <c r="K125" i="1" s="1"/>
  <c r="H125" i="1"/>
  <c r="N125" i="1" a="1"/>
  <c r="N125" i="1" s="1"/>
  <c r="N531" i="1" a="1"/>
  <c r="N531" i="1" s="1"/>
  <c r="K531" i="1" a="1"/>
  <c r="K531" i="1" s="1"/>
  <c r="G531" i="1" s="1"/>
  <c r="C121" i="1"/>
  <c r="X121" i="1" s="1"/>
  <c r="A121" i="1"/>
  <c r="C146" i="1"/>
  <c r="X146" i="1" s="1"/>
  <c r="A146" i="1"/>
  <c r="N342" i="1" a="1"/>
  <c r="N342" i="1" s="1"/>
  <c r="K342" i="1" a="1"/>
  <c r="K342" i="1" s="1"/>
  <c r="G342" i="1" s="1"/>
  <c r="H483" i="1"/>
  <c r="N483" i="1" a="1"/>
  <c r="N483" i="1" s="1"/>
  <c r="K483" i="1" a="1"/>
  <c r="K483" i="1" s="1"/>
  <c r="G483" i="1" s="1"/>
  <c r="C208" i="1"/>
  <c r="X208" i="1" s="1"/>
  <c r="A208" i="1"/>
  <c r="K556" i="1" a="1"/>
  <c r="K556" i="1" s="1"/>
  <c r="G556" i="1" s="1"/>
  <c r="N556" i="1" a="1"/>
  <c r="N556" i="1" s="1"/>
  <c r="H163" i="1"/>
  <c r="N163" i="1" a="1"/>
  <c r="N163" i="1" s="1"/>
  <c r="K163" i="1" a="1"/>
  <c r="K163" i="1" s="1"/>
  <c r="N401" i="1" a="1"/>
  <c r="N401" i="1" s="1"/>
  <c r="K401" i="1" a="1"/>
  <c r="K401" i="1" s="1"/>
  <c r="G401" i="1" s="1"/>
  <c r="H401" i="1"/>
  <c r="K272" i="1" a="1"/>
  <c r="K272" i="1" s="1"/>
  <c r="G272" i="1" s="1"/>
  <c r="H272" i="1"/>
  <c r="N272" i="1" a="1"/>
  <c r="N272" i="1" s="1"/>
  <c r="N423" i="1" a="1"/>
  <c r="N423" i="1" s="1"/>
  <c r="K423" i="1" a="1"/>
  <c r="K423" i="1" s="1"/>
  <c r="G423" i="1" s="1"/>
  <c r="N462" i="1" a="1"/>
  <c r="N462" i="1" s="1"/>
  <c r="K462" i="1" a="1"/>
  <c r="K462" i="1" s="1"/>
  <c r="G462" i="1" s="1"/>
  <c r="C494" i="1"/>
  <c r="X494" i="1" s="1"/>
  <c r="A494" i="1"/>
  <c r="N357" i="1" a="1"/>
  <c r="N357" i="1" s="1"/>
  <c r="H357" i="1"/>
  <c r="K357" i="1" a="1"/>
  <c r="K357" i="1" s="1"/>
  <c r="C145" i="1"/>
  <c r="X145" i="1" s="1"/>
  <c r="A145" i="1"/>
  <c r="A257" i="1"/>
  <c r="C257" i="1"/>
  <c r="X257" i="1" s="1"/>
  <c r="C141" i="1"/>
  <c r="X141" i="1" s="1"/>
  <c r="A141" i="1"/>
  <c r="K468" i="1" a="1"/>
  <c r="K468" i="1" s="1"/>
  <c r="H468" i="1"/>
  <c r="N468" i="1" a="1"/>
  <c r="N468" i="1" s="1"/>
  <c r="K188" i="1" a="1"/>
  <c r="K188" i="1" s="1"/>
  <c r="G188" i="1" s="1"/>
  <c r="H188" i="1"/>
  <c r="N188" i="1" a="1"/>
  <c r="N188" i="1" s="1"/>
  <c r="K381" i="1" a="1"/>
  <c r="K381" i="1" s="1"/>
  <c r="N381" i="1" a="1"/>
  <c r="N381" i="1" s="1"/>
  <c r="H381" i="1"/>
  <c r="N181" i="1" a="1"/>
  <c r="N181" i="1" s="1"/>
  <c r="K181" i="1" a="1"/>
  <c r="K181" i="1" s="1"/>
  <c r="G181" i="1" s="1"/>
  <c r="H181" i="1"/>
  <c r="N347" i="1" a="1"/>
  <c r="N347" i="1" s="1"/>
  <c r="K347" i="1" a="1"/>
  <c r="K347" i="1" s="1"/>
  <c r="H347" i="1"/>
  <c r="N309" i="1" a="1"/>
  <c r="N309" i="1" s="1"/>
  <c r="K309" i="1" a="1"/>
  <c r="K309" i="1" s="1"/>
  <c r="G309" i="1" s="1"/>
  <c r="C413" i="1"/>
  <c r="X413" i="1" s="1"/>
  <c r="A413" i="1"/>
  <c r="K316" i="1" a="1"/>
  <c r="K316" i="1" s="1"/>
  <c r="G316" i="1" s="1"/>
  <c r="H316" i="1"/>
  <c r="N316" i="1" a="1"/>
  <c r="N316" i="1" s="1"/>
  <c r="A395" i="1"/>
  <c r="C395" i="1"/>
  <c r="X395" i="1" s="1"/>
  <c r="N266" i="1" a="1"/>
  <c r="N266" i="1" s="1"/>
  <c r="K266" i="1" a="1"/>
  <c r="K266" i="1" s="1"/>
  <c r="H266" i="1"/>
  <c r="K153" i="1" a="1"/>
  <c r="K153" i="1" s="1"/>
  <c r="G153" i="1" s="1"/>
  <c r="H153" i="1"/>
  <c r="N153" i="1" a="1"/>
  <c r="N153" i="1" s="1"/>
  <c r="K61" i="1" a="1"/>
  <c r="K61" i="1" s="1"/>
  <c r="G61" i="1" s="1"/>
  <c r="N61" i="1" a="1"/>
  <c r="N61" i="1" s="1"/>
  <c r="N539" i="1" a="1"/>
  <c r="N539" i="1" s="1"/>
  <c r="K539" i="1" a="1"/>
  <c r="K539" i="1" s="1"/>
  <c r="H539" i="1"/>
  <c r="A209" i="1"/>
  <c r="C209" i="1"/>
  <c r="X209" i="1" s="1"/>
  <c r="H372" i="1"/>
  <c r="N372" i="1" a="1"/>
  <c r="N372" i="1" s="1"/>
  <c r="K372" i="1" a="1"/>
  <c r="K372" i="1" s="1"/>
  <c r="H95" i="1"/>
  <c r="N95" i="1" a="1"/>
  <c r="N95" i="1" s="1"/>
  <c r="K95" i="1" a="1"/>
  <c r="K95" i="1" s="1"/>
  <c r="G95" i="1" s="1"/>
  <c r="A151" i="1"/>
  <c r="C151" i="1"/>
  <c r="X151" i="1" s="1"/>
  <c r="W560" i="1" l="1"/>
  <c r="P333" i="1"/>
  <c r="W470" i="1"/>
  <c r="L84" i="1"/>
  <c r="I147" i="1"/>
  <c r="V406" i="1"/>
  <c r="P352" i="1"/>
  <c r="I376" i="1"/>
  <c r="M179" i="1"/>
  <c r="L459" i="1"/>
  <c r="I465" i="1"/>
  <c r="P425" i="1"/>
  <c r="G425" i="1" s="1"/>
  <c r="J381" i="1"/>
  <c r="V101" i="1"/>
  <c r="I300" i="1"/>
  <c r="W425" i="1"/>
  <c r="W355" i="1"/>
  <c r="W421" i="1"/>
  <c r="P468" i="1"/>
  <c r="P272" i="1"/>
  <c r="P522" i="1"/>
  <c r="W152" i="1"/>
  <c r="P246" i="1"/>
  <c r="V122" i="1"/>
  <c r="J341" i="1"/>
  <c r="P77" i="1"/>
  <c r="V494" i="1"/>
  <c r="M112" i="1"/>
  <c r="M416" i="1"/>
  <c r="L305" i="1"/>
  <c r="I116" i="1"/>
  <c r="I51" i="1"/>
  <c r="V518" i="1"/>
  <c r="I358" i="1"/>
  <c r="W288" i="1"/>
  <c r="I414" i="1"/>
  <c r="M527" i="1"/>
  <c r="M201" i="1"/>
  <c r="M11" i="1"/>
  <c r="I347" i="1"/>
  <c r="P317" i="1"/>
  <c r="V552" i="1"/>
  <c r="I558" i="1"/>
  <c r="L146" i="1"/>
  <c r="M282" i="1"/>
  <c r="M349" i="1"/>
  <c r="J114" i="1"/>
  <c r="M498" i="1"/>
  <c r="P78" i="1"/>
  <c r="P165" i="1"/>
  <c r="V438" i="1"/>
  <c r="P521" i="1"/>
  <c r="L290" i="1"/>
  <c r="J281" i="1"/>
  <c r="P266" i="1"/>
  <c r="G266" i="1" s="1"/>
  <c r="V28" i="1"/>
  <c r="J446" i="1"/>
  <c r="V176" i="1"/>
  <c r="J355" i="1"/>
  <c r="W195" i="1"/>
  <c r="L169" i="1"/>
  <c r="M289" i="1"/>
  <c r="J551" i="1"/>
  <c r="J496" i="1"/>
  <c r="W294" i="1"/>
  <c r="L427" i="1"/>
  <c r="W279" i="1"/>
  <c r="W102" i="1"/>
  <c r="M456" i="1"/>
  <c r="J251" i="1"/>
  <c r="P348" i="1"/>
  <c r="G348" i="1" s="1"/>
  <c r="L17" i="1"/>
  <c r="W399" i="1"/>
  <c r="M541" i="1"/>
  <c r="V501" i="1"/>
  <c r="J237" i="1"/>
  <c r="L42" i="1"/>
  <c r="M110" i="1"/>
  <c r="P114" i="1"/>
  <c r="G114" i="1" s="1"/>
  <c r="L68" i="1"/>
  <c r="V345" i="1"/>
  <c r="J270" i="1"/>
  <c r="L348" i="1"/>
  <c r="J224" i="1"/>
  <c r="V74" i="1"/>
  <c r="P472" i="1"/>
  <c r="L430" i="1"/>
  <c r="W141" i="1"/>
  <c r="J505" i="1"/>
  <c r="I133" i="1"/>
  <c r="P342" i="1"/>
  <c r="I354" i="1"/>
  <c r="V485" i="1"/>
  <c r="M95" i="1"/>
  <c r="L372" i="1"/>
  <c r="M153" i="1"/>
  <c r="J266" i="1"/>
  <c r="M316" i="1"/>
  <c r="M309" i="1"/>
  <c r="L181" i="1"/>
  <c r="M381" i="1"/>
  <c r="M188" i="1"/>
  <c r="V425" i="1"/>
  <c r="P487" i="1"/>
  <c r="I421" i="1"/>
  <c r="P394" i="1"/>
  <c r="P326" i="1"/>
  <c r="W82" i="1"/>
  <c r="W154" i="1"/>
  <c r="P87" i="1"/>
  <c r="I522" i="1"/>
  <c r="J163" i="1"/>
  <c r="L483" i="1"/>
  <c r="J396" i="1"/>
  <c r="L466" i="1"/>
  <c r="V75" i="1"/>
  <c r="L341" i="1"/>
  <c r="O341" i="1" s="1"/>
  <c r="L213" i="1"/>
  <c r="W77" i="1"/>
  <c r="L267" i="1"/>
  <c r="M144" i="1"/>
  <c r="I15" i="1"/>
  <c r="M142" i="1"/>
  <c r="M313" i="1"/>
  <c r="I362" i="1"/>
  <c r="I494" i="1"/>
  <c r="V41" i="1"/>
  <c r="I109" i="1"/>
  <c r="J193" i="1"/>
  <c r="W29" i="1"/>
  <c r="I171" i="1"/>
  <c r="I120" i="1"/>
  <c r="P148" i="1"/>
  <c r="W116" i="1"/>
  <c r="V51" i="1"/>
  <c r="P441" i="1"/>
  <c r="I518" i="1"/>
  <c r="I380" i="1"/>
  <c r="W358" i="1"/>
  <c r="P502" i="1"/>
  <c r="J425" i="1"/>
  <c r="V414" i="1"/>
  <c r="I459" i="1"/>
  <c r="I196" i="1"/>
  <c r="L331" i="1"/>
  <c r="I500" i="1"/>
  <c r="P248" i="1"/>
  <c r="J288" i="1"/>
  <c r="M411" i="1"/>
  <c r="M220" i="1"/>
  <c r="M123" i="1"/>
  <c r="P429" i="1"/>
  <c r="L11" i="1"/>
  <c r="P512" i="1"/>
  <c r="V169" i="1"/>
  <c r="V347" i="1"/>
  <c r="W317" i="1"/>
  <c r="I93" i="1"/>
  <c r="M216" i="1"/>
  <c r="J146" i="1"/>
  <c r="P99" i="1"/>
  <c r="I161" i="1"/>
  <c r="J417" i="1"/>
  <c r="M114" i="1"/>
  <c r="V201" i="1"/>
  <c r="J480" i="1"/>
  <c r="P31" i="1"/>
  <c r="P119" i="1"/>
  <c r="W165" i="1"/>
  <c r="L522" i="1"/>
  <c r="V11" i="1"/>
  <c r="M264" i="1"/>
  <c r="W378" i="1"/>
  <c r="M39" i="1"/>
  <c r="M479" i="1"/>
  <c r="L449" i="1"/>
  <c r="M439" i="1"/>
  <c r="P89" i="1"/>
  <c r="V90" i="1"/>
  <c r="M329" i="1"/>
  <c r="W295" i="1"/>
  <c r="P323" i="1"/>
  <c r="L274" i="1"/>
  <c r="L257" i="1"/>
  <c r="I456" i="1"/>
  <c r="P46" i="1"/>
  <c r="P135" i="1"/>
  <c r="G135" i="1" s="1"/>
  <c r="V482" i="1"/>
  <c r="M173" i="1"/>
  <c r="P408" i="1"/>
  <c r="P474" i="1"/>
  <c r="M548" i="1"/>
  <c r="M7" i="1"/>
  <c r="M168" i="1"/>
  <c r="I350" i="1"/>
  <c r="M436" i="1"/>
  <c r="L336" i="1"/>
  <c r="M225" i="1"/>
  <c r="L260" i="1"/>
  <c r="L506" i="1"/>
  <c r="I139" i="1"/>
  <c r="V280" i="1"/>
  <c r="J543" i="1"/>
  <c r="I43" i="1"/>
  <c r="L418" i="1"/>
  <c r="I159" i="1"/>
  <c r="P231" i="1"/>
  <c r="M427" i="1"/>
  <c r="V324" i="1"/>
  <c r="I226" i="1"/>
  <c r="W6" i="1"/>
  <c r="W94" i="1"/>
  <c r="M387" i="1"/>
  <c r="M115" i="1"/>
  <c r="V129" i="1"/>
  <c r="I162" i="1"/>
  <c r="W340" i="1"/>
  <c r="J344" i="1"/>
  <c r="P23" i="1"/>
  <c r="I534" i="1"/>
  <c r="W510" i="1"/>
  <c r="W331" i="1"/>
  <c r="V462" i="1"/>
  <c r="P254" i="1"/>
  <c r="L247" i="1"/>
  <c r="V549" i="1"/>
  <c r="P361" i="1"/>
  <c r="P44" i="1"/>
  <c r="L394" i="1"/>
  <c r="M544" i="1"/>
  <c r="M67" i="1"/>
  <c r="V144" i="1"/>
  <c r="L19" i="1"/>
  <c r="I530" i="1"/>
  <c r="P451" i="1"/>
  <c r="I440" i="1"/>
  <c r="W313" i="1"/>
  <c r="J379" i="1"/>
  <c r="L107" i="1"/>
  <c r="J302" i="1"/>
  <c r="V203" i="1"/>
  <c r="L539" i="1"/>
  <c r="W394" i="1"/>
  <c r="W326" i="1"/>
  <c r="P336" i="1"/>
  <c r="G336" i="1" s="1"/>
  <c r="L396" i="1"/>
  <c r="I489" i="1"/>
  <c r="M320" i="1"/>
  <c r="I523" i="1"/>
  <c r="P15" i="1"/>
  <c r="J142" i="1"/>
  <c r="M452" i="1"/>
  <c r="P41" i="1"/>
  <c r="I381" i="1"/>
  <c r="P360" i="1"/>
  <c r="L8" i="1"/>
  <c r="P490" i="1"/>
  <c r="P29" i="1"/>
  <c r="V157" i="1"/>
  <c r="W380" i="1"/>
  <c r="W196" i="1"/>
  <c r="L176" i="1"/>
  <c r="L398" i="1"/>
  <c r="L411" i="1"/>
  <c r="W432" i="1"/>
  <c r="M299" i="1"/>
  <c r="W429" i="1"/>
  <c r="L473" i="1"/>
  <c r="J100" i="1"/>
  <c r="V161" i="1"/>
  <c r="L138" i="1"/>
  <c r="I201" i="1"/>
  <c r="W31" i="1"/>
  <c r="V119" i="1"/>
  <c r="L479" i="1"/>
  <c r="I547" i="1"/>
  <c r="J26" i="1"/>
  <c r="W38" i="1"/>
  <c r="J370" i="1"/>
  <c r="M192" i="1"/>
  <c r="W417" i="1"/>
  <c r="V370" i="1"/>
  <c r="M79" i="1"/>
  <c r="W363" i="1"/>
  <c r="P353" i="1"/>
  <c r="W235" i="1"/>
  <c r="I231" i="1"/>
  <c r="W226" i="1"/>
  <c r="W45" i="1"/>
  <c r="W168" i="1"/>
  <c r="I395" i="1"/>
  <c r="W203" i="1"/>
  <c r="I485" i="1"/>
  <c r="P142" i="1"/>
  <c r="V253" i="1"/>
  <c r="J153" i="1"/>
  <c r="M266" i="1"/>
  <c r="M181" i="1"/>
  <c r="J357" i="1"/>
  <c r="V487" i="1"/>
  <c r="I326" i="1"/>
  <c r="I274" i="1"/>
  <c r="M272" i="1"/>
  <c r="W436" i="1"/>
  <c r="L401" i="1"/>
  <c r="I87" i="1"/>
  <c r="W522" i="1"/>
  <c r="M556" i="1"/>
  <c r="M483" i="1"/>
  <c r="L125" i="1"/>
  <c r="W246" i="1"/>
  <c r="L546" i="1"/>
  <c r="J405" i="1"/>
  <c r="M466" i="1"/>
  <c r="P447" i="1"/>
  <c r="G447" i="1" s="1"/>
  <c r="P75" i="1"/>
  <c r="J308" i="1"/>
  <c r="V489" i="1"/>
  <c r="L103" i="1"/>
  <c r="W382" i="1"/>
  <c r="V77" i="1"/>
  <c r="P523" i="1"/>
  <c r="M263" i="1"/>
  <c r="V15" i="1"/>
  <c r="W96" i="1"/>
  <c r="P460" i="1"/>
  <c r="L142" i="1"/>
  <c r="O142" i="1" s="1"/>
  <c r="V163" i="1"/>
  <c r="W362" i="1"/>
  <c r="L112" i="1"/>
  <c r="V109" i="1"/>
  <c r="J416" i="1"/>
  <c r="M60" i="1"/>
  <c r="L193" i="1"/>
  <c r="O193" i="1" s="1"/>
  <c r="V171" i="1"/>
  <c r="J14" i="1"/>
  <c r="V120" i="1"/>
  <c r="W59" i="1"/>
  <c r="J12" i="1"/>
  <c r="I543" i="1"/>
  <c r="M152" i="1"/>
  <c r="I416" i="1"/>
  <c r="V459" i="1"/>
  <c r="P196" i="1"/>
  <c r="J331" i="1"/>
  <c r="W391" i="1"/>
  <c r="L201" i="1"/>
  <c r="J176" i="1"/>
  <c r="M121" i="1"/>
  <c r="P500" i="1"/>
  <c r="M288" i="1"/>
  <c r="M132" i="1"/>
  <c r="W185" i="1"/>
  <c r="W245" i="1"/>
  <c r="L299" i="1"/>
  <c r="J220" i="1"/>
  <c r="M10" i="1"/>
  <c r="M159" i="1"/>
  <c r="J11" i="1"/>
  <c r="W512" i="1"/>
  <c r="W169" i="1"/>
  <c r="V544" i="1"/>
  <c r="V558" i="1"/>
  <c r="V151" i="1"/>
  <c r="J284" i="1"/>
  <c r="I99" i="1"/>
  <c r="P161" i="1"/>
  <c r="M486" i="1"/>
  <c r="W514" i="1"/>
  <c r="W201" i="1"/>
  <c r="J9" i="1"/>
  <c r="L364" i="1"/>
  <c r="M240" i="1"/>
  <c r="J212" i="1"/>
  <c r="J304" i="1"/>
  <c r="M166" i="1"/>
  <c r="W521" i="1"/>
  <c r="P378" i="1"/>
  <c r="L39" i="1"/>
  <c r="M290" i="1"/>
  <c r="M141" i="1"/>
  <c r="W266" i="1"/>
  <c r="P547" i="1"/>
  <c r="I158" i="1"/>
  <c r="P28" i="1"/>
  <c r="V183" i="1"/>
  <c r="W25" i="1"/>
  <c r="V200" i="1"/>
  <c r="J192" i="1"/>
  <c r="I417" i="1"/>
  <c r="M43" i="1"/>
  <c r="V195" i="1"/>
  <c r="J307" i="1"/>
  <c r="L35" i="1"/>
  <c r="M169" i="1"/>
  <c r="J289" i="1"/>
  <c r="M421" i="1"/>
  <c r="V84" i="1"/>
  <c r="L551" i="1"/>
  <c r="M509" i="1"/>
  <c r="M449" i="1"/>
  <c r="I554" i="1"/>
  <c r="P257" i="1"/>
  <c r="V89" i="1"/>
  <c r="P90" i="1"/>
  <c r="V295" i="1"/>
  <c r="J274" i="1"/>
  <c r="I79" i="1"/>
  <c r="J257" i="1"/>
  <c r="P456" i="1"/>
  <c r="V58" i="1"/>
  <c r="I46" i="1"/>
  <c r="V135" i="1"/>
  <c r="I508" i="1"/>
  <c r="M524" i="1"/>
  <c r="W276" i="1"/>
  <c r="W408" i="1"/>
  <c r="I474" i="1"/>
  <c r="I172" i="1"/>
  <c r="I553" i="1"/>
  <c r="P205" i="1"/>
  <c r="M385" i="1"/>
  <c r="W392" i="1"/>
  <c r="W461" i="1"/>
  <c r="L117" i="1"/>
  <c r="L168" i="1"/>
  <c r="I316" i="1"/>
  <c r="P492" i="1"/>
  <c r="W350" i="1"/>
  <c r="L436" i="1"/>
  <c r="M336" i="1"/>
  <c r="J260" i="1"/>
  <c r="J506" i="1"/>
  <c r="M543" i="1"/>
  <c r="M414" i="1"/>
  <c r="J528" i="1"/>
  <c r="J555" i="1"/>
  <c r="P47" i="1"/>
  <c r="V159" i="1"/>
  <c r="J158" i="1"/>
  <c r="L326" i="1"/>
  <c r="M76" i="1"/>
  <c r="I39" i="1"/>
  <c r="V302" i="1"/>
  <c r="W282" i="1"/>
  <c r="L16" i="1"/>
  <c r="I321" i="1"/>
  <c r="W284" i="1"/>
  <c r="V20" i="1"/>
  <c r="I483" i="1"/>
  <c r="P3" i="1"/>
  <c r="M32" i="1"/>
  <c r="V339" i="1"/>
  <c r="L438" i="1"/>
  <c r="J254" i="1"/>
  <c r="P365" i="1"/>
  <c r="L62" i="1"/>
  <c r="V290" i="1"/>
  <c r="M268" i="1"/>
  <c r="W21" i="1"/>
  <c r="I53" i="1"/>
  <c r="L286" i="1"/>
  <c r="V170" i="1"/>
  <c r="M412" i="1"/>
  <c r="V495" i="1"/>
  <c r="P305" i="1"/>
  <c r="M353" i="1"/>
  <c r="L389" i="1"/>
  <c r="P36" i="1"/>
  <c r="G36" i="1" s="1"/>
  <c r="I217" i="1"/>
  <c r="M75" i="1"/>
  <c r="W536" i="1"/>
  <c r="L276" i="1"/>
  <c r="P189" i="1"/>
  <c r="L405" i="1"/>
  <c r="O405" i="1" s="1"/>
  <c r="P489" i="1"/>
  <c r="P362" i="1"/>
  <c r="M88" i="1"/>
  <c r="V288" i="1"/>
  <c r="V502" i="1"/>
  <c r="W459" i="1"/>
  <c r="J121" i="1"/>
  <c r="J10" i="1"/>
  <c r="P540" i="1"/>
  <c r="W347" i="1"/>
  <c r="M480" i="1"/>
  <c r="I119" i="1"/>
  <c r="M304" i="1"/>
  <c r="J290" i="1"/>
  <c r="L446" i="1"/>
  <c r="W183" i="1"/>
  <c r="L365" i="1"/>
  <c r="I370" i="1"/>
  <c r="J380" i="1"/>
  <c r="V45" i="1"/>
  <c r="L251" i="1"/>
  <c r="M50" i="1"/>
  <c r="W348" i="1"/>
  <c r="J17" i="1"/>
  <c r="W503" i="1"/>
  <c r="W173" i="1"/>
  <c r="P327" i="1"/>
  <c r="P32" i="1"/>
  <c r="M443" i="1"/>
  <c r="W263" i="1"/>
  <c r="W174" i="1"/>
  <c r="J120" i="1"/>
  <c r="I141" i="1"/>
  <c r="W467" i="1"/>
  <c r="W133" i="1"/>
  <c r="M275" i="1"/>
  <c r="W407" i="1"/>
  <c r="I277" i="1"/>
  <c r="M59" i="1"/>
  <c r="I333" i="1"/>
  <c r="M64" i="1"/>
  <c r="I210" i="1"/>
  <c r="I470" i="1"/>
  <c r="W138" i="1"/>
  <c r="I379" i="1"/>
  <c r="M84" i="1"/>
  <c r="W147" i="1"/>
  <c r="M23" i="1"/>
  <c r="I406" i="1"/>
  <c r="J155" i="1"/>
  <c r="J92" i="1"/>
  <c r="J459" i="1"/>
  <c r="M287" i="1"/>
  <c r="I371" i="1"/>
  <c r="W465" i="1"/>
  <c r="I528" i="1"/>
  <c r="I97" i="1"/>
  <c r="M135" i="1"/>
  <c r="P105" i="1"/>
  <c r="I357" i="1"/>
  <c r="M413" i="1"/>
  <c r="J339" i="1"/>
  <c r="W73" i="1"/>
  <c r="W529" i="1"/>
  <c r="V430" i="1"/>
  <c r="V40" i="1"/>
  <c r="L54" i="1"/>
  <c r="W337" i="1"/>
  <c r="P134" i="1"/>
  <c r="J269" i="1"/>
  <c r="L6" i="1"/>
  <c r="J223" i="1"/>
  <c r="W418" i="1"/>
  <c r="I61" i="1"/>
  <c r="I140" i="1"/>
  <c r="W198" i="1"/>
  <c r="L233" i="1"/>
  <c r="J165" i="1"/>
  <c r="M467" i="1"/>
  <c r="J47" i="1"/>
  <c r="M40" i="1"/>
  <c r="I95" i="1"/>
  <c r="J511" i="1"/>
  <c r="L81" i="1"/>
  <c r="I513" i="1"/>
  <c r="W63" i="1"/>
  <c r="V160" i="1"/>
  <c r="I383" i="1"/>
  <c r="P415" i="1"/>
  <c r="I240" i="1"/>
  <c r="M215" i="1"/>
  <c r="P446" i="1"/>
  <c r="L178" i="1"/>
  <c r="J321" i="1"/>
  <c r="M89" i="1"/>
  <c r="P149" i="1"/>
  <c r="I515" i="1"/>
  <c r="P180" i="1"/>
  <c r="L530" i="1"/>
  <c r="L477" i="1"/>
  <c r="I396" i="1"/>
  <c r="M180" i="1"/>
  <c r="J458" i="1"/>
  <c r="P80" i="1"/>
  <c r="I117" i="1"/>
  <c r="V344" i="1"/>
  <c r="V480" i="1"/>
  <c r="W184" i="1"/>
  <c r="M330" i="1"/>
  <c r="I225" i="1"/>
  <c r="M162" i="1"/>
  <c r="J96" i="1"/>
  <c r="I393" i="1"/>
  <c r="P9" i="1"/>
  <c r="P519" i="1"/>
  <c r="L504" i="1"/>
  <c r="L231" i="1"/>
  <c r="V111" i="1"/>
  <c r="V236" i="1"/>
  <c r="L369" i="1"/>
  <c r="I531" i="1"/>
  <c r="V422" i="1"/>
  <c r="J228" i="1"/>
  <c r="M507" i="1"/>
  <c r="P428" i="1"/>
  <c r="I81" i="1"/>
  <c r="L21" i="1"/>
  <c r="I359" i="1"/>
  <c r="I265" i="1"/>
  <c r="M294" i="1"/>
  <c r="V35" i="1"/>
  <c r="J500" i="1"/>
  <c r="V108" i="1"/>
  <c r="M428" i="1"/>
  <c r="L295" i="1"/>
  <c r="W484" i="1"/>
  <c r="M129" i="1"/>
  <c r="V330" i="1"/>
  <c r="V561" i="1"/>
  <c r="I60" i="1"/>
  <c r="L343" i="1"/>
  <c r="V304" i="1"/>
  <c r="W261" i="1"/>
  <c r="P115" i="1"/>
  <c r="M491" i="1"/>
  <c r="J323" i="1"/>
  <c r="I256" i="1"/>
  <c r="V76" i="1"/>
  <c r="J420" i="1"/>
  <c r="J280" i="1"/>
  <c r="J328" i="1"/>
  <c r="L424" i="1"/>
  <c r="I65" i="1"/>
  <c r="I338" i="1"/>
  <c r="W251" i="1"/>
  <c r="I325" i="1"/>
  <c r="P219" i="1"/>
  <c r="W67" i="1"/>
  <c r="M24" i="1"/>
  <c r="P2" i="1"/>
  <c r="V538" i="1"/>
  <c r="J91" i="1"/>
  <c r="W390" i="1"/>
  <c r="L232" i="1"/>
  <c r="W527" i="1"/>
  <c r="V368" i="1"/>
  <c r="V410" i="1"/>
  <c r="J235" i="1"/>
  <c r="M494" i="1"/>
  <c r="I400" i="1"/>
  <c r="V194" i="1"/>
  <c r="I98" i="1"/>
  <c r="M248" i="1"/>
  <c r="M227" i="1"/>
  <c r="V419" i="1"/>
  <c r="W498" i="1"/>
  <c r="W181" i="1"/>
  <c r="P106" i="1"/>
  <c r="I413" i="1"/>
  <c r="P491" i="1"/>
  <c r="L377" i="1"/>
  <c r="L230" i="1"/>
  <c r="P477" i="1"/>
  <c r="I329" i="1"/>
  <c r="J259" i="1"/>
  <c r="L69" i="1"/>
  <c r="M382" i="1"/>
  <c r="W541" i="1"/>
  <c r="M523" i="1"/>
  <c r="I455" i="1"/>
  <c r="J361" i="1"/>
  <c r="M442" i="1"/>
  <c r="V247" i="1"/>
  <c r="I37" i="1"/>
  <c r="L463" i="1"/>
  <c r="V296" i="1"/>
  <c r="P349" i="1"/>
  <c r="V187" i="1"/>
  <c r="W52" i="1"/>
  <c r="W509" i="1"/>
  <c r="P389" i="1"/>
  <c r="I113" i="1"/>
  <c r="M113" i="1"/>
  <c r="M535" i="1"/>
  <c r="P377" i="1"/>
  <c r="L97" i="1"/>
  <c r="I334" i="1"/>
  <c r="L311" i="1"/>
  <c r="I131" i="1"/>
  <c r="I199" i="1"/>
  <c r="I127" i="1"/>
  <c r="L426" i="1"/>
  <c r="P386" i="1"/>
  <c r="P262" i="1"/>
  <c r="W69" i="1"/>
  <c r="L279" i="1"/>
  <c r="L514" i="1"/>
  <c r="I166" i="1"/>
  <c r="J499" i="1"/>
  <c r="I121" i="1"/>
  <c r="P364" i="1"/>
  <c r="P68" i="1"/>
  <c r="W216" i="1"/>
  <c r="V13" i="1"/>
  <c r="M540" i="1"/>
  <c r="L515" i="1"/>
  <c r="W443" i="1"/>
  <c r="J183" i="1"/>
  <c r="W227" i="1"/>
  <c r="P298" i="1"/>
  <c r="W130" i="1"/>
  <c r="J63" i="1"/>
  <c r="V104" i="1"/>
  <c r="M214" i="1"/>
  <c r="J314" i="1"/>
  <c r="W479" i="1"/>
  <c r="L395" i="1"/>
  <c r="M137" i="1"/>
  <c r="I239" i="1"/>
  <c r="M31" i="1"/>
  <c r="M131" i="1"/>
  <c r="W437" i="1"/>
  <c r="I47" i="1"/>
  <c r="V511" i="1"/>
  <c r="M5" i="1"/>
  <c r="I307" i="1"/>
  <c r="M560" i="1"/>
  <c r="L115" i="1"/>
  <c r="P129" i="1"/>
  <c r="V242" i="1"/>
  <c r="P237" i="1"/>
  <c r="M262" i="1"/>
  <c r="W23" i="1"/>
  <c r="M122" i="1"/>
  <c r="W86" i="1"/>
  <c r="V534" i="1"/>
  <c r="P505" i="1"/>
  <c r="M306" i="1"/>
  <c r="V331" i="1"/>
  <c r="I259" i="1"/>
  <c r="P424" i="1"/>
  <c r="M28" i="1"/>
  <c r="W361" i="1"/>
  <c r="I44" i="1"/>
  <c r="M394" i="1"/>
  <c r="W144" i="1"/>
  <c r="V526" i="1"/>
  <c r="L249" i="1"/>
  <c r="L472" i="1"/>
  <c r="P435" i="1"/>
  <c r="V440" i="1"/>
  <c r="M191" i="1"/>
  <c r="I313" i="1"/>
  <c r="W457" i="1"/>
  <c r="P186" i="1"/>
  <c r="W454" i="1"/>
  <c r="P167" i="1"/>
  <c r="V190" i="1"/>
  <c r="J130" i="1"/>
  <c r="P292" i="1"/>
  <c r="L357" i="1"/>
  <c r="P421" i="1"/>
  <c r="V394" i="1"/>
  <c r="V272" i="1"/>
  <c r="V274" i="1"/>
  <c r="V436" i="1"/>
  <c r="J58" i="1"/>
  <c r="L241" i="1"/>
  <c r="V382" i="1"/>
  <c r="P255" i="1"/>
  <c r="J15" i="1"/>
  <c r="P109" i="1"/>
  <c r="J305" i="1"/>
  <c r="I164" i="1"/>
  <c r="M176" i="1"/>
  <c r="J159" i="1"/>
  <c r="V512" i="1"/>
  <c r="P169" i="1"/>
  <c r="M284" i="1"/>
  <c r="L9" i="1"/>
  <c r="O9" i="1" s="1"/>
  <c r="L212" i="1"/>
  <c r="L164" i="1"/>
  <c r="I176" i="1"/>
  <c r="M465" i="1"/>
  <c r="L79" i="1"/>
  <c r="I363" i="1"/>
  <c r="W84" i="1"/>
  <c r="L448" i="1"/>
  <c r="V374" i="1"/>
  <c r="I279" i="1"/>
  <c r="P203" i="1"/>
  <c r="L153" i="1"/>
  <c r="L381" i="1"/>
  <c r="V300" i="1"/>
  <c r="M163" i="1"/>
  <c r="I336" i="1"/>
  <c r="J125" i="1"/>
  <c r="W122" i="1"/>
  <c r="M308" i="1"/>
  <c r="M241" i="1"/>
  <c r="M451" i="1"/>
  <c r="J144" i="1"/>
  <c r="M474" i="1"/>
  <c r="I163" i="1"/>
  <c r="I124" i="1"/>
  <c r="M429" i="1"/>
  <c r="I221" i="1"/>
  <c r="P381" i="1"/>
  <c r="J8" i="1"/>
  <c r="I490" i="1"/>
  <c r="P116" i="1"/>
  <c r="M12" i="1"/>
  <c r="J88" i="1"/>
  <c r="P288" i="1"/>
  <c r="W164" i="1"/>
  <c r="V500" i="1"/>
  <c r="I90" i="1"/>
  <c r="I323" i="1"/>
  <c r="L87" i="1"/>
  <c r="M476" i="1"/>
  <c r="P553" i="1"/>
  <c r="V205" i="1"/>
  <c r="L7" i="1"/>
  <c r="I64" i="1"/>
  <c r="V492" i="1"/>
  <c r="V350" i="1"/>
  <c r="P232" i="1"/>
  <c r="L225" i="1"/>
  <c r="V299" i="1"/>
  <c r="W485" i="1"/>
  <c r="M61" i="1"/>
  <c r="L468" i="1"/>
  <c r="I355" i="1"/>
  <c r="W487" i="1"/>
  <c r="V522" i="1"/>
  <c r="M342" i="1"/>
  <c r="L308" i="1"/>
  <c r="O308" i="1" s="1"/>
  <c r="V362" i="1"/>
  <c r="J112" i="1"/>
  <c r="V221" i="1"/>
  <c r="J60" i="1"/>
  <c r="I59" i="1"/>
  <c r="V148" i="1"/>
  <c r="V16" i="1"/>
  <c r="V116" i="1"/>
  <c r="L12" i="1"/>
  <c r="W51" i="1"/>
  <c r="P518" i="1"/>
  <c r="V486" i="1"/>
  <c r="L88" i="1"/>
  <c r="P358" i="1"/>
  <c r="I288" i="1"/>
  <c r="W502" i="1"/>
  <c r="M425" i="1"/>
  <c r="W414" i="1"/>
  <c r="V164" i="1"/>
  <c r="V391" i="1"/>
  <c r="J201" i="1"/>
  <c r="M533" i="1"/>
  <c r="W500" i="1"/>
  <c r="V248" i="1"/>
  <c r="P432" i="1"/>
  <c r="G432" i="1" s="1"/>
  <c r="J132" i="1"/>
  <c r="P185" i="1"/>
  <c r="J299" i="1"/>
  <c r="M473" i="1"/>
  <c r="W540" i="1"/>
  <c r="M66" i="1"/>
  <c r="I552" i="1"/>
  <c r="M100" i="1"/>
  <c r="L190" i="1"/>
  <c r="P93" i="1"/>
  <c r="I544" i="1"/>
  <c r="P558" i="1"/>
  <c r="W151" i="1"/>
  <c r="M146" i="1"/>
  <c r="L284" i="1"/>
  <c r="I303" i="1"/>
  <c r="L349" i="1"/>
  <c r="P458" i="1"/>
  <c r="P293" i="1"/>
  <c r="G293" i="1" s="1"/>
  <c r="W78" i="1"/>
  <c r="I31" i="1"/>
  <c r="M364" i="1"/>
  <c r="J522" i="1"/>
  <c r="I438" i="1"/>
  <c r="M143" i="1"/>
  <c r="J479" i="1"/>
  <c r="J164" i="1"/>
  <c r="W158" i="1"/>
  <c r="L324" i="1"/>
  <c r="P38" i="1"/>
  <c r="I183" i="1"/>
  <c r="L355" i="1"/>
  <c r="W328" i="1"/>
  <c r="M203" i="1"/>
  <c r="I195" i="1"/>
  <c r="J169" i="1"/>
  <c r="J79" i="1"/>
  <c r="P191" i="1"/>
  <c r="P84" i="1"/>
  <c r="G84" i="1" s="1"/>
  <c r="V235" i="1"/>
  <c r="L516" i="1"/>
  <c r="J174" i="1"/>
  <c r="J16" i="1"/>
  <c r="V442" i="1"/>
  <c r="W20" i="1"/>
  <c r="V72" i="1"/>
  <c r="J345" i="1"/>
  <c r="P556" i="1"/>
  <c r="P483" i="1"/>
  <c r="J184" i="1"/>
  <c r="M315" i="1"/>
  <c r="L74" i="1"/>
  <c r="J124" i="1"/>
  <c r="I112" i="1"/>
  <c r="J384" i="1"/>
  <c r="M371" i="1"/>
  <c r="P469" i="1"/>
  <c r="V286" i="1"/>
  <c r="W444" i="1"/>
  <c r="W42" i="1"/>
  <c r="W365" i="1"/>
  <c r="I223" i="1"/>
  <c r="L444" i="1"/>
  <c r="M333" i="1"/>
  <c r="W170" i="1"/>
  <c r="W495" i="1"/>
  <c r="W305" i="1"/>
  <c r="L407" i="1"/>
  <c r="M389" i="1"/>
  <c r="V217" i="1"/>
  <c r="J75" i="1"/>
  <c r="J410" i="1"/>
  <c r="I507" i="1"/>
  <c r="W189" i="1"/>
  <c r="P411" i="1"/>
  <c r="G411" i="1" s="1"/>
  <c r="W278" i="1"/>
  <c r="W357" i="1"/>
  <c r="L197" i="1"/>
  <c r="P73" i="1"/>
  <c r="L362" i="1"/>
  <c r="I430" i="1"/>
  <c r="M160" i="1"/>
  <c r="P222" i="1"/>
  <c r="J440" i="1"/>
  <c r="W388" i="1"/>
  <c r="V418" i="1"/>
  <c r="L244" i="1"/>
  <c r="I497" i="1"/>
  <c r="M561" i="1"/>
  <c r="J518" i="1"/>
  <c r="J233" i="1"/>
  <c r="J388" i="1"/>
  <c r="J40" i="1"/>
  <c r="P91" i="1"/>
  <c r="L157" i="1"/>
  <c r="W481" i="1"/>
  <c r="M297" i="1"/>
  <c r="V63" i="1"/>
  <c r="P160" i="1"/>
  <c r="W551" i="1"/>
  <c r="L200" i="1"/>
  <c r="P385" i="1"/>
  <c r="I415" i="1"/>
  <c r="J167" i="1"/>
  <c r="P240" i="1"/>
  <c r="J558" i="1"/>
  <c r="P466" i="1"/>
  <c r="M321" i="1"/>
  <c r="M392" i="1"/>
  <c r="J196" i="1"/>
  <c r="M271" i="1"/>
  <c r="I369" i="1"/>
  <c r="P128" i="1"/>
  <c r="M477" i="1"/>
  <c r="J375" i="1"/>
  <c r="P488" i="1"/>
  <c r="P310" i="1"/>
  <c r="J501" i="1"/>
  <c r="P344" i="1"/>
  <c r="P480" i="1"/>
  <c r="V184" i="1"/>
  <c r="I450" i="1"/>
  <c r="W225" i="1"/>
  <c r="L72" i="1"/>
  <c r="L534" i="1"/>
  <c r="I150" i="1"/>
  <c r="V393" i="1"/>
  <c r="L48" i="1"/>
  <c r="L367" i="1"/>
  <c r="V476" i="1"/>
  <c r="L368" i="1"/>
  <c r="P236" i="1"/>
  <c r="M358" i="1"/>
  <c r="L29" i="1"/>
  <c r="V27" i="1"/>
  <c r="W366" i="1"/>
  <c r="L507" i="1"/>
  <c r="P48" i="1"/>
  <c r="I143" i="1"/>
  <c r="M327" i="1"/>
  <c r="J21" i="1"/>
  <c r="W359" i="1"/>
  <c r="M492" i="1"/>
  <c r="P297" i="1"/>
  <c r="V265" i="1"/>
  <c r="W182" i="1"/>
  <c r="P300" i="1"/>
  <c r="P355" i="1"/>
  <c r="L272" i="1"/>
  <c r="I152" i="1"/>
  <c r="V336" i="1"/>
  <c r="J546" i="1"/>
  <c r="J128" i="1"/>
  <c r="V447" i="1"/>
  <c r="J103" i="1"/>
  <c r="V96" i="1"/>
  <c r="W163" i="1"/>
  <c r="M8" i="1"/>
  <c r="I16" i="1"/>
  <c r="I441" i="1"/>
  <c r="P380" i="1"/>
  <c r="L132" i="1"/>
  <c r="L285" i="1"/>
  <c r="W544" i="1"/>
  <c r="L240" i="1"/>
  <c r="I11" i="1"/>
  <c r="V378" i="1"/>
  <c r="J141" i="1"/>
  <c r="M471" i="1"/>
  <c r="I200" i="1"/>
  <c r="L307" i="1"/>
  <c r="V191" i="1"/>
  <c r="J181" i="1"/>
  <c r="M357" i="1"/>
  <c r="I487" i="1"/>
  <c r="V421" i="1"/>
  <c r="I394" i="1"/>
  <c r="J401" i="1"/>
  <c r="V154" i="1"/>
  <c r="V87" i="1"/>
  <c r="P4" i="1"/>
  <c r="M405" i="1"/>
  <c r="J140" i="1"/>
  <c r="W447" i="1"/>
  <c r="J263" i="1"/>
  <c r="P96" i="1"/>
  <c r="V460" i="1"/>
  <c r="W109" i="1"/>
  <c r="P59" i="1"/>
  <c r="V441" i="1"/>
  <c r="P486" i="1"/>
  <c r="V380" i="1"/>
  <c r="W543" i="1"/>
  <c r="P416" i="1"/>
  <c r="P459" i="1"/>
  <c r="J398" i="1"/>
  <c r="P245" i="1"/>
  <c r="I257" i="1"/>
  <c r="I89" i="1"/>
  <c r="M521" i="1"/>
  <c r="M482" i="1"/>
  <c r="P482" i="1"/>
  <c r="J524" i="1"/>
  <c r="I276" i="1"/>
  <c r="L234" i="1"/>
  <c r="V461" i="1"/>
  <c r="V319" i="1"/>
  <c r="L41" i="1"/>
  <c r="J95" i="1"/>
  <c r="I517" i="1"/>
  <c r="W101" i="1"/>
  <c r="W300" i="1"/>
  <c r="P274" i="1"/>
  <c r="L163" i="1"/>
  <c r="P122" i="1"/>
  <c r="L263" i="1"/>
  <c r="W15" i="1"/>
  <c r="W255" i="1"/>
  <c r="P124" i="1"/>
  <c r="L416" i="1"/>
  <c r="W120" i="1"/>
  <c r="W517" i="1"/>
  <c r="I253" i="1"/>
  <c r="J539" i="1"/>
  <c r="J316" i="1"/>
  <c r="L347" i="1"/>
  <c r="P101" i="1"/>
  <c r="J468" i="1"/>
  <c r="V355" i="1"/>
  <c r="V326" i="1"/>
  <c r="I468" i="1"/>
  <c r="W274" i="1"/>
  <c r="I436" i="1"/>
  <c r="P82" i="1"/>
  <c r="J483" i="1"/>
  <c r="V4" i="1"/>
  <c r="L58" i="1"/>
  <c r="I447" i="1"/>
  <c r="M341" i="1"/>
  <c r="I382" i="1"/>
  <c r="J267" i="1"/>
  <c r="J320" i="1"/>
  <c r="W523" i="1"/>
  <c r="L144" i="1"/>
  <c r="V255" i="1"/>
  <c r="W460" i="1"/>
  <c r="V124" i="1"/>
  <c r="W41" i="1"/>
  <c r="W221" i="1"/>
  <c r="V381" i="1"/>
  <c r="W360" i="1"/>
  <c r="W490" i="1"/>
  <c r="L60" i="1"/>
  <c r="O60" i="1" s="1"/>
  <c r="V29" i="1"/>
  <c r="L14" i="1"/>
  <c r="M305" i="1"/>
  <c r="I148" i="1"/>
  <c r="W157" i="1"/>
  <c r="W486" i="1"/>
  <c r="P543" i="1"/>
  <c r="I502" i="1"/>
  <c r="L425" i="1"/>
  <c r="M363" i="1"/>
  <c r="P414" i="1"/>
  <c r="J533" i="1"/>
  <c r="W248" i="1"/>
  <c r="V432" i="1"/>
  <c r="I245" i="1"/>
  <c r="V429" i="1"/>
  <c r="L159" i="1"/>
  <c r="J285" i="1"/>
  <c r="I540" i="1"/>
  <c r="I317" i="1"/>
  <c r="L100" i="1"/>
  <c r="M190" i="1"/>
  <c r="L318" i="1"/>
  <c r="V93" i="1"/>
  <c r="M470" i="1"/>
  <c r="J216" i="1"/>
  <c r="P151" i="1"/>
  <c r="W99" i="1"/>
  <c r="W161" i="1"/>
  <c r="P303" i="1"/>
  <c r="L417" i="1"/>
  <c r="L114" i="1"/>
  <c r="M138" i="1"/>
  <c r="V514" i="1"/>
  <c r="W293" i="1"/>
  <c r="I78" i="1"/>
  <c r="L480" i="1"/>
  <c r="O480" i="1" s="1"/>
  <c r="M134" i="1"/>
  <c r="J364" i="1"/>
  <c r="V165" i="1"/>
  <c r="W231" i="1"/>
  <c r="P324" i="1"/>
  <c r="J448" i="1"/>
  <c r="P374" i="1"/>
  <c r="M105" i="1"/>
  <c r="V279" i="1"/>
  <c r="I45" i="1"/>
  <c r="I271" i="1"/>
  <c r="V168" i="1"/>
  <c r="P264" i="1"/>
  <c r="L50" i="1"/>
  <c r="L484" i="1"/>
  <c r="P501" i="1"/>
  <c r="L237" i="1"/>
  <c r="L261" i="1"/>
  <c r="V173" i="1"/>
  <c r="W327" i="1"/>
  <c r="J334" i="1"/>
  <c r="J443" i="1"/>
  <c r="P263" i="1"/>
  <c r="G263" i="1" s="1"/>
  <c r="M242" i="1"/>
  <c r="M352" i="1"/>
  <c r="M403" i="1"/>
  <c r="P74" i="1"/>
  <c r="W472" i="1"/>
  <c r="M430" i="1"/>
  <c r="M513" i="1"/>
  <c r="J409" i="1"/>
  <c r="P467" i="1"/>
  <c r="W208" i="1"/>
  <c r="W137" i="1"/>
  <c r="P83" i="1"/>
  <c r="P560" i="1"/>
  <c r="P277" i="1"/>
  <c r="V397" i="1"/>
  <c r="V333" i="1"/>
  <c r="P210" i="1"/>
  <c r="V138" i="1"/>
  <c r="J84" i="1"/>
  <c r="P153" i="1"/>
  <c r="L155" i="1"/>
  <c r="M92" i="1"/>
  <c r="W5" i="1"/>
  <c r="W371" i="1"/>
  <c r="V528" i="1"/>
  <c r="I511" i="1"/>
  <c r="L5" i="1"/>
  <c r="I179" i="1"/>
  <c r="P307" i="1"/>
  <c r="M350" i="1"/>
  <c r="I129" i="1"/>
  <c r="V162" i="1"/>
  <c r="I340" i="1"/>
  <c r="J262" i="1"/>
  <c r="M432" i="1"/>
  <c r="L122" i="1"/>
  <c r="P86" i="1"/>
  <c r="P387" i="1"/>
  <c r="W505" i="1"/>
  <c r="M175" i="1"/>
  <c r="W462" i="1"/>
  <c r="V259" i="1"/>
  <c r="W549" i="1"/>
  <c r="J28" i="1"/>
  <c r="P433" i="1"/>
  <c r="I229" i="1"/>
  <c r="W44" i="1"/>
  <c r="V289" i="1"/>
  <c r="V530" i="1"/>
  <c r="V451" i="1"/>
  <c r="L356" i="1"/>
  <c r="P420" i="1"/>
  <c r="G420" i="1" s="1"/>
  <c r="W241" i="1"/>
  <c r="J210" i="1"/>
  <c r="M33" i="1"/>
  <c r="L136" i="1"/>
  <c r="P532" i="1"/>
  <c r="I186" i="1"/>
  <c r="I454" i="1"/>
  <c r="I449" i="1"/>
  <c r="V546" i="1"/>
  <c r="J239" i="1"/>
  <c r="I190" i="1"/>
  <c r="V292" i="1"/>
  <c r="W301" i="1"/>
  <c r="P517" i="1"/>
  <c r="V142" i="1"/>
  <c r="M125" i="1"/>
  <c r="M396" i="1"/>
  <c r="P33" i="1"/>
  <c r="M193" i="1"/>
  <c r="V59" i="1"/>
  <c r="I157" i="1"/>
  <c r="I486" i="1"/>
  <c r="V358" i="1"/>
  <c r="W416" i="1"/>
  <c r="I391" i="1"/>
  <c r="V245" i="1"/>
  <c r="L66" i="1"/>
  <c r="W558" i="1"/>
  <c r="J138" i="1"/>
  <c r="V458" i="1"/>
  <c r="V293" i="1"/>
  <c r="V521" i="1"/>
  <c r="J435" i="1"/>
  <c r="V266" i="1"/>
  <c r="M108" i="1"/>
  <c r="L43" i="1"/>
  <c r="J35" i="1"/>
  <c r="J372" i="1"/>
  <c r="I142" i="1"/>
  <c r="M347" i="1"/>
  <c r="M423" i="1"/>
  <c r="V82" i="1"/>
  <c r="M546" i="1"/>
  <c r="J466" i="1"/>
  <c r="I33" i="1"/>
  <c r="W75" i="1"/>
  <c r="M103" i="1"/>
  <c r="W494" i="1"/>
  <c r="L15" i="1"/>
  <c r="W16" i="1"/>
  <c r="J411" i="1"/>
  <c r="I185" i="1"/>
  <c r="P504" i="1"/>
  <c r="I545" i="1"/>
  <c r="P218" i="1"/>
  <c r="W346" i="1"/>
  <c r="I230" i="1"/>
  <c r="J173" i="1"/>
  <c r="M487" i="1"/>
  <c r="M260" i="1"/>
  <c r="M372" i="1"/>
  <c r="P253" i="1"/>
  <c r="J188" i="1"/>
  <c r="W468" i="1"/>
  <c r="P154" i="1"/>
  <c r="P152" i="1"/>
  <c r="I4" i="1"/>
  <c r="L140" i="1"/>
  <c r="I75" i="1"/>
  <c r="M213" i="1"/>
  <c r="I77" i="1"/>
  <c r="V360" i="1"/>
  <c r="V490" i="1"/>
  <c r="W171" i="1"/>
  <c r="L266" i="1"/>
  <c r="L188" i="1"/>
  <c r="I425" i="1"/>
  <c r="M462" i="1"/>
  <c r="W272" i="1"/>
  <c r="I154" i="1"/>
  <c r="I246" i="1"/>
  <c r="I122" i="1"/>
  <c r="L128" i="1"/>
  <c r="V33" i="1"/>
  <c r="W489" i="1"/>
  <c r="J241" i="1"/>
  <c r="J451" i="1"/>
  <c r="I203" i="1"/>
  <c r="P485" i="1"/>
  <c r="L95" i="1"/>
  <c r="V517" i="1"/>
  <c r="W142" i="1"/>
  <c r="W253" i="1"/>
  <c r="M539" i="1"/>
  <c r="L316" i="1"/>
  <c r="O316" i="1" s="1"/>
  <c r="J347" i="1"/>
  <c r="I101" i="1"/>
  <c r="M468" i="1"/>
  <c r="V468" i="1"/>
  <c r="I272" i="1"/>
  <c r="J272" i="1"/>
  <c r="P436" i="1"/>
  <c r="I82" i="1"/>
  <c r="M401" i="1"/>
  <c r="W87" i="1"/>
  <c r="V152" i="1"/>
  <c r="W336" i="1"/>
  <c r="W4" i="1"/>
  <c r="M531" i="1"/>
  <c r="V246" i="1"/>
  <c r="M58" i="1"/>
  <c r="M128" i="1"/>
  <c r="M140" i="1"/>
  <c r="W33" i="1"/>
  <c r="L451" i="1"/>
  <c r="O451" i="1" s="1"/>
  <c r="J213" i="1"/>
  <c r="P382" i="1"/>
  <c r="M267" i="1"/>
  <c r="L320" i="1"/>
  <c r="V523" i="1"/>
  <c r="I96" i="1"/>
  <c r="I255" i="1"/>
  <c r="I460" i="1"/>
  <c r="P163" i="1"/>
  <c r="P494" i="1"/>
  <c r="W124" i="1"/>
  <c r="I41" i="1"/>
  <c r="P221" i="1"/>
  <c r="W381" i="1"/>
  <c r="I360" i="1"/>
  <c r="M15" i="1"/>
  <c r="I29" i="1"/>
  <c r="P171" i="1"/>
  <c r="M14" i="1"/>
  <c r="P120" i="1"/>
  <c r="G120" i="1" s="1"/>
  <c r="W148" i="1"/>
  <c r="P16" i="1"/>
  <c r="P51" i="1"/>
  <c r="W441" i="1"/>
  <c r="W518" i="1"/>
  <c r="P157" i="1"/>
  <c r="V543" i="1"/>
  <c r="V416" i="1"/>
  <c r="P164" i="1"/>
  <c r="V196" i="1"/>
  <c r="M331" i="1"/>
  <c r="P391" i="1"/>
  <c r="G391" i="1" s="1"/>
  <c r="L533" i="1"/>
  <c r="L121" i="1"/>
  <c r="M398" i="1"/>
  <c r="I248" i="1"/>
  <c r="L288" i="1"/>
  <c r="I432" i="1"/>
  <c r="V185" i="1"/>
  <c r="L220" i="1"/>
  <c r="O220" i="1" s="1"/>
  <c r="I429" i="1"/>
  <c r="I512" i="1"/>
  <c r="J473" i="1"/>
  <c r="V504" i="1"/>
  <c r="V545" i="1"/>
  <c r="V257" i="1"/>
  <c r="L329" i="1"/>
  <c r="L503" i="1"/>
  <c r="P267" i="1"/>
  <c r="I295" i="1"/>
  <c r="V323" i="1"/>
  <c r="I218" i="1"/>
  <c r="W79" i="1"/>
  <c r="W58" i="1"/>
  <c r="W46" i="1"/>
  <c r="W508" i="1"/>
  <c r="J386" i="1"/>
  <c r="J256" i="1"/>
  <c r="V276" i="1"/>
  <c r="I408" i="1"/>
  <c r="V172" i="1"/>
  <c r="W205" i="1"/>
  <c r="L385" i="1"/>
  <c r="V392" i="1"/>
  <c r="J168" i="1"/>
  <c r="J336" i="1"/>
  <c r="P319" i="1"/>
  <c r="I250" i="1"/>
  <c r="V283" i="1"/>
  <c r="V139" i="1"/>
  <c r="W280" i="1"/>
  <c r="L543" i="1"/>
  <c r="L414" i="1"/>
  <c r="I299" i="1"/>
  <c r="M217" i="1"/>
  <c r="V47" i="1"/>
  <c r="M418" i="1"/>
  <c r="P159" i="1"/>
  <c r="L158" i="1"/>
  <c r="O158" i="1" s="1"/>
  <c r="J76" i="1"/>
  <c r="I302" i="1"/>
  <c r="I282" i="1"/>
  <c r="V284" i="1"/>
  <c r="P20" i="1"/>
  <c r="W72" i="1"/>
  <c r="M391" i="1"/>
  <c r="I556" i="1"/>
  <c r="M184" i="1"/>
  <c r="V244" i="1"/>
  <c r="J315" i="1"/>
  <c r="L384" i="1"/>
  <c r="I286" i="1"/>
  <c r="M438" i="1"/>
  <c r="V42" i="1"/>
  <c r="M444" i="1"/>
  <c r="M286" i="1"/>
  <c r="L353" i="1"/>
  <c r="V36" i="1"/>
  <c r="L57" i="1"/>
  <c r="L460" i="1"/>
  <c r="P220" i="1"/>
  <c r="W411" i="1"/>
  <c r="V278" i="1"/>
  <c r="J56" i="1"/>
  <c r="M512" i="1"/>
  <c r="I102" i="1"/>
  <c r="J456" i="1"/>
  <c r="M17" i="1"/>
  <c r="I399" i="1"/>
  <c r="J42" i="1"/>
  <c r="W114" i="1"/>
  <c r="I356" i="1"/>
  <c r="P345" i="1"/>
  <c r="M270" i="1"/>
  <c r="V263" i="1"/>
  <c r="P174" i="1"/>
  <c r="J352" i="1"/>
  <c r="M224" i="1"/>
  <c r="W74" i="1"/>
  <c r="I472" i="1"/>
  <c r="J513" i="1"/>
  <c r="P141" i="1"/>
  <c r="I467" i="1"/>
  <c r="L505" i="1"/>
  <c r="P137" i="1"/>
  <c r="J422" i="1"/>
  <c r="J275" i="1"/>
  <c r="W83" i="1"/>
  <c r="V277" i="1"/>
  <c r="J59" i="1"/>
  <c r="V470" i="1"/>
  <c r="M303" i="1"/>
  <c r="P138" i="1"/>
  <c r="W379" i="1"/>
  <c r="L77" i="1"/>
  <c r="W406" i="1"/>
  <c r="W352" i="1"/>
  <c r="P376" i="1"/>
  <c r="I5" i="1"/>
  <c r="W528" i="1"/>
  <c r="M245" i="1"/>
  <c r="V238" i="1"/>
  <c r="W39" i="1"/>
  <c r="P302" i="1"/>
  <c r="I284" i="1"/>
  <c r="P72" i="1"/>
  <c r="V556" i="1"/>
  <c r="I244" i="1"/>
  <c r="I3" i="1"/>
  <c r="J74" i="1"/>
  <c r="P112" i="1"/>
  <c r="M559" i="1"/>
  <c r="L32" i="1"/>
  <c r="L371" i="1"/>
  <c r="V24" i="1"/>
  <c r="P286" i="1"/>
  <c r="J397" i="1"/>
  <c r="J438" i="1"/>
  <c r="P42" i="1"/>
  <c r="P223" i="1"/>
  <c r="J333" i="1"/>
  <c r="M209" i="1"/>
  <c r="I21" i="1"/>
  <c r="J412" i="1"/>
  <c r="I495" i="1"/>
  <c r="J389" i="1"/>
  <c r="I36" i="1"/>
  <c r="L75" i="1"/>
  <c r="I536" i="1"/>
  <c r="M276" i="1"/>
  <c r="M376" i="1"/>
  <c r="V507" i="1"/>
  <c r="W220" i="1"/>
  <c r="P278" i="1"/>
  <c r="G278" i="1" s="1"/>
  <c r="J512" i="1"/>
  <c r="I6" i="1"/>
  <c r="J5" i="1"/>
  <c r="V307" i="1"/>
  <c r="P94" i="1"/>
  <c r="J115" i="1"/>
  <c r="P242" i="1"/>
  <c r="W162" i="1"/>
  <c r="L344" i="1"/>
  <c r="L262" i="1"/>
  <c r="O262" i="1" s="1"/>
  <c r="L432" i="1"/>
  <c r="I86" i="1"/>
  <c r="P534" i="1"/>
  <c r="W387" i="1"/>
  <c r="L306" i="1"/>
  <c r="M493" i="1"/>
  <c r="W254" i="1"/>
  <c r="M247" i="1"/>
  <c r="J532" i="1"/>
  <c r="V424" i="1"/>
  <c r="V361" i="1"/>
  <c r="I433" i="1"/>
  <c r="W427" i="1"/>
  <c r="W526" i="1"/>
  <c r="M472" i="1"/>
  <c r="I435" i="1"/>
  <c r="W451" i="1"/>
  <c r="V420" i="1"/>
  <c r="L379" i="1"/>
  <c r="I241" i="1"/>
  <c r="V457" i="1"/>
  <c r="P8" i="1"/>
  <c r="G8" i="1" s="1"/>
  <c r="M136" i="1"/>
  <c r="V454" i="1"/>
  <c r="M478" i="1"/>
  <c r="I167" i="1"/>
  <c r="I520" i="1"/>
  <c r="L510" i="1"/>
  <c r="I292" i="1"/>
  <c r="P110" i="1"/>
  <c r="W97" i="1"/>
  <c r="P281" i="1"/>
  <c r="L413" i="1"/>
  <c r="J553" i="1"/>
  <c r="M197" i="1"/>
  <c r="V529" i="1"/>
  <c r="I40" i="1"/>
  <c r="M440" i="1"/>
  <c r="P388" i="1"/>
  <c r="P206" i="1"/>
  <c r="M244" i="1"/>
  <c r="L561" i="1"/>
  <c r="L518" i="1"/>
  <c r="M165" i="1"/>
  <c r="P445" i="1"/>
  <c r="L47" i="1"/>
  <c r="L297" i="1"/>
  <c r="M116" i="1"/>
  <c r="J22" i="1"/>
  <c r="I551" i="1"/>
  <c r="J200" i="1"/>
  <c r="W56" i="1"/>
  <c r="V385" i="1"/>
  <c r="L167" i="1"/>
  <c r="J215" i="1"/>
  <c r="L558" i="1"/>
  <c r="M149" i="1"/>
  <c r="J178" i="1"/>
  <c r="L255" i="1"/>
  <c r="L392" i="1"/>
  <c r="L119" i="1"/>
  <c r="V22" i="1"/>
  <c r="V180" i="1"/>
  <c r="J45" i="1"/>
  <c r="J530" i="1"/>
  <c r="P306" i="1"/>
  <c r="L375" i="1"/>
  <c r="J180" i="1"/>
  <c r="J464" i="1"/>
  <c r="V212" i="1"/>
  <c r="I310" i="1"/>
  <c r="P117" i="1"/>
  <c r="M475" i="1"/>
  <c r="L501" i="1"/>
  <c r="I344" i="1"/>
  <c r="W450" i="1"/>
  <c r="P225" i="1"/>
  <c r="L96" i="1"/>
  <c r="J534" i="1"/>
  <c r="V150" i="1"/>
  <c r="P393" i="1"/>
  <c r="G393" i="1" s="1"/>
  <c r="M48" i="1"/>
  <c r="M351" i="1"/>
  <c r="J504" i="1"/>
  <c r="M367" i="1"/>
  <c r="W476" i="1"/>
  <c r="J368" i="1"/>
  <c r="I260" i="1"/>
  <c r="V531" i="1"/>
  <c r="I27" i="1"/>
  <c r="I270" i="1"/>
  <c r="V464" i="1"/>
  <c r="I422" i="1"/>
  <c r="I366" i="1"/>
  <c r="V48" i="1"/>
  <c r="P143" i="1"/>
  <c r="J327" i="1"/>
  <c r="V359" i="1"/>
  <c r="I297" i="1"/>
  <c r="W265" i="1"/>
  <c r="I35" i="1"/>
  <c r="M65" i="1"/>
  <c r="P211" i="1"/>
  <c r="M500" i="1"/>
  <c r="P478" i="1"/>
  <c r="G478" i="1" s="1"/>
  <c r="P285" i="1"/>
  <c r="L461" i="1"/>
  <c r="I484" i="1"/>
  <c r="V493" i="1"/>
  <c r="P155" i="1"/>
  <c r="J129" i="1"/>
  <c r="M283" i="1"/>
  <c r="P304" i="1"/>
  <c r="G304" i="1" s="1"/>
  <c r="V261" i="1"/>
  <c r="V115" i="1"/>
  <c r="W213" i="1"/>
  <c r="W535" i="1"/>
  <c r="M323" i="1"/>
  <c r="I92" i="1"/>
  <c r="V373" i="1"/>
  <c r="V202" i="1"/>
  <c r="I533" i="1"/>
  <c r="M424" i="1"/>
  <c r="I251" i="1"/>
  <c r="L91" i="1"/>
  <c r="P390" i="1"/>
  <c r="L243" i="1"/>
  <c r="L186" i="1"/>
  <c r="P368" i="1"/>
  <c r="W12" i="1"/>
  <c r="I410" i="1"/>
  <c r="L235" i="1"/>
  <c r="O235" i="1" s="1"/>
  <c r="J340" i="1"/>
  <c r="P71" i="1"/>
  <c r="V98" i="1"/>
  <c r="W291" i="1"/>
  <c r="L227" i="1"/>
  <c r="P107" i="1"/>
  <c r="V498" i="1"/>
  <c r="W125" i="1"/>
  <c r="P181" i="1"/>
  <c r="V332" i="1"/>
  <c r="P146" i="1"/>
  <c r="P413" i="1"/>
  <c r="W491" i="1"/>
  <c r="M70" i="1"/>
  <c r="P275" i="1"/>
  <c r="M547" i="1"/>
  <c r="I34" i="1"/>
  <c r="I234" i="1"/>
  <c r="J469" i="1"/>
  <c r="L382" i="1"/>
  <c r="J542" i="1"/>
  <c r="L361" i="1"/>
  <c r="L406" i="1"/>
  <c r="W247" i="1"/>
  <c r="L211" i="1"/>
  <c r="W296" i="1"/>
  <c r="W187" i="1"/>
  <c r="V537" i="1"/>
  <c r="W389" i="1"/>
  <c r="M83" i="1"/>
  <c r="L52" i="1"/>
  <c r="W215" i="1"/>
  <c r="P131" i="1"/>
  <c r="V127" i="1"/>
  <c r="V262" i="1"/>
  <c r="V166" i="1"/>
  <c r="I123" i="1"/>
  <c r="L525" i="1"/>
  <c r="V121" i="1"/>
  <c r="I548" i="1"/>
  <c r="J185" i="1"/>
  <c r="V298" i="1"/>
  <c r="P66" i="1"/>
  <c r="L63" i="1"/>
  <c r="P19" i="1"/>
  <c r="W314" i="1"/>
  <c r="M314" i="1"/>
  <c r="V372" i="1"/>
  <c r="J395" i="1"/>
  <c r="V269" i="1"/>
  <c r="I193" i="1"/>
  <c r="V239" i="1"/>
  <c r="L415" i="1"/>
  <c r="M332" i="1"/>
  <c r="V10" i="1"/>
  <c r="J133" i="1"/>
  <c r="J101" i="1"/>
  <c r="W542" i="1"/>
  <c r="P475" i="1"/>
  <c r="I437" i="1"/>
  <c r="J488" i="1"/>
  <c r="L109" i="1"/>
  <c r="L71" i="1"/>
  <c r="M393" i="1"/>
  <c r="V423" i="1"/>
  <c r="P30" i="1"/>
  <c r="J102" i="1"/>
  <c r="M127" i="1"/>
  <c r="L519" i="1"/>
  <c r="V49" i="1"/>
  <c r="W555" i="1"/>
  <c r="I557" i="1"/>
  <c r="I175" i="1"/>
  <c r="I320" i="1"/>
  <c r="J93" i="1"/>
  <c r="I524" i="1"/>
  <c r="P55" i="1"/>
  <c r="G55" i="1" s="1"/>
  <c r="M3" i="1"/>
  <c r="J126" i="1"/>
  <c r="I367" i="1"/>
  <c r="V214" i="1"/>
  <c r="W287" i="1"/>
  <c r="M292" i="1"/>
  <c r="M170" i="1"/>
  <c r="I343" i="1"/>
  <c r="V57" i="1"/>
  <c r="P26" i="1"/>
  <c r="W18" i="1"/>
  <c r="W404" i="1"/>
  <c r="W204" i="1"/>
  <c r="I17" i="1"/>
  <c r="W398" i="1"/>
  <c r="L172" i="1"/>
  <c r="M319" i="1"/>
  <c r="W209" i="1"/>
  <c r="M400" i="1"/>
  <c r="M520" i="1"/>
  <c r="L437" i="1"/>
  <c r="M374" i="1"/>
  <c r="I335" i="1"/>
  <c r="I132" i="1"/>
  <c r="W550" i="1"/>
  <c r="P311" i="1"/>
  <c r="J195" i="1"/>
  <c r="J537" i="1"/>
  <c r="I434" i="1"/>
  <c r="P258" i="1"/>
  <c r="V118" i="1"/>
  <c r="P525" i="1"/>
  <c r="G525" i="1" s="1"/>
  <c r="M265" i="1"/>
  <c r="G128" i="1"/>
  <c r="G66" i="1"/>
  <c r="G307" i="1"/>
  <c r="G169" i="1"/>
  <c r="G421" i="1"/>
  <c r="G117" i="1"/>
  <c r="G42" i="1"/>
  <c r="G352" i="1"/>
  <c r="G16" i="1"/>
  <c r="G254" i="1"/>
  <c r="G210" i="1"/>
  <c r="G223" i="1"/>
  <c r="G206" i="1"/>
  <c r="G51" i="1"/>
  <c r="G219" i="1"/>
  <c r="L10" i="1"/>
  <c r="I169" i="1"/>
  <c r="V317" i="1"/>
  <c r="P552" i="1"/>
  <c r="G552" i="1" s="1"/>
  <c r="J190" i="1"/>
  <c r="M318" i="1"/>
  <c r="W93" i="1"/>
  <c r="L216" i="1"/>
  <c r="O216" i="1" s="1"/>
  <c r="P544" i="1"/>
  <c r="I151" i="1"/>
  <c r="V99" i="1"/>
  <c r="W303" i="1"/>
  <c r="M417" i="1"/>
  <c r="P514" i="1"/>
  <c r="W458" i="1"/>
  <c r="P201" i="1"/>
  <c r="M9" i="1"/>
  <c r="P438" i="1"/>
  <c r="W11" i="1"/>
  <c r="M212" i="1"/>
  <c r="J264" i="1"/>
  <c r="I521" i="1"/>
  <c r="I378" i="1"/>
  <c r="J39" i="1"/>
  <c r="L435" i="1"/>
  <c r="L281" i="1"/>
  <c r="O281" i="1" s="1"/>
  <c r="L141" i="1"/>
  <c r="I266" i="1"/>
  <c r="V158" i="1"/>
  <c r="M26" i="1"/>
  <c r="M446" i="1"/>
  <c r="L108" i="1"/>
  <c r="V38" i="1"/>
  <c r="P176" i="1"/>
  <c r="I351" i="1"/>
  <c r="L471" i="1"/>
  <c r="P328" i="1"/>
  <c r="L192" i="1"/>
  <c r="J465" i="1"/>
  <c r="M365" i="1"/>
  <c r="P370" i="1"/>
  <c r="I191" i="1"/>
  <c r="W353" i="1"/>
  <c r="M380" i="1"/>
  <c r="L421" i="1"/>
  <c r="M496" i="1"/>
  <c r="I294" i="1"/>
  <c r="J516" i="1"/>
  <c r="W554" i="1"/>
  <c r="W257" i="1"/>
  <c r="L439" i="1"/>
  <c r="W90" i="1"/>
  <c r="J329" i="1"/>
  <c r="M503" i="1"/>
  <c r="M274" i="1"/>
  <c r="V79" i="1"/>
  <c r="L521" i="1"/>
  <c r="M257" i="1"/>
  <c r="W456" i="1"/>
  <c r="P58" i="1"/>
  <c r="V346" i="1"/>
  <c r="V230" i="1"/>
  <c r="V508" i="1"/>
  <c r="V474" i="1"/>
  <c r="P172" i="1"/>
  <c r="V553" i="1"/>
  <c r="I205" i="1"/>
  <c r="L487" i="1"/>
  <c r="J234" i="1"/>
  <c r="I461" i="1"/>
  <c r="J117" i="1"/>
  <c r="P409" i="1"/>
  <c r="P64" i="1"/>
  <c r="W492" i="1"/>
  <c r="P350" i="1"/>
  <c r="V232" i="1"/>
  <c r="P283" i="1"/>
  <c r="W139" i="1"/>
  <c r="P280" i="1"/>
  <c r="L404" i="1"/>
  <c r="V231" i="1"/>
  <c r="W324" i="1"/>
  <c r="V226" i="1"/>
  <c r="W271" i="1"/>
  <c r="P102" i="1"/>
  <c r="I168" i="1"/>
  <c r="V264" i="1"/>
  <c r="J50" i="1"/>
  <c r="V348" i="1"/>
  <c r="J541" i="1"/>
  <c r="I501" i="1"/>
  <c r="M42" i="1"/>
  <c r="V356" i="1"/>
  <c r="V327" i="1"/>
  <c r="L334" i="1"/>
  <c r="I32" i="1"/>
  <c r="I263" i="1"/>
  <c r="I174" i="1"/>
  <c r="M348" i="1"/>
  <c r="L403" i="1"/>
  <c r="L224" i="1"/>
  <c r="L120" i="1"/>
  <c r="V141" i="1"/>
  <c r="V467" i="1"/>
  <c r="I208" i="1"/>
  <c r="P133" i="1"/>
  <c r="V342" i="1"/>
  <c r="W354" i="1"/>
  <c r="L422" i="1"/>
  <c r="O422" i="1" s="1"/>
  <c r="I83" i="1"/>
  <c r="P397" i="1"/>
  <c r="L64" i="1"/>
  <c r="W210" i="1"/>
  <c r="P470" i="1"/>
  <c r="J303" i="1"/>
  <c r="J77" i="1"/>
  <c r="V153" i="1"/>
  <c r="P406" i="1"/>
  <c r="I352" i="1"/>
  <c r="V376" i="1"/>
  <c r="P371" i="1"/>
  <c r="V465" i="1"/>
  <c r="P528" i="1"/>
  <c r="P238" i="1"/>
  <c r="G238" i="1" s="1"/>
  <c r="M326" i="1"/>
  <c r="L76" i="1"/>
  <c r="W442" i="1"/>
  <c r="W321" i="1"/>
  <c r="I20" i="1"/>
  <c r="W556" i="1"/>
  <c r="V483" i="1"/>
  <c r="V3" i="1"/>
  <c r="M481" i="1"/>
  <c r="L161" i="1"/>
  <c r="M384" i="1"/>
  <c r="I469" i="1"/>
  <c r="P24" i="1"/>
  <c r="W286" i="1"/>
  <c r="W339" i="1"/>
  <c r="M254" i="1"/>
  <c r="J444" i="1"/>
  <c r="P412" i="1"/>
  <c r="V53" i="1"/>
  <c r="M57" i="1"/>
  <c r="J276" i="1"/>
  <c r="J376" i="1"/>
  <c r="I189" i="1"/>
  <c r="V220" i="1"/>
  <c r="V411" i="1"/>
  <c r="V496" i="1"/>
  <c r="M34" i="1"/>
  <c r="V6" i="1"/>
  <c r="P511" i="1"/>
  <c r="L560" i="1"/>
  <c r="L387" i="1"/>
  <c r="W242" i="1"/>
  <c r="P340" i="1"/>
  <c r="I237" i="1"/>
  <c r="M344" i="1"/>
  <c r="J536" i="1"/>
  <c r="V23" i="1"/>
  <c r="W534" i="1"/>
  <c r="I510" i="1"/>
  <c r="J175" i="1"/>
  <c r="I254" i="1"/>
  <c r="I549" i="1"/>
  <c r="M532" i="1"/>
  <c r="W433" i="1"/>
  <c r="V229" i="1"/>
  <c r="J544" i="1"/>
  <c r="J67" i="1"/>
  <c r="P289" i="1"/>
  <c r="G289" i="1" s="1"/>
  <c r="I427" i="1"/>
  <c r="J19" i="1"/>
  <c r="J472" i="1"/>
  <c r="W530" i="1"/>
  <c r="V435" i="1"/>
  <c r="J356" i="1"/>
  <c r="W420" i="1"/>
  <c r="L302" i="1"/>
  <c r="V241" i="1"/>
  <c r="V8" i="1"/>
  <c r="I62" i="1"/>
  <c r="J445" i="1"/>
  <c r="J136" i="1"/>
  <c r="V532" i="1"/>
  <c r="W449" i="1"/>
  <c r="P546" i="1"/>
  <c r="P520" i="1"/>
  <c r="J510" i="1"/>
  <c r="L135" i="1"/>
  <c r="V281" i="1"/>
  <c r="L301" i="1"/>
  <c r="P357" i="1"/>
  <c r="V426" i="1"/>
  <c r="L553" i="1"/>
  <c r="J197" i="1"/>
  <c r="M362" i="1"/>
  <c r="L160" i="1"/>
  <c r="M54" i="1"/>
  <c r="W134" i="1"/>
  <c r="J145" i="1"/>
  <c r="M269" i="1"/>
  <c r="J6" i="1"/>
  <c r="L223" i="1"/>
  <c r="W243" i="1"/>
  <c r="I222" i="1"/>
  <c r="L431" i="1"/>
  <c r="P198" i="1"/>
  <c r="M518" i="1"/>
  <c r="M233" i="1"/>
  <c r="J467" i="1"/>
  <c r="M388" i="1"/>
  <c r="W445" i="1"/>
  <c r="M511" i="1"/>
  <c r="I481" i="1"/>
  <c r="J297" i="1"/>
  <c r="V513" i="1"/>
  <c r="W268" i="1"/>
  <c r="I63" i="1"/>
  <c r="W160" i="1"/>
  <c r="P383" i="1"/>
  <c r="P56" i="1"/>
  <c r="I385" i="1"/>
  <c r="W415" i="1"/>
  <c r="M167" i="1"/>
  <c r="W240" i="1"/>
  <c r="W446" i="1"/>
  <c r="J149" i="1"/>
  <c r="M178" i="1"/>
  <c r="I466" i="1"/>
  <c r="I403" i="1"/>
  <c r="W149" i="1"/>
  <c r="M255" i="1"/>
  <c r="I405" i="1"/>
  <c r="J119" i="1"/>
  <c r="I22" i="1"/>
  <c r="I180" i="1"/>
  <c r="L45" i="1"/>
  <c r="V306" i="1"/>
  <c r="I128" i="1"/>
  <c r="J477" i="1"/>
  <c r="P212" i="1"/>
  <c r="V488" i="1"/>
  <c r="V310" i="1"/>
  <c r="W117" i="1"/>
  <c r="J475" i="1"/>
  <c r="V225" i="1"/>
  <c r="J72" i="1"/>
  <c r="M96" i="1"/>
  <c r="P150" i="1"/>
  <c r="W9" i="1"/>
  <c r="V519" i="1"/>
  <c r="W111" i="1"/>
  <c r="I476" i="1"/>
  <c r="M29" i="1"/>
  <c r="W260" i="1"/>
  <c r="V516" i="1"/>
  <c r="I178" i="1"/>
  <c r="P27" i="1"/>
  <c r="W464" i="1"/>
  <c r="J206" i="1"/>
  <c r="V81" i="1"/>
  <c r="W143" i="1"/>
  <c r="P249" i="1"/>
  <c r="W297" i="1"/>
  <c r="J312" i="1"/>
  <c r="V401" i="1"/>
  <c r="I182" i="1"/>
  <c r="I211" i="1"/>
  <c r="W478" i="1"/>
  <c r="V155" i="1"/>
  <c r="P330" i="1"/>
  <c r="I561" i="1"/>
  <c r="M98" i="1"/>
  <c r="I304" i="1"/>
  <c r="P318" i="1"/>
  <c r="I213" i="1"/>
  <c r="I535" i="1"/>
  <c r="P256" i="1"/>
  <c r="G256" i="1" s="1"/>
  <c r="L554" i="1"/>
  <c r="I76" i="1"/>
  <c r="W373" i="1"/>
  <c r="J455" i="1"/>
  <c r="L280" i="1"/>
  <c r="P202" i="1"/>
  <c r="W177" i="1"/>
  <c r="J51" i="1"/>
  <c r="V325" i="1"/>
  <c r="M91" i="1"/>
  <c r="W224" i="1"/>
  <c r="I527" i="1"/>
  <c r="L4" i="1"/>
  <c r="J494" i="1"/>
  <c r="W400" i="1"/>
  <c r="P194" i="1"/>
  <c r="M46" i="1"/>
  <c r="I291" i="1"/>
  <c r="V107" i="1"/>
  <c r="M373" i="1"/>
  <c r="V384" i="1"/>
  <c r="I181" i="1"/>
  <c r="P332" i="1"/>
  <c r="G332" i="1" s="1"/>
  <c r="W106" i="1"/>
  <c r="W100" i="1"/>
  <c r="V275" i="1"/>
  <c r="V192" i="1"/>
  <c r="I448" i="1"/>
  <c r="M222" i="1"/>
  <c r="L259" i="1"/>
  <c r="M69" i="1"/>
  <c r="V541" i="1"/>
  <c r="M542" i="1"/>
  <c r="L189" i="1"/>
  <c r="J211" i="1"/>
  <c r="I296" i="1"/>
  <c r="I187" i="1"/>
  <c r="P52" i="1"/>
  <c r="I537" i="1"/>
  <c r="P215" i="1"/>
  <c r="I308" i="1"/>
  <c r="I386" i="1"/>
  <c r="P341" i="1"/>
  <c r="W262" i="1"/>
  <c r="V69" i="1"/>
  <c r="V197" i="1"/>
  <c r="L499" i="1"/>
  <c r="W123" i="1"/>
  <c r="W121" i="1"/>
  <c r="V548" i="1"/>
  <c r="I68" i="1"/>
  <c r="P216" i="1"/>
  <c r="P13" i="1"/>
  <c r="L151" i="1"/>
  <c r="V443" i="1"/>
  <c r="W188" i="1"/>
  <c r="W431" i="1"/>
  <c r="W298" i="1"/>
  <c r="P130" i="1"/>
  <c r="J214" i="1"/>
  <c r="L310" i="1"/>
  <c r="P479" i="1"/>
  <c r="W269" i="1"/>
  <c r="J441" i="1"/>
  <c r="J139" i="1"/>
  <c r="J137" i="1"/>
  <c r="M450" i="1"/>
  <c r="L332" i="1"/>
  <c r="I312" i="1"/>
  <c r="P542" i="1"/>
  <c r="I475" i="1"/>
  <c r="W88" i="1"/>
  <c r="J109" i="1"/>
  <c r="L393" i="1"/>
  <c r="P423" i="1"/>
  <c r="W30" i="1"/>
  <c r="P233" i="1"/>
  <c r="G233" i="1" s="1"/>
  <c r="I375" i="1"/>
  <c r="P506" i="1"/>
  <c r="G506" i="1" s="1"/>
  <c r="I559" i="1"/>
  <c r="I273" i="1"/>
  <c r="P228" i="1"/>
  <c r="J205" i="1"/>
  <c r="L93" i="1"/>
  <c r="O93" i="1" s="1"/>
  <c r="W524" i="1"/>
  <c r="I55" i="1"/>
  <c r="M126" i="1"/>
  <c r="P287" i="1"/>
  <c r="J292" i="1"/>
  <c r="I322" i="1"/>
  <c r="W14" i="1"/>
  <c r="V539" i="1"/>
  <c r="P463" i="1"/>
  <c r="V343" i="1"/>
  <c r="V26" i="1"/>
  <c r="P18" i="1"/>
  <c r="V404" i="1"/>
  <c r="J172" i="1"/>
  <c r="J400" i="1"/>
  <c r="M118" i="1"/>
  <c r="P132" i="1"/>
  <c r="P550" i="1"/>
  <c r="W311" i="1"/>
  <c r="I50" i="1"/>
  <c r="L399" i="1"/>
  <c r="M253" i="1"/>
  <c r="L537" i="1"/>
  <c r="O537" i="1" s="1"/>
  <c r="M86" i="1"/>
  <c r="W434" i="1"/>
  <c r="P315" i="1"/>
  <c r="M202" i="1"/>
  <c r="P118" i="1"/>
  <c r="G164" i="1"/>
  <c r="G446" i="1"/>
  <c r="G174" i="1"/>
  <c r="G47" i="1"/>
  <c r="G215" i="1"/>
  <c r="G196" i="1"/>
  <c r="G475" i="1"/>
  <c r="G29" i="1"/>
  <c r="G327" i="1"/>
  <c r="G394" i="1"/>
  <c r="G340" i="1"/>
  <c r="G46" i="1"/>
  <c r="G189" i="1"/>
  <c r="G211" i="1"/>
  <c r="G514" i="1"/>
  <c r="G154" i="1"/>
  <c r="G298" i="1"/>
  <c r="G137" i="1"/>
  <c r="I457" i="1"/>
  <c r="W8" i="1"/>
  <c r="W62" i="1"/>
  <c r="M445" i="1"/>
  <c r="J33" i="1"/>
  <c r="W532" i="1"/>
  <c r="V186" i="1"/>
  <c r="J2" i="1"/>
  <c r="V449" i="1"/>
  <c r="I546" i="1"/>
  <c r="W167" i="1"/>
  <c r="V520" i="1"/>
  <c r="W292" i="1"/>
  <c r="J135" i="1"/>
  <c r="V105" i="1"/>
  <c r="I281" i="1"/>
  <c r="M301" i="1"/>
  <c r="V357" i="1"/>
  <c r="I426" i="1"/>
  <c r="M553" i="1"/>
  <c r="J362" i="1"/>
  <c r="W430" i="1"/>
  <c r="W40" i="1"/>
  <c r="I134" i="1"/>
  <c r="M145" i="1"/>
  <c r="M223" i="1"/>
  <c r="P243" i="1"/>
  <c r="I418" i="1"/>
  <c r="I206" i="1"/>
  <c r="V61" i="1"/>
  <c r="W140" i="1"/>
  <c r="V497" i="1"/>
  <c r="M431" i="1"/>
  <c r="L165" i="1"/>
  <c r="J485" i="1"/>
  <c r="V91" i="1"/>
  <c r="P95" i="1"/>
  <c r="M157" i="1"/>
  <c r="J81" i="1"/>
  <c r="P268" i="1"/>
  <c r="M53" i="1"/>
  <c r="M22" i="1"/>
  <c r="V383" i="1"/>
  <c r="M200" i="1"/>
  <c r="I56" i="1"/>
  <c r="I446" i="1"/>
  <c r="M558" i="1"/>
  <c r="L149" i="1"/>
  <c r="W466" i="1"/>
  <c r="P403" i="1"/>
  <c r="V515" i="1"/>
  <c r="P405" i="1"/>
  <c r="M119" i="1"/>
  <c r="M196" i="1"/>
  <c r="P22" i="1"/>
  <c r="L271" i="1"/>
  <c r="W369" i="1"/>
  <c r="W128" i="1"/>
  <c r="W396" i="1"/>
  <c r="I212" i="1"/>
  <c r="L475" i="1"/>
  <c r="W480" i="1"/>
  <c r="J330" i="1"/>
  <c r="P450" i="1"/>
  <c r="M534" i="1"/>
  <c r="I519" i="1"/>
  <c r="J48" i="1"/>
  <c r="J351" i="1"/>
  <c r="M231" i="1"/>
  <c r="J367" i="1"/>
  <c r="P111" i="1"/>
  <c r="G111" i="1" s="1"/>
  <c r="P476" i="1"/>
  <c r="P260" i="1"/>
  <c r="L238" i="1"/>
  <c r="W516" i="1"/>
  <c r="W178" i="1"/>
  <c r="L557" i="1"/>
  <c r="V270" i="1"/>
  <c r="I464" i="1"/>
  <c r="L228" i="1"/>
  <c r="O228" i="1" s="1"/>
  <c r="J507" i="1"/>
  <c r="V428" i="1"/>
  <c r="P81" i="1"/>
  <c r="G81" i="1" s="1"/>
  <c r="M21" i="1"/>
  <c r="P359" i="1"/>
  <c r="V297" i="1"/>
  <c r="M312" i="1"/>
  <c r="I401" i="1"/>
  <c r="P182" i="1"/>
  <c r="V207" i="1"/>
  <c r="V478" i="1"/>
  <c r="I108" i="1"/>
  <c r="L182" i="1"/>
  <c r="J325" i="1"/>
  <c r="W493" i="1"/>
  <c r="I155" i="1"/>
  <c r="I330" i="1"/>
  <c r="P561" i="1"/>
  <c r="J343" i="1"/>
  <c r="W304" i="1"/>
  <c r="V318" i="1"/>
  <c r="P213" i="1"/>
  <c r="V309" i="1"/>
  <c r="P535" i="1"/>
  <c r="J491" i="1"/>
  <c r="W256" i="1"/>
  <c r="J554" i="1"/>
  <c r="I373" i="1"/>
  <c r="M280" i="1"/>
  <c r="L328" i="1"/>
  <c r="I202" i="1"/>
  <c r="W533" i="1"/>
  <c r="V177" i="1"/>
  <c r="P65" i="1"/>
  <c r="V338" i="1"/>
  <c r="L51" i="1"/>
  <c r="P67" i="1"/>
  <c r="J24" i="1"/>
  <c r="V2" i="1"/>
  <c r="V224" i="1"/>
  <c r="L454" i="1"/>
  <c r="M243" i="1"/>
  <c r="P527" i="1"/>
  <c r="M186" i="1"/>
  <c r="V12" i="1"/>
  <c r="P400" i="1"/>
  <c r="L549" i="1"/>
  <c r="W194" i="1"/>
  <c r="J46" i="1"/>
  <c r="J248" i="1"/>
  <c r="P419" i="1"/>
  <c r="L360" i="1"/>
  <c r="W107" i="1"/>
  <c r="L373" i="1"/>
  <c r="I384" i="1"/>
  <c r="V125" i="1"/>
  <c r="M230" i="1"/>
  <c r="L70" i="1"/>
  <c r="W275" i="1"/>
  <c r="J335" i="1"/>
  <c r="L552" i="1"/>
  <c r="J222" i="1"/>
  <c r="J69" i="1"/>
  <c r="J526" i="1"/>
  <c r="L469" i="1"/>
  <c r="O469" i="1" s="1"/>
  <c r="I541" i="1"/>
  <c r="W252" i="1"/>
  <c r="I439" i="1"/>
  <c r="J463" i="1"/>
  <c r="I349" i="1"/>
  <c r="P187" i="1"/>
  <c r="M104" i="1"/>
  <c r="J346" i="1"/>
  <c r="P509" i="1"/>
  <c r="P537" i="1"/>
  <c r="I389" i="1"/>
  <c r="J311" i="1"/>
  <c r="V215" i="1"/>
  <c r="P308" i="1"/>
  <c r="V131" i="1"/>
  <c r="W199" i="1"/>
  <c r="M457" i="1"/>
  <c r="V386" i="1"/>
  <c r="V341" i="1"/>
  <c r="P197" i="1"/>
  <c r="J525" i="1"/>
  <c r="P121" i="1"/>
  <c r="G121" i="1" s="1"/>
  <c r="L337" i="1"/>
  <c r="M30" i="1"/>
  <c r="V68" i="1"/>
  <c r="L185" i="1"/>
  <c r="W13" i="1"/>
  <c r="P188" i="1"/>
  <c r="M183" i="1"/>
  <c r="I298" i="1"/>
  <c r="V130" i="1"/>
  <c r="P85" i="1"/>
  <c r="V314" i="1"/>
  <c r="J310" i="1"/>
  <c r="I479" i="1"/>
  <c r="I372" i="1"/>
  <c r="P269" i="1"/>
  <c r="L441" i="1"/>
  <c r="O441" i="1" s="1"/>
  <c r="L139" i="1"/>
  <c r="L137" i="1"/>
  <c r="M415" i="1"/>
  <c r="J450" i="1"/>
  <c r="I10" i="1"/>
  <c r="M133" i="1"/>
  <c r="W499" i="1"/>
  <c r="W312" i="1"/>
  <c r="L101" i="1"/>
  <c r="V402" i="1"/>
  <c r="I88" i="1"/>
  <c r="L85" i="1"/>
  <c r="J393" i="1"/>
  <c r="I233" i="1"/>
  <c r="V375" i="1"/>
  <c r="J199" i="1"/>
  <c r="V506" i="1"/>
  <c r="W49" i="1"/>
  <c r="V555" i="1"/>
  <c r="M490" i="1"/>
  <c r="V273" i="1"/>
  <c r="V557" i="1"/>
  <c r="P175" i="1"/>
  <c r="G175" i="1" s="1"/>
  <c r="J55" i="1"/>
  <c r="V524" i="1"/>
  <c r="M497" i="1"/>
  <c r="P367" i="1"/>
  <c r="L292" i="1"/>
  <c r="W322" i="1"/>
  <c r="I463" i="1"/>
  <c r="P343" i="1"/>
  <c r="L204" i="1"/>
  <c r="I18" i="1"/>
  <c r="J520" i="1"/>
  <c r="J437" i="1"/>
  <c r="V54" i="1"/>
  <c r="J529" i="1"/>
  <c r="V550" i="1"/>
  <c r="J20" i="1"/>
  <c r="I311" i="1"/>
  <c r="W50" i="1"/>
  <c r="L195" i="1"/>
  <c r="J399" i="1"/>
  <c r="J298" i="1"/>
  <c r="W452" i="1"/>
  <c r="I315" i="1"/>
  <c r="I70" i="1"/>
  <c r="I118" i="1"/>
  <c r="M278" i="1"/>
  <c r="P103" i="1"/>
  <c r="V7" i="1"/>
  <c r="V525" i="1"/>
  <c r="G468" i="1"/>
  <c r="G285" i="1"/>
  <c r="G240" i="1"/>
  <c r="G324" i="1"/>
  <c r="G459" i="1"/>
  <c r="G124" i="1"/>
  <c r="G460" i="1"/>
  <c r="G344" i="1"/>
  <c r="G367" i="1"/>
  <c r="G388" i="1"/>
  <c r="G255" i="1"/>
  <c r="G500" i="1"/>
  <c r="G491" i="1"/>
  <c r="G231" i="1"/>
  <c r="G4" i="1"/>
  <c r="G547" i="1"/>
  <c r="G185" i="1"/>
  <c r="G519" i="1"/>
  <c r="M522" i="1"/>
  <c r="W438" i="1"/>
  <c r="P11" i="1"/>
  <c r="L264" i="1"/>
  <c r="O264" i="1" s="1"/>
  <c r="M435" i="1"/>
  <c r="W547" i="1"/>
  <c r="P158" i="1"/>
  <c r="M324" i="1"/>
  <c r="I25" i="1"/>
  <c r="L370" i="1"/>
  <c r="M355" i="1"/>
  <c r="P351" i="1"/>
  <c r="M187" i="1"/>
  <c r="W200" i="1"/>
  <c r="I328" i="1"/>
  <c r="V417" i="1"/>
  <c r="J203" i="1"/>
  <c r="J43" i="1"/>
  <c r="P195" i="1"/>
  <c r="V353" i="1"/>
  <c r="L380" i="1"/>
  <c r="I84" i="1"/>
  <c r="I235" i="1"/>
  <c r="V294" i="1"/>
  <c r="W545" i="1"/>
  <c r="W89" i="1"/>
  <c r="V267" i="1"/>
  <c r="W323" i="1"/>
  <c r="J521" i="1"/>
  <c r="V456" i="1"/>
  <c r="W135" i="1"/>
  <c r="I346" i="1"/>
  <c r="P230" i="1"/>
  <c r="M87" i="1"/>
  <c r="M386" i="1"/>
  <c r="W482" i="1"/>
  <c r="M256" i="1"/>
  <c r="W474" i="1"/>
  <c r="W172" i="1"/>
  <c r="P461" i="1"/>
  <c r="L548" i="1"/>
  <c r="W409" i="1"/>
  <c r="P316" i="1"/>
  <c r="V64" i="1"/>
  <c r="I492" i="1"/>
  <c r="W232" i="1"/>
  <c r="J225" i="1"/>
  <c r="P250" i="1"/>
  <c r="I283" i="1"/>
  <c r="J404" i="1"/>
  <c r="M296" i="1"/>
  <c r="J414" i="1"/>
  <c r="L528" i="1"/>
  <c r="M41" i="1"/>
  <c r="P43" i="1"/>
  <c r="W159" i="1"/>
  <c r="J427" i="1"/>
  <c r="I324" i="1"/>
  <c r="I374" i="1"/>
  <c r="J105" i="1"/>
  <c r="P45" i="1"/>
  <c r="G45" i="1" s="1"/>
  <c r="P271" i="1"/>
  <c r="G271" i="1" s="1"/>
  <c r="V102" i="1"/>
  <c r="L456" i="1"/>
  <c r="V395" i="1"/>
  <c r="M73" i="1"/>
  <c r="P399" i="1"/>
  <c r="M484" i="1"/>
  <c r="L541" i="1"/>
  <c r="J508" i="1"/>
  <c r="P503" i="1"/>
  <c r="J261" i="1"/>
  <c r="I114" i="1"/>
  <c r="P173" i="1"/>
  <c r="G173" i="1" s="1"/>
  <c r="W32" i="1"/>
  <c r="M68" i="1"/>
  <c r="W345" i="1"/>
  <c r="L352" i="1"/>
  <c r="J348" i="1"/>
  <c r="J430" i="1"/>
  <c r="M409" i="1"/>
  <c r="V208" i="1"/>
  <c r="I137" i="1"/>
  <c r="W342" i="1"/>
  <c r="P354" i="1"/>
  <c r="M338" i="1"/>
  <c r="L275" i="1"/>
  <c r="I407" i="1"/>
  <c r="W277" i="1"/>
  <c r="L59" i="1"/>
  <c r="J64" i="1"/>
  <c r="V210" i="1"/>
  <c r="M82" i="1"/>
  <c r="P379" i="1"/>
  <c r="M94" i="1"/>
  <c r="V147" i="1"/>
  <c r="V352" i="1"/>
  <c r="M155" i="1"/>
  <c r="L92" i="1"/>
  <c r="M459" i="1"/>
  <c r="V371" i="1"/>
  <c r="J245" i="1"/>
  <c r="W238" i="1"/>
  <c r="V39" i="1"/>
  <c r="V282" i="1"/>
  <c r="P321" i="1"/>
  <c r="P284" i="1"/>
  <c r="J391" i="1"/>
  <c r="L315" i="1"/>
  <c r="M74" i="1"/>
  <c r="M124" i="1"/>
  <c r="V112" i="1"/>
  <c r="J32" i="1"/>
  <c r="J371" i="1"/>
  <c r="I24" i="1"/>
  <c r="I444" i="1"/>
  <c r="P339" i="1"/>
  <c r="V365" i="1"/>
  <c r="V223" i="1"/>
  <c r="J62" i="1"/>
  <c r="M44" i="1"/>
  <c r="I290" i="1"/>
  <c r="L209" i="1"/>
  <c r="W412" i="1"/>
  <c r="V21" i="1"/>
  <c r="P53" i="1"/>
  <c r="L412" i="1"/>
  <c r="O412" i="1" s="1"/>
  <c r="V305" i="1"/>
  <c r="J407" i="1"/>
  <c r="P217" i="1"/>
  <c r="V536" i="1"/>
  <c r="J57" i="1"/>
  <c r="V189" i="1"/>
  <c r="I496" i="1"/>
  <c r="M56" i="1"/>
  <c r="P6" i="1"/>
  <c r="W179" i="1"/>
  <c r="W307" i="1"/>
  <c r="J560" i="1"/>
  <c r="V94" i="1"/>
  <c r="W237" i="1"/>
  <c r="J432" i="1"/>
  <c r="M536" i="1"/>
  <c r="J122" i="1"/>
  <c r="I505" i="1"/>
  <c r="J306" i="1"/>
  <c r="V510" i="1"/>
  <c r="P331" i="1"/>
  <c r="G331" i="1" s="1"/>
  <c r="P462" i="1"/>
  <c r="W259" i="1"/>
  <c r="L532" i="1"/>
  <c r="P427" i="1"/>
  <c r="M19" i="1"/>
  <c r="M249" i="1"/>
  <c r="P530" i="1"/>
  <c r="I451" i="1"/>
  <c r="W440" i="1"/>
  <c r="P313" i="1"/>
  <c r="J107" i="1"/>
  <c r="L210" i="1"/>
  <c r="I8" i="1"/>
  <c r="V62" i="1"/>
  <c r="I532" i="1"/>
  <c r="L2" i="1"/>
  <c r="J478" i="1"/>
  <c r="L239" i="1"/>
  <c r="W520" i="1"/>
  <c r="W190" i="1"/>
  <c r="L130" i="1"/>
  <c r="M510" i="1"/>
  <c r="I110" i="1"/>
  <c r="I301" i="1"/>
  <c r="P97" i="1"/>
  <c r="G97" i="1" s="1"/>
  <c r="W105" i="1"/>
  <c r="J413" i="1"/>
  <c r="W426" i="1"/>
  <c r="P40" i="1"/>
  <c r="G40" i="1" s="1"/>
  <c r="J160" i="1"/>
  <c r="V337" i="1"/>
  <c r="L145" i="1"/>
  <c r="M545" i="1"/>
  <c r="I243" i="1"/>
  <c r="V222" i="1"/>
  <c r="I388" i="1"/>
  <c r="P418" i="1"/>
  <c r="W206" i="1"/>
  <c r="W61" i="1"/>
  <c r="P140" i="1"/>
  <c r="P497" i="1"/>
  <c r="I198" i="1"/>
  <c r="M485" i="1"/>
  <c r="L388" i="1"/>
  <c r="V445" i="1"/>
  <c r="W91" i="1"/>
  <c r="W95" i="1"/>
  <c r="J157" i="1"/>
  <c r="L511" i="1"/>
  <c r="V481" i="1"/>
  <c r="L37" i="1"/>
  <c r="P513" i="1"/>
  <c r="G513" i="1" s="1"/>
  <c r="I268" i="1"/>
  <c r="L22" i="1"/>
  <c r="V446" i="1"/>
  <c r="V403" i="1"/>
  <c r="I149" i="1"/>
  <c r="J255" i="1"/>
  <c r="W515" i="1"/>
  <c r="W405" i="1"/>
  <c r="L196" i="1"/>
  <c r="M45" i="1"/>
  <c r="V369" i="1"/>
  <c r="W306" i="1"/>
  <c r="V128" i="1"/>
  <c r="V396" i="1"/>
  <c r="L464" i="1"/>
  <c r="I80" i="1"/>
  <c r="W212" i="1"/>
  <c r="W488" i="1"/>
  <c r="J293" i="1"/>
  <c r="I184" i="1"/>
  <c r="V450" i="1"/>
  <c r="W150" i="1"/>
  <c r="V9" i="1"/>
  <c r="W519" i="1"/>
  <c r="M504" i="1"/>
  <c r="I236" i="1"/>
  <c r="L358" i="1"/>
  <c r="M369" i="1"/>
  <c r="J29" i="1"/>
  <c r="P531" i="1"/>
  <c r="I516" i="1"/>
  <c r="V178" i="1"/>
  <c r="W27" i="1"/>
  <c r="P270" i="1"/>
  <c r="W422" i="1"/>
  <c r="V366" i="1"/>
  <c r="W48" i="1"/>
  <c r="I428" i="1"/>
  <c r="L206" i="1"/>
  <c r="W81" i="1"/>
  <c r="V143" i="1"/>
  <c r="L327" i="1"/>
  <c r="J453" i="1"/>
  <c r="V249" i="1"/>
  <c r="L294" i="1"/>
  <c r="W401" i="1"/>
  <c r="V182" i="1"/>
  <c r="V211" i="1"/>
  <c r="P207" i="1"/>
  <c r="I285" i="1"/>
  <c r="J428" i="1"/>
  <c r="L325" i="1"/>
  <c r="M495" i="1"/>
  <c r="L129" i="1"/>
  <c r="O129" i="1" s="1"/>
  <c r="J283" i="1"/>
  <c r="V60" i="1"/>
  <c r="M343" i="1"/>
  <c r="J98" i="1"/>
  <c r="P261" i="1"/>
  <c r="W318" i="1"/>
  <c r="V213" i="1"/>
  <c r="P309" i="1"/>
  <c r="L111" i="1"/>
  <c r="M554" i="1"/>
  <c r="W76" i="1"/>
  <c r="V92" i="1"/>
  <c r="L420" i="1"/>
  <c r="P533" i="1"/>
  <c r="G533" i="1" s="1"/>
  <c r="I177" i="1"/>
  <c r="W65" i="1"/>
  <c r="J147" i="1"/>
  <c r="W338" i="1"/>
  <c r="P251" i="1"/>
  <c r="M51" i="1"/>
  <c r="I219" i="1"/>
  <c r="I67" i="1"/>
  <c r="W2" i="1"/>
  <c r="P538" i="1"/>
  <c r="M538" i="1"/>
  <c r="M454" i="1"/>
  <c r="M4" i="1"/>
  <c r="L340" i="1"/>
  <c r="I71" i="1"/>
  <c r="M549" i="1"/>
  <c r="W98" i="1"/>
  <c r="V291" i="1"/>
  <c r="W419" i="1"/>
  <c r="J360" i="1"/>
  <c r="I107" i="1"/>
  <c r="P156" i="1"/>
  <c r="I498" i="1"/>
  <c r="W384" i="1"/>
  <c r="I125" i="1"/>
  <c r="W146" i="1"/>
  <c r="P100" i="1"/>
  <c r="G100" i="1" s="1"/>
  <c r="I275" i="1"/>
  <c r="V329" i="1"/>
  <c r="I192" i="1"/>
  <c r="W448" i="1"/>
  <c r="J25" i="1"/>
  <c r="L547" i="1"/>
  <c r="M552" i="1"/>
  <c r="M218" i="1"/>
  <c r="W34" i="1"/>
  <c r="W234" i="1"/>
  <c r="M526" i="1"/>
  <c r="J382" i="1"/>
  <c r="V455" i="1"/>
  <c r="M361" i="1"/>
  <c r="J406" i="1"/>
  <c r="V136" i="1"/>
  <c r="P37" i="1"/>
  <c r="P439" i="1"/>
  <c r="V349" i="1"/>
  <c r="J104" i="1"/>
  <c r="I509" i="1"/>
  <c r="J447" i="1"/>
  <c r="W377" i="1"/>
  <c r="M97" i="1"/>
  <c r="J52" i="1"/>
  <c r="W334" i="1"/>
  <c r="V126" i="1"/>
  <c r="W308" i="1"/>
  <c r="P127" i="1"/>
  <c r="W197" i="1"/>
  <c r="J514" i="1"/>
  <c r="P166" i="1"/>
  <c r="V123" i="1"/>
  <c r="M337" i="1"/>
  <c r="W364" i="1"/>
  <c r="J151" i="1"/>
  <c r="M515" i="1"/>
  <c r="P471" i="1"/>
  <c r="I443" i="1"/>
  <c r="L433" i="1"/>
  <c r="P227" i="1"/>
  <c r="G227" i="1" s="1"/>
  <c r="P431" i="1"/>
  <c r="G431" i="1" s="1"/>
  <c r="I66" i="1"/>
  <c r="W19" i="1"/>
  <c r="P104" i="1"/>
  <c r="G104" i="1" s="1"/>
  <c r="V85" i="1"/>
  <c r="P314" i="1"/>
  <c r="G314" i="1" s="1"/>
  <c r="W372" i="1"/>
  <c r="P193" i="1"/>
  <c r="M139" i="1"/>
  <c r="J415" i="1"/>
  <c r="L450" i="1"/>
  <c r="L36" i="1"/>
  <c r="P499" i="1"/>
  <c r="L131" i="1"/>
  <c r="P312" i="1"/>
  <c r="I402" i="1"/>
  <c r="J85" i="1"/>
  <c r="J71" i="1"/>
  <c r="W423" i="1"/>
  <c r="I30" i="1"/>
  <c r="P559" i="1"/>
  <c r="M106" i="1"/>
  <c r="L490" i="1"/>
  <c r="P273" i="1"/>
  <c r="W557" i="1"/>
  <c r="W175" i="1"/>
  <c r="V320" i="1"/>
  <c r="L55" i="1"/>
  <c r="V473" i="1"/>
  <c r="J497" i="1"/>
  <c r="L126" i="1"/>
  <c r="O126" i="1" s="1"/>
  <c r="V367" i="1"/>
  <c r="W214" i="1"/>
  <c r="P539" i="1"/>
  <c r="G539" i="1" s="1"/>
  <c r="V463" i="1"/>
  <c r="I57" i="1"/>
  <c r="M204" i="1"/>
  <c r="W26" i="1"/>
  <c r="P145" i="1"/>
  <c r="G145" i="1" s="1"/>
  <c r="V204" i="1"/>
  <c r="P398" i="1"/>
  <c r="L319" i="1"/>
  <c r="J252" i="1"/>
  <c r="W54" i="1"/>
  <c r="M20" i="1"/>
  <c r="V311" i="1"/>
  <c r="J154" i="1"/>
  <c r="L298" i="1"/>
  <c r="P452" i="1"/>
  <c r="W118" i="1"/>
  <c r="J278" i="1"/>
  <c r="W7" i="1"/>
  <c r="W525" i="1"/>
  <c r="G357" i="1"/>
  <c r="G140" i="1"/>
  <c r="G11" i="1"/>
  <c r="G318" i="1"/>
  <c r="G146" i="1"/>
  <c r="G479" i="1"/>
  <c r="G203" i="1"/>
  <c r="G439" i="1"/>
  <c r="G487" i="1"/>
  <c r="G261" i="1"/>
  <c r="G64" i="1"/>
  <c r="G397" i="1"/>
  <c r="G532" i="1"/>
  <c r="G269" i="1"/>
  <c r="G230" i="1"/>
  <c r="G222" i="1"/>
  <c r="G311" i="1"/>
  <c r="G499" i="1"/>
  <c r="G450" i="1"/>
  <c r="G80" i="1"/>
  <c r="G132" i="1"/>
  <c r="M285" i="1"/>
  <c r="V540" i="1"/>
  <c r="J66" i="1"/>
  <c r="P347" i="1"/>
  <c r="W552" i="1"/>
  <c r="J318" i="1"/>
  <c r="V303" i="1"/>
  <c r="J349" i="1"/>
  <c r="I514" i="1"/>
  <c r="I458" i="1"/>
  <c r="I293" i="1"/>
  <c r="V78" i="1"/>
  <c r="M383" i="1"/>
  <c r="V31" i="1"/>
  <c r="W119" i="1"/>
  <c r="J240" i="1"/>
  <c r="I165" i="1"/>
  <c r="L304" i="1"/>
  <c r="M300" i="1"/>
  <c r="M281" i="1"/>
  <c r="M164" i="1"/>
  <c r="V547" i="1"/>
  <c r="I28" i="1"/>
  <c r="L26" i="1"/>
  <c r="O26" i="1" s="1"/>
  <c r="P183" i="1"/>
  <c r="P25" i="1"/>
  <c r="M370" i="1"/>
  <c r="W351" i="1"/>
  <c r="L203" i="1"/>
  <c r="W370" i="1"/>
  <c r="P363" i="1"/>
  <c r="I353" i="1"/>
  <c r="M551" i="1"/>
  <c r="M277" i="1"/>
  <c r="W504" i="1"/>
  <c r="P554" i="1"/>
  <c r="G554" i="1" s="1"/>
  <c r="P545" i="1"/>
  <c r="J503" i="1"/>
  <c r="I267" i="1"/>
  <c r="M258" i="1"/>
  <c r="W218" i="1"/>
  <c r="P79" i="1"/>
  <c r="G79" i="1" s="1"/>
  <c r="V46" i="1"/>
  <c r="J482" i="1"/>
  <c r="P346" i="1"/>
  <c r="W230" i="1"/>
  <c r="L173" i="1"/>
  <c r="L256" i="1"/>
  <c r="L524" i="1"/>
  <c r="P276" i="1"/>
  <c r="V408" i="1"/>
  <c r="L476" i="1"/>
  <c r="I392" i="1"/>
  <c r="J548" i="1"/>
  <c r="I409" i="1"/>
  <c r="J7" i="1"/>
  <c r="W316" i="1"/>
  <c r="J436" i="1"/>
  <c r="M226" i="1"/>
  <c r="I319" i="1"/>
  <c r="W250" i="1"/>
  <c r="M506" i="1"/>
  <c r="M404" i="1"/>
  <c r="L555" i="1"/>
  <c r="W299" i="1"/>
  <c r="W43" i="1"/>
  <c r="M448" i="1"/>
  <c r="W374" i="1"/>
  <c r="V271" i="1"/>
  <c r="I264" i="1"/>
  <c r="W395" i="1"/>
  <c r="M251" i="1"/>
  <c r="V399" i="1"/>
  <c r="M237" i="1"/>
  <c r="L508" i="1"/>
  <c r="V503" i="1"/>
  <c r="M261" i="1"/>
  <c r="W356" i="1"/>
  <c r="M49" i="1"/>
  <c r="I173" i="1"/>
  <c r="M334" i="1"/>
  <c r="V32" i="1"/>
  <c r="L443" i="1"/>
  <c r="I345" i="1"/>
  <c r="L270" i="1"/>
  <c r="V174" i="1"/>
  <c r="V472" i="1"/>
  <c r="L513" i="1"/>
  <c r="M505" i="1"/>
  <c r="P208" i="1"/>
  <c r="V137" i="1"/>
  <c r="M198" i="1"/>
  <c r="V560" i="1"/>
  <c r="P407" i="1"/>
  <c r="W397" i="1"/>
  <c r="L303" i="1"/>
  <c r="L82" i="1"/>
  <c r="I138" i="1"/>
  <c r="W153" i="1"/>
  <c r="J179" i="1"/>
  <c r="V5" i="1"/>
  <c r="P465" i="1"/>
  <c r="G465" i="1" s="1"/>
  <c r="J326" i="1"/>
  <c r="M174" i="1"/>
  <c r="P282" i="1"/>
  <c r="M517" i="1"/>
  <c r="P442" i="1"/>
  <c r="V321" i="1"/>
  <c r="I72" i="1"/>
  <c r="L345" i="1"/>
  <c r="L391" i="1"/>
  <c r="L184" i="1"/>
  <c r="W244" i="1"/>
  <c r="M229" i="1"/>
  <c r="M434" i="1"/>
  <c r="W112" i="1"/>
  <c r="M161" i="1"/>
  <c r="W469" i="1"/>
  <c r="W24" i="1"/>
  <c r="V444" i="1"/>
  <c r="M397" i="1"/>
  <c r="I42" i="1"/>
  <c r="W223" i="1"/>
  <c r="M62" i="1"/>
  <c r="W290" i="1"/>
  <c r="L333" i="1"/>
  <c r="O333" i="1" s="1"/>
  <c r="V412" i="1"/>
  <c r="P21" i="1"/>
  <c r="G21" i="1" s="1"/>
  <c r="W53" i="1"/>
  <c r="P170" i="1"/>
  <c r="P536" i="1"/>
  <c r="G536" i="1" s="1"/>
  <c r="L410" i="1"/>
  <c r="M460" i="1"/>
  <c r="W507" i="1"/>
  <c r="I220" i="1"/>
  <c r="P496" i="1"/>
  <c r="G496" i="1" s="1"/>
  <c r="L56" i="1"/>
  <c r="O56" i="1" s="1"/>
  <c r="V179" i="1"/>
  <c r="I94" i="1"/>
  <c r="W129" i="1"/>
  <c r="I242" i="1"/>
  <c r="V340" i="1"/>
  <c r="V237" i="1"/>
  <c r="I23" i="1"/>
  <c r="V86" i="1"/>
  <c r="I387" i="1"/>
  <c r="V505" i="1"/>
  <c r="I331" i="1"/>
  <c r="L175" i="1"/>
  <c r="I462" i="1"/>
  <c r="I424" i="1"/>
  <c r="M366" i="1"/>
  <c r="I361" i="1"/>
  <c r="W229" i="1"/>
  <c r="L544" i="1"/>
  <c r="O544" i="1" s="1"/>
  <c r="W289" i="1"/>
  <c r="P144" i="1"/>
  <c r="V427" i="1"/>
  <c r="P526" i="1"/>
  <c r="W435" i="1"/>
  <c r="M356" i="1"/>
  <c r="P440" i="1"/>
  <c r="V313" i="1"/>
  <c r="I420" i="1"/>
  <c r="M408" i="1"/>
  <c r="M107" i="1"/>
  <c r="P241" i="1"/>
  <c r="P457" i="1"/>
  <c r="M27" i="1"/>
  <c r="L33" i="1"/>
  <c r="O33" i="1" s="1"/>
  <c r="M239" i="1"/>
  <c r="P190" i="1"/>
  <c r="W110" i="1"/>
  <c r="P301" i="1"/>
  <c r="V97" i="1"/>
  <c r="W281" i="1"/>
  <c r="L339" i="1"/>
  <c r="V73" i="1"/>
  <c r="I529" i="1"/>
  <c r="P337" i="1"/>
  <c r="V134" i="1"/>
  <c r="W222" i="1"/>
  <c r="V388" i="1"/>
  <c r="M221" i="1"/>
  <c r="V206" i="1"/>
  <c r="J244" i="1"/>
  <c r="P61" i="1"/>
  <c r="V140" i="1"/>
  <c r="W497" i="1"/>
  <c r="J431" i="1"/>
  <c r="V198" i="1"/>
  <c r="M47" i="1"/>
  <c r="L40" i="1"/>
  <c r="I91" i="1"/>
  <c r="J37" i="1"/>
  <c r="W513" i="1"/>
  <c r="P63" i="1"/>
  <c r="V551" i="1"/>
  <c r="W385" i="1"/>
  <c r="L321" i="1"/>
  <c r="W403" i="1"/>
  <c r="J89" i="1"/>
  <c r="P515" i="1"/>
  <c r="G515" i="1" s="1"/>
  <c r="V405" i="1"/>
  <c r="W22" i="1"/>
  <c r="W180" i="1"/>
  <c r="M530" i="1"/>
  <c r="I306" i="1"/>
  <c r="M375" i="1"/>
  <c r="L180" i="1"/>
  <c r="M458" i="1"/>
  <c r="V80" i="1"/>
  <c r="W310" i="1"/>
  <c r="L293" i="1"/>
  <c r="V117" i="1"/>
  <c r="M501" i="1"/>
  <c r="W344" i="1"/>
  <c r="P184" i="1"/>
  <c r="L330" i="1"/>
  <c r="M72" i="1"/>
  <c r="W393" i="1"/>
  <c r="I9" i="1"/>
  <c r="W236" i="1"/>
  <c r="W531" i="1"/>
  <c r="M238" i="1"/>
  <c r="P178" i="1"/>
  <c r="G178" i="1" s="1"/>
  <c r="J557" i="1"/>
  <c r="W270" i="1"/>
  <c r="P366" i="1"/>
  <c r="M206" i="1"/>
  <c r="L492" i="1"/>
  <c r="L453" i="1"/>
  <c r="W249" i="1"/>
  <c r="L312" i="1"/>
  <c r="O312" i="1" s="1"/>
  <c r="P35" i="1"/>
  <c r="J65" i="1"/>
  <c r="P401" i="1"/>
  <c r="W211" i="1"/>
  <c r="M99" i="1"/>
  <c r="I207" i="1"/>
  <c r="W285" i="1"/>
  <c r="L428" i="1"/>
  <c r="O428" i="1" s="1"/>
  <c r="M461" i="1"/>
  <c r="M325" i="1"/>
  <c r="P493" i="1"/>
  <c r="L495" i="1"/>
  <c r="L98" i="1"/>
  <c r="O98" i="1" s="1"/>
  <c r="I261" i="1"/>
  <c r="I318" i="1"/>
  <c r="I309" i="1"/>
  <c r="L323" i="1"/>
  <c r="V256" i="1"/>
  <c r="P92" i="1"/>
  <c r="G92" i="1" s="1"/>
  <c r="M420" i="1"/>
  <c r="M328" i="1"/>
  <c r="W202" i="1"/>
  <c r="M147" i="1"/>
  <c r="V251" i="1"/>
  <c r="W325" i="1"/>
  <c r="L24" i="1"/>
  <c r="I2" i="1"/>
  <c r="I538" i="1"/>
  <c r="V390" i="1"/>
  <c r="J186" i="1"/>
  <c r="W368" i="1"/>
  <c r="J4" i="1"/>
  <c r="I12" i="1"/>
  <c r="M235" i="1"/>
  <c r="L494" i="1"/>
  <c r="W71" i="1"/>
  <c r="P98" i="1"/>
  <c r="J227" i="1"/>
  <c r="I419" i="1"/>
  <c r="M360" i="1"/>
  <c r="W156" i="1"/>
  <c r="P498" i="1"/>
  <c r="I332" i="1"/>
  <c r="V106" i="1"/>
  <c r="I100" i="1"/>
  <c r="I491" i="1"/>
  <c r="M377" i="1"/>
  <c r="J70" i="1"/>
  <c r="I477" i="1"/>
  <c r="M335" i="1"/>
  <c r="P329" i="1"/>
  <c r="W192" i="1"/>
  <c r="P448" i="1"/>
  <c r="M25" i="1"/>
  <c r="J552" i="1"/>
  <c r="L218" i="1"/>
  <c r="P234" i="1"/>
  <c r="G234" i="1" s="1"/>
  <c r="L526" i="1"/>
  <c r="O526" i="1" s="1"/>
  <c r="P541" i="1"/>
  <c r="L542" i="1"/>
  <c r="P252" i="1"/>
  <c r="G252" i="1" s="1"/>
  <c r="P136" i="1"/>
  <c r="G136" i="1" s="1"/>
  <c r="I247" i="1"/>
  <c r="M463" i="1"/>
  <c r="I52" i="1"/>
  <c r="M194" i="1"/>
  <c r="L346" i="1"/>
  <c r="V509" i="1"/>
  <c r="W537" i="1"/>
  <c r="P113" i="1"/>
  <c r="L447" i="1"/>
  <c r="J113" i="1"/>
  <c r="J97" i="1"/>
  <c r="M52" i="1"/>
  <c r="V334" i="1"/>
  <c r="I126" i="1"/>
  <c r="I215" i="1"/>
  <c r="V308" i="1"/>
  <c r="W341" i="1"/>
  <c r="J279" i="1"/>
  <c r="I197" i="1"/>
  <c r="M514" i="1"/>
  <c r="M499" i="1"/>
  <c r="J30" i="1"/>
  <c r="I364" i="1"/>
  <c r="W68" i="1"/>
  <c r="M151" i="1"/>
  <c r="V471" i="1"/>
  <c r="J433" i="1"/>
  <c r="V227" i="1"/>
  <c r="I431" i="1"/>
  <c r="W66" i="1"/>
  <c r="W104" i="1"/>
  <c r="I85" i="1"/>
  <c r="I314" i="1"/>
  <c r="V479" i="1"/>
  <c r="P372" i="1"/>
  <c r="G372" i="1" s="1"/>
  <c r="V193" i="1"/>
  <c r="P239" i="1"/>
  <c r="J36" i="1"/>
  <c r="W10" i="1"/>
  <c r="L133" i="1"/>
  <c r="O133" i="1" s="1"/>
  <c r="V499" i="1"/>
  <c r="V312" i="1"/>
  <c r="M101" i="1"/>
  <c r="I542" i="1"/>
  <c r="P437" i="1"/>
  <c r="G437" i="1" s="1"/>
  <c r="W402" i="1"/>
  <c r="V88" i="1"/>
  <c r="M109" i="1"/>
  <c r="J127" i="1"/>
  <c r="W375" i="1"/>
  <c r="M199" i="1"/>
  <c r="M207" i="1"/>
  <c r="M519" i="1"/>
  <c r="I555" i="1"/>
  <c r="W273" i="1"/>
  <c r="P557" i="1"/>
  <c r="G557" i="1" s="1"/>
  <c r="V175" i="1"/>
  <c r="I228" i="1"/>
  <c r="P453" i="1"/>
  <c r="P524" i="1"/>
  <c r="G524" i="1" s="1"/>
  <c r="W55" i="1"/>
  <c r="V14" i="1"/>
  <c r="W539" i="1"/>
  <c r="P57" i="1"/>
  <c r="J204" i="1"/>
  <c r="V145" i="1"/>
  <c r="I204" i="1"/>
  <c r="V17" i="1"/>
  <c r="V398" i="1"/>
  <c r="M172" i="1"/>
  <c r="I209" i="1"/>
  <c r="W335" i="1"/>
  <c r="M419" i="1"/>
  <c r="M219" i="1"/>
  <c r="L20" i="1"/>
  <c r="M195" i="1"/>
  <c r="L253" i="1"/>
  <c r="M298" i="1"/>
  <c r="M537" i="1"/>
  <c r="V452" i="1"/>
  <c r="P434" i="1"/>
  <c r="M208" i="1"/>
  <c r="M550" i="1"/>
  <c r="L202" i="1"/>
  <c r="W258" i="1"/>
  <c r="P70" i="1"/>
  <c r="I7" i="1"/>
  <c r="G381" i="1"/>
  <c r="G163" i="1"/>
  <c r="G471" i="1"/>
  <c r="G386" i="1"/>
  <c r="G414" i="1"/>
  <c r="G409" i="1"/>
  <c r="G315" i="1"/>
  <c r="G440" i="1"/>
  <c r="G467" i="1"/>
  <c r="G328" i="1"/>
  <c r="G424" i="1"/>
  <c r="G25" i="1"/>
  <c r="G63" i="1"/>
  <c r="G310" i="1"/>
  <c r="G150" i="1"/>
  <c r="G319" i="1"/>
  <c r="G400" i="1"/>
  <c r="G20" i="1"/>
  <c r="L488" i="1"/>
  <c r="P402" i="1"/>
  <c r="P88" i="1"/>
  <c r="G88" i="1" s="1"/>
  <c r="M38" i="1"/>
  <c r="M148" i="1"/>
  <c r="L102" i="1"/>
  <c r="O102" i="1" s="1"/>
  <c r="V233" i="1"/>
  <c r="W506" i="1"/>
  <c r="L207" i="1"/>
  <c r="W559" i="1"/>
  <c r="P555" i="1"/>
  <c r="J490" i="1"/>
  <c r="V228" i="1"/>
  <c r="M205" i="1"/>
  <c r="I453" i="1"/>
  <c r="M93" i="1"/>
  <c r="I473" i="1"/>
  <c r="V55" i="1"/>
  <c r="M177" i="1"/>
  <c r="L497" i="1"/>
  <c r="J170" i="1"/>
  <c r="P322" i="1"/>
  <c r="I14" i="1"/>
  <c r="I539" i="1"/>
  <c r="W57" i="1"/>
  <c r="V18" i="1"/>
  <c r="I145" i="1"/>
  <c r="L150" i="1"/>
  <c r="P404" i="1"/>
  <c r="G404" i="1" s="1"/>
  <c r="W17" i="1"/>
  <c r="M317" i="1"/>
  <c r="I398" i="1"/>
  <c r="V209" i="1"/>
  <c r="L400" i="1"/>
  <c r="M273" i="1"/>
  <c r="L118" i="1"/>
  <c r="V132" i="1"/>
  <c r="M529" i="1"/>
  <c r="V50" i="1"/>
  <c r="L154" i="1"/>
  <c r="I452" i="1"/>
  <c r="V434" i="1"/>
  <c r="W315" i="1"/>
  <c r="V258" i="1"/>
  <c r="V70" i="1"/>
  <c r="J80" i="1"/>
  <c r="W103" i="1"/>
  <c r="P7" i="1"/>
  <c r="I525" i="1"/>
  <c r="G347" i="1"/>
  <c r="G521" i="1"/>
  <c r="G543" i="1"/>
  <c r="G57" i="1"/>
  <c r="G157" i="1"/>
  <c r="G477" i="1"/>
  <c r="G323" i="1"/>
  <c r="G504" i="1"/>
  <c r="G67" i="1"/>
  <c r="G368" i="1"/>
  <c r="W28" i="1"/>
  <c r="J324" i="1"/>
  <c r="I38" i="1"/>
  <c r="M489" i="1"/>
  <c r="W176" i="1"/>
  <c r="V25" i="1"/>
  <c r="V351" i="1"/>
  <c r="J471" i="1"/>
  <c r="P200" i="1"/>
  <c r="G200" i="1" s="1"/>
  <c r="V328" i="1"/>
  <c r="P417" i="1"/>
  <c r="G417" i="1" s="1"/>
  <c r="L465" i="1"/>
  <c r="J365" i="1"/>
  <c r="M307" i="1"/>
  <c r="M35" i="1"/>
  <c r="W191" i="1"/>
  <c r="V363" i="1"/>
  <c r="L289" i="1"/>
  <c r="J421" i="1"/>
  <c r="P235" i="1"/>
  <c r="L496" i="1"/>
  <c r="P294" i="1"/>
  <c r="G294" i="1" s="1"/>
  <c r="M516" i="1"/>
  <c r="I504" i="1"/>
  <c r="J449" i="1"/>
  <c r="V554" i="1"/>
  <c r="J439" i="1"/>
  <c r="W267" i="1"/>
  <c r="P295" i="1"/>
  <c r="V218" i="1"/>
  <c r="I58" i="1"/>
  <c r="I135" i="1"/>
  <c r="L482" i="1"/>
  <c r="J87" i="1"/>
  <c r="P508" i="1"/>
  <c r="L386" i="1"/>
  <c r="I482" i="1"/>
  <c r="J476" i="1"/>
  <c r="W553" i="1"/>
  <c r="J385" i="1"/>
  <c r="J487" i="1"/>
  <c r="P392" i="1"/>
  <c r="M234" i="1"/>
  <c r="M117" i="1"/>
  <c r="V409" i="1"/>
  <c r="V316" i="1"/>
  <c r="W64" i="1"/>
  <c r="I232" i="1"/>
  <c r="W319" i="1"/>
  <c r="M354" i="1"/>
  <c r="V250" i="1"/>
  <c r="W283" i="1"/>
  <c r="P139" i="1"/>
  <c r="I280" i="1"/>
  <c r="M528" i="1"/>
  <c r="M555" i="1"/>
  <c r="P299" i="1"/>
  <c r="J41" i="1"/>
  <c r="V43" i="1"/>
  <c r="W47" i="1"/>
  <c r="J418" i="1"/>
  <c r="P226" i="1"/>
  <c r="M90" i="1"/>
  <c r="L105" i="1"/>
  <c r="O105" i="1" s="1"/>
  <c r="P279" i="1"/>
  <c r="P168" i="1"/>
  <c r="G168" i="1" s="1"/>
  <c r="W264" i="1"/>
  <c r="P395" i="1"/>
  <c r="I348" i="1"/>
  <c r="J484" i="1"/>
  <c r="W501" i="1"/>
  <c r="M508" i="1"/>
  <c r="I503" i="1"/>
  <c r="V114" i="1"/>
  <c r="P356" i="1"/>
  <c r="G356" i="1" s="1"/>
  <c r="I327" i="1"/>
  <c r="J68" i="1"/>
  <c r="M236" i="1"/>
  <c r="J403" i="1"/>
  <c r="M120" i="1"/>
  <c r="I74" i="1"/>
  <c r="L409" i="1"/>
  <c r="V133" i="1"/>
  <c r="I342" i="1"/>
  <c r="V354" i="1"/>
  <c r="M422" i="1"/>
  <c r="V83" i="1"/>
  <c r="I560" i="1"/>
  <c r="V407" i="1"/>
  <c r="I397" i="1"/>
  <c r="W333" i="1"/>
  <c r="J82" i="1"/>
  <c r="V379" i="1"/>
  <c r="M77" i="1"/>
  <c r="M250" i="1"/>
  <c r="P147" i="1"/>
  <c r="M359" i="1"/>
  <c r="I153" i="1"/>
  <c r="W376" i="1"/>
  <c r="L179" i="1"/>
  <c r="O179" i="1" s="1"/>
  <c r="P5" i="1"/>
  <c r="L245" i="1"/>
  <c r="I238" i="1"/>
  <c r="M158" i="1"/>
  <c r="P39" i="1"/>
  <c r="W302" i="1"/>
  <c r="L174" i="1"/>
  <c r="M16" i="1"/>
  <c r="I442" i="1"/>
  <c r="M345" i="1"/>
  <c r="W483" i="1"/>
  <c r="P244" i="1"/>
  <c r="G244" i="1" s="1"/>
  <c r="W3" i="1"/>
  <c r="L124" i="1"/>
  <c r="J161" i="1"/>
  <c r="V469" i="1"/>
  <c r="P444" i="1"/>
  <c r="G444" i="1" s="1"/>
  <c r="L397" i="1"/>
  <c r="I339" i="1"/>
  <c r="L254" i="1"/>
  <c r="I365" i="1"/>
  <c r="P290" i="1"/>
  <c r="J209" i="1"/>
  <c r="I412" i="1"/>
  <c r="J286" i="1"/>
  <c r="I170" i="1"/>
  <c r="P495" i="1"/>
  <c r="M246" i="1"/>
  <c r="I305" i="1"/>
  <c r="J353" i="1"/>
  <c r="M407" i="1"/>
  <c r="W36" i="1"/>
  <c r="W217" i="1"/>
  <c r="M410" i="1"/>
  <c r="J460" i="1"/>
  <c r="L376" i="1"/>
  <c r="P507" i="1"/>
  <c r="G507" i="1" s="1"/>
  <c r="I411" i="1"/>
  <c r="I278" i="1"/>
  <c r="W496" i="1"/>
  <c r="L512" i="1"/>
  <c r="O512" i="1" s="1"/>
  <c r="W511" i="1"/>
  <c r="P179" i="1"/>
  <c r="J387" i="1"/>
  <c r="P162" i="1"/>
  <c r="L536" i="1"/>
  <c r="V387" i="1"/>
  <c r="P510" i="1"/>
  <c r="P259" i="1"/>
  <c r="V254" i="1"/>
  <c r="J247" i="1"/>
  <c r="P549" i="1"/>
  <c r="W424" i="1"/>
  <c r="L28" i="1"/>
  <c r="V433" i="1"/>
  <c r="P229" i="1"/>
  <c r="V44" i="1"/>
  <c r="J394" i="1"/>
  <c r="L67" i="1"/>
  <c r="I289" i="1"/>
  <c r="I144" i="1"/>
  <c r="I526" i="1"/>
  <c r="J249" i="1"/>
  <c r="M379" i="1"/>
  <c r="M302" i="1"/>
  <c r="M210" i="1"/>
  <c r="P62" i="1"/>
  <c r="G62" i="1" s="1"/>
  <c r="L445" i="1"/>
  <c r="W186" i="1"/>
  <c r="P454" i="1"/>
  <c r="G454" i="1" s="1"/>
  <c r="M2" i="1"/>
  <c r="P449" i="1"/>
  <c r="G449" i="1" s="1"/>
  <c r="W546" i="1"/>
  <c r="L478" i="1"/>
  <c r="V167" i="1"/>
  <c r="M130" i="1"/>
  <c r="V110" i="1"/>
  <c r="V301" i="1"/>
  <c r="M18" i="1"/>
  <c r="I105" i="1"/>
  <c r="J301" i="1"/>
  <c r="M339" i="1"/>
  <c r="P426" i="1"/>
  <c r="G426" i="1" s="1"/>
  <c r="I73" i="1"/>
  <c r="P529" i="1"/>
  <c r="G529" i="1" s="1"/>
  <c r="P430" i="1"/>
  <c r="G430" i="1" s="1"/>
  <c r="J54" i="1"/>
  <c r="I337" i="1"/>
  <c r="L269" i="1"/>
  <c r="M6" i="1"/>
  <c r="V243" i="1"/>
  <c r="L440" i="1"/>
  <c r="M171" i="1"/>
  <c r="J561" i="1"/>
  <c r="M78" i="1"/>
  <c r="L485" i="1"/>
  <c r="O485" i="1" s="1"/>
  <c r="L467" i="1"/>
  <c r="I445" i="1"/>
  <c r="V95" i="1"/>
  <c r="P481" i="1"/>
  <c r="M37" i="1"/>
  <c r="M378" i="1"/>
  <c r="M81" i="1"/>
  <c r="V268" i="1"/>
  <c r="I160" i="1"/>
  <c r="P551" i="1"/>
  <c r="W383" i="1"/>
  <c r="V56" i="1"/>
  <c r="V415" i="1"/>
  <c r="V240" i="1"/>
  <c r="L215" i="1"/>
  <c r="V466" i="1"/>
  <c r="L89" i="1"/>
  <c r="O89" i="1" s="1"/>
  <c r="V149" i="1"/>
  <c r="M291" i="1"/>
  <c r="J392" i="1"/>
  <c r="J271" i="1"/>
  <c r="P369" i="1"/>
  <c r="P396" i="1"/>
  <c r="M464" i="1"/>
  <c r="L458" i="1"/>
  <c r="W80" i="1"/>
  <c r="I488" i="1"/>
  <c r="M293" i="1"/>
  <c r="I480" i="1"/>
  <c r="L351" i="1"/>
  <c r="J231" i="1"/>
  <c r="I111" i="1"/>
  <c r="M368" i="1"/>
  <c r="J358" i="1"/>
  <c r="J369" i="1"/>
  <c r="V260" i="1"/>
  <c r="J238" i="1"/>
  <c r="P516" i="1"/>
  <c r="M557" i="1"/>
  <c r="P464" i="1"/>
  <c r="P422" i="1"/>
  <c r="M228" i="1"/>
  <c r="I48" i="1"/>
  <c r="W428" i="1"/>
  <c r="J492" i="1"/>
  <c r="M453" i="1"/>
  <c r="I249" i="1"/>
  <c r="P265" i="1"/>
  <c r="J294" i="1"/>
  <c r="W35" i="1"/>
  <c r="L65" i="1"/>
  <c r="O65" i="1" s="1"/>
  <c r="L500" i="1"/>
  <c r="W108" i="1"/>
  <c r="J182" i="1"/>
  <c r="V285" i="1"/>
  <c r="J295" i="1"/>
  <c r="V484" i="1"/>
  <c r="W155" i="1"/>
  <c r="J495" i="1"/>
  <c r="W330" i="1"/>
  <c r="W561" i="1"/>
  <c r="P60" i="1"/>
  <c r="W115" i="1"/>
  <c r="W309" i="1"/>
  <c r="J111" i="1"/>
  <c r="P76" i="1"/>
  <c r="G76" i="1" s="1"/>
  <c r="P373" i="1"/>
  <c r="L455" i="1"/>
  <c r="P177" i="1"/>
  <c r="J424" i="1"/>
  <c r="L147" i="1"/>
  <c r="O147" i="1" s="1"/>
  <c r="P338" i="1"/>
  <c r="V219" i="1"/>
  <c r="P224" i="1"/>
  <c r="G224" i="1" s="1"/>
  <c r="J243" i="1"/>
  <c r="M232" i="1"/>
  <c r="V527" i="1"/>
  <c r="P410" i="1"/>
  <c r="V71" i="1"/>
  <c r="V400" i="1"/>
  <c r="L46" i="1"/>
  <c r="J373" i="1"/>
  <c r="I156" i="1"/>
  <c r="P384" i="1"/>
  <c r="G384" i="1" s="1"/>
  <c r="V181" i="1"/>
  <c r="I146" i="1"/>
  <c r="I106" i="1"/>
  <c r="W413" i="1"/>
  <c r="M322" i="1"/>
  <c r="J230" i="1"/>
  <c r="V477" i="1"/>
  <c r="W329" i="1"/>
  <c r="P192" i="1"/>
  <c r="G192" i="1" s="1"/>
  <c r="V448" i="1"/>
  <c r="P34" i="1"/>
  <c r="M259" i="1"/>
  <c r="W455" i="1"/>
  <c r="V252" i="1"/>
  <c r="W136" i="1"/>
  <c r="J189" i="1"/>
  <c r="P247" i="1"/>
  <c r="W37" i="1"/>
  <c r="V439" i="1"/>
  <c r="V52" i="1"/>
  <c r="M346" i="1"/>
  <c r="V389" i="1"/>
  <c r="W113" i="1"/>
  <c r="M447" i="1"/>
  <c r="L113" i="1"/>
  <c r="V377" i="1"/>
  <c r="P334" i="1"/>
  <c r="W126" i="1"/>
  <c r="M311" i="1"/>
  <c r="W131" i="1"/>
  <c r="P199" i="1"/>
  <c r="M426" i="1"/>
  <c r="W386" i="1"/>
  <c r="I262" i="1"/>
  <c r="I69" i="1"/>
  <c r="M279" i="1"/>
  <c r="W166" i="1"/>
  <c r="M525" i="1"/>
  <c r="P548" i="1"/>
  <c r="G548" i="1" s="1"/>
  <c r="V216" i="1"/>
  <c r="J515" i="1"/>
  <c r="W471" i="1"/>
  <c r="P443" i="1"/>
  <c r="G443" i="1" s="1"/>
  <c r="V188" i="1"/>
  <c r="I227" i="1"/>
  <c r="I19" i="1"/>
  <c r="I104" i="1"/>
  <c r="L214" i="1"/>
  <c r="M441" i="1"/>
  <c r="M156" i="1"/>
  <c r="V475" i="1"/>
  <c r="V437" i="1"/>
  <c r="M85" i="1"/>
  <c r="M71" i="1"/>
  <c r="I423" i="1"/>
  <c r="W233" i="1"/>
  <c r="J207" i="1"/>
  <c r="V559" i="1"/>
  <c r="P49" i="1"/>
  <c r="P320" i="1"/>
  <c r="G320" i="1" s="1"/>
  <c r="W228" i="1"/>
  <c r="V453" i="1"/>
  <c r="P473" i="1"/>
  <c r="I214" i="1"/>
  <c r="V287" i="1"/>
  <c r="V322" i="1"/>
  <c r="P14" i="1"/>
  <c r="W343" i="1"/>
  <c r="M150" i="1"/>
  <c r="P204" i="1"/>
  <c r="P209" i="1"/>
  <c r="L252" i="1"/>
  <c r="M437" i="1"/>
  <c r="I54" i="1"/>
  <c r="V335" i="1"/>
  <c r="J118" i="1"/>
  <c r="I550" i="1"/>
  <c r="J219" i="1"/>
  <c r="P50" i="1"/>
  <c r="G50" i="1" s="1"/>
  <c r="M399" i="1"/>
  <c r="J253" i="1"/>
  <c r="V315" i="1"/>
  <c r="J202" i="1"/>
  <c r="I258" i="1"/>
  <c r="W70" i="1"/>
  <c r="L278" i="1"/>
  <c r="M80" i="1"/>
  <c r="I103" i="1"/>
  <c r="L265" i="1"/>
  <c r="G141" i="1"/>
  <c r="G370" i="1"/>
  <c r="G275" i="1"/>
  <c r="G302" i="1"/>
  <c r="G297" i="1"/>
  <c r="G472" i="1"/>
  <c r="G182" i="1"/>
  <c r="G351" i="1"/>
  <c r="G248" i="1"/>
  <c r="G70" i="1"/>
  <c r="G218" i="1"/>
  <c r="G279" i="1"/>
  <c r="G71" i="1"/>
  <c r="G399" i="1"/>
  <c r="W207" i="1"/>
  <c r="I478" i="1"/>
  <c r="P108" i="1"/>
  <c r="G108" i="1" s="1"/>
  <c r="M182" i="1"/>
  <c r="J461" i="1"/>
  <c r="M295" i="1"/>
  <c r="P484" i="1"/>
  <c r="G484" i="1" s="1"/>
  <c r="I493" i="1"/>
  <c r="L283" i="1"/>
  <c r="W60" i="1"/>
  <c r="I115" i="1"/>
  <c r="V535" i="1"/>
  <c r="L491" i="1"/>
  <c r="M111" i="1"/>
  <c r="W92" i="1"/>
  <c r="M13" i="1"/>
  <c r="M455" i="1"/>
  <c r="V533" i="1"/>
  <c r="V65" i="1"/>
  <c r="P325" i="1"/>
  <c r="G325" i="1" s="1"/>
  <c r="W219" i="1"/>
  <c r="V67" i="1"/>
  <c r="W538" i="1"/>
  <c r="I224" i="1"/>
  <c r="I390" i="1"/>
  <c r="J454" i="1"/>
  <c r="J232" i="1"/>
  <c r="I368" i="1"/>
  <c r="P12" i="1"/>
  <c r="W410" i="1"/>
  <c r="M340" i="1"/>
  <c r="J549" i="1"/>
  <c r="I194" i="1"/>
  <c r="P291" i="1"/>
  <c r="L248" i="1"/>
  <c r="V156" i="1"/>
  <c r="P125" i="1"/>
  <c r="G125" i="1" s="1"/>
  <c r="W332" i="1"/>
  <c r="V146" i="1"/>
  <c r="V100" i="1"/>
  <c r="V413" i="1"/>
  <c r="V491" i="1"/>
  <c r="J377" i="1"/>
  <c r="W477" i="1"/>
  <c r="L335" i="1"/>
  <c r="M402" i="1"/>
  <c r="L25" i="1"/>
  <c r="J547" i="1"/>
  <c r="L222" i="1"/>
  <c r="J218" i="1"/>
  <c r="V34" i="1"/>
  <c r="V234" i="1"/>
  <c r="M469" i="1"/>
  <c r="P455" i="1"/>
  <c r="G455" i="1" s="1"/>
  <c r="I252" i="1"/>
  <c r="M406" i="1"/>
  <c r="M502" i="1"/>
  <c r="I136" i="1"/>
  <c r="M189" i="1"/>
  <c r="V37" i="1"/>
  <c r="W439" i="1"/>
  <c r="M211" i="1"/>
  <c r="P296" i="1"/>
  <c r="W349" i="1"/>
  <c r="L104" i="1"/>
  <c r="V113" i="1"/>
  <c r="I377" i="1"/>
  <c r="P126" i="1"/>
  <c r="V199" i="1"/>
  <c r="W127" i="1"/>
  <c r="J426" i="1"/>
  <c r="I341" i="1"/>
  <c r="P69" i="1"/>
  <c r="G69" i="1" s="1"/>
  <c r="P123" i="1"/>
  <c r="J337" i="1"/>
  <c r="L30" i="1"/>
  <c r="O30" i="1" s="1"/>
  <c r="W548" i="1"/>
  <c r="V364" i="1"/>
  <c r="M185" i="1"/>
  <c r="I216" i="1"/>
  <c r="I13" i="1"/>
  <c r="L540" i="1"/>
  <c r="I471" i="1"/>
  <c r="I188" i="1"/>
  <c r="M433" i="1"/>
  <c r="L183" i="1"/>
  <c r="O183" i="1" s="1"/>
  <c r="V431" i="1"/>
  <c r="V66" i="1"/>
  <c r="I130" i="1"/>
  <c r="M63" i="1"/>
  <c r="V19" i="1"/>
  <c r="W85" i="1"/>
  <c r="M310" i="1"/>
  <c r="L314" i="1"/>
  <c r="M395" i="1"/>
  <c r="I269" i="1"/>
  <c r="W193" i="1"/>
  <c r="W239" i="1"/>
  <c r="M36" i="1"/>
  <c r="J332" i="1"/>
  <c r="P10" i="1"/>
  <c r="G10" i="1" s="1"/>
  <c r="I499" i="1"/>
  <c r="J131" i="1"/>
  <c r="V542" i="1"/>
  <c r="W475" i="1"/>
  <c r="M488" i="1"/>
  <c r="V30" i="1"/>
  <c r="M102" i="1"/>
  <c r="L127" i="1"/>
  <c r="P375" i="1"/>
  <c r="L199" i="1"/>
  <c r="I506" i="1"/>
  <c r="J519" i="1"/>
  <c r="I49" i="1"/>
  <c r="W320" i="1"/>
  <c r="L205" i="1"/>
  <c r="M55" i="1"/>
  <c r="W453" i="1"/>
  <c r="W473" i="1"/>
  <c r="W367" i="1"/>
  <c r="P214" i="1"/>
  <c r="I287" i="1"/>
  <c r="M390" i="1"/>
  <c r="L170" i="1"/>
  <c r="O170" i="1" s="1"/>
  <c r="W463" i="1"/>
  <c r="I26" i="1"/>
  <c r="W145" i="1"/>
  <c r="J150" i="1"/>
  <c r="I404" i="1"/>
  <c r="P17" i="1"/>
  <c r="J319" i="1"/>
  <c r="M252" i="1"/>
  <c r="L520" i="1"/>
  <c r="P54" i="1"/>
  <c r="G54" i="1" s="1"/>
  <c r="P335" i="1"/>
  <c r="G335" i="1" s="1"/>
  <c r="W132" i="1"/>
  <c r="L529" i="1"/>
  <c r="L219" i="1"/>
  <c r="M154" i="1"/>
  <c r="L80" i="1"/>
  <c r="V103" i="1"/>
  <c r="J265" i="1"/>
  <c r="G58" i="1"/>
  <c r="G364" i="1"/>
  <c r="G303" i="1"/>
  <c r="G41" i="1"/>
  <c r="G427" i="1"/>
  <c r="G59" i="1"/>
  <c r="G184" i="1"/>
  <c r="G376" i="1"/>
  <c r="G239" i="1"/>
  <c r="G160" i="1"/>
  <c r="G561" i="1"/>
  <c r="G511" i="1"/>
  <c r="G283" i="1"/>
  <c r="G494" i="1"/>
  <c r="G361" i="1"/>
  <c r="G463" i="1"/>
  <c r="G346" i="1"/>
  <c r="G540" i="1"/>
  <c r="G205" i="1"/>
  <c r="G139" i="1"/>
  <c r="O82" i="1" l="1"/>
  <c r="O204" i="1"/>
  <c r="O85" i="1"/>
  <c r="O549" i="1"/>
  <c r="O299" i="1"/>
  <c r="O201" i="1"/>
  <c r="O492" i="1"/>
  <c r="O415" i="1"/>
  <c r="O225" i="1"/>
  <c r="O448" i="1"/>
  <c r="O241" i="1"/>
  <c r="O249" i="1"/>
  <c r="O115" i="1"/>
  <c r="O276" i="1"/>
  <c r="O326" i="1"/>
  <c r="O43" i="1"/>
  <c r="O122" i="1"/>
  <c r="O77" i="1"/>
  <c r="R104" i="1"/>
  <c r="T104" i="1" s="1"/>
  <c r="O325" i="1"/>
  <c r="Q325" i="1"/>
  <c r="S325" i="1" s="1"/>
  <c r="R306" i="1"/>
  <c r="T306" i="1" s="1"/>
  <c r="R432" i="1"/>
  <c r="T432" i="1" s="1"/>
  <c r="R371" i="1"/>
  <c r="T371" i="1" s="1"/>
  <c r="O59" i="1"/>
  <c r="Q59" i="1"/>
  <c r="S59" i="1" s="1"/>
  <c r="O352" i="1"/>
  <c r="Q352" i="1"/>
  <c r="S352" i="1" s="1"/>
  <c r="R203" i="1"/>
  <c r="T203" i="1" s="1"/>
  <c r="R298" i="1"/>
  <c r="T298" i="1" s="1"/>
  <c r="O292" i="1"/>
  <c r="Q292" i="1"/>
  <c r="S292" i="1" s="1"/>
  <c r="R55" i="1"/>
  <c r="T55" i="1" s="1"/>
  <c r="R199" i="1"/>
  <c r="T199" i="1" s="1"/>
  <c r="R450" i="1"/>
  <c r="T450" i="1" s="1"/>
  <c r="R310" i="1"/>
  <c r="T310" i="1" s="1"/>
  <c r="Q185" i="1"/>
  <c r="S185" i="1" s="1"/>
  <c r="O185" i="1"/>
  <c r="R69" i="1"/>
  <c r="T69" i="1" s="1"/>
  <c r="R554" i="1"/>
  <c r="T554" i="1" s="1"/>
  <c r="R343" i="1"/>
  <c r="T343" i="1" s="1"/>
  <c r="R400" i="1"/>
  <c r="T400" i="1" s="1"/>
  <c r="R205" i="1"/>
  <c r="T205" i="1" s="1"/>
  <c r="O499" i="1"/>
  <c r="Q499" i="1"/>
  <c r="S499" i="1" s="1"/>
  <c r="R211" i="1"/>
  <c r="T211" i="1" s="1"/>
  <c r="R51" i="1"/>
  <c r="T51" i="1" s="1"/>
  <c r="R455" i="1"/>
  <c r="T455" i="1" s="1"/>
  <c r="O172" i="1"/>
  <c r="Q172" i="1"/>
  <c r="S172" i="1" s="1"/>
  <c r="Q519" i="1"/>
  <c r="S519" i="1" s="1"/>
  <c r="O519" i="1"/>
  <c r="R101" i="1"/>
  <c r="T101" i="1" s="1"/>
  <c r="R185" i="1"/>
  <c r="T185" i="1" s="1"/>
  <c r="O211" i="1"/>
  <c r="Q211" i="1"/>
  <c r="S211" i="1" s="1"/>
  <c r="R542" i="1"/>
  <c r="T542" i="1" s="1"/>
  <c r="Q227" i="1"/>
  <c r="S227" i="1" s="1"/>
  <c r="O227" i="1"/>
  <c r="R340" i="1"/>
  <c r="T340" i="1" s="1"/>
  <c r="Q91" i="1"/>
  <c r="S91" i="1" s="1"/>
  <c r="O91" i="1"/>
  <c r="R327" i="1"/>
  <c r="T327" i="1" s="1"/>
  <c r="R464" i="1"/>
  <c r="T464" i="1" s="1"/>
  <c r="Q119" i="1"/>
  <c r="S119" i="1" s="1"/>
  <c r="O119" i="1"/>
  <c r="R553" i="1"/>
  <c r="T553" i="1" s="1"/>
  <c r="O371" i="1"/>
  <c r="Q371" i="1"/>
  <c r="S371" i="1" s="1"/>
  <c r="R74" i="1"/>
  <c r="T74" i="1" s="1"/>
  <c r="R275" i="1"/>
  <c r="T275" i="1" s="1"/>
  <c r="O503" i="1"/>
  <c r="Q503" i="1"/>
  <c r="S503" i="1" s="1"/>
  <c r="O320" i="1"/>
  <c r="Q320" i="1"/>
  <c r="S320" i="1" s="1"/>
  <c r="O128" i="1"/>
  <c r="Q128" i="1"/>
  <c r="S128" i="1" s="1"/>
  <c r="O136" i="1"/>
  <c r="Q136" i="1"/>
  <c r="S136" i="1" s="1"/>
  <c r="R28" i="1"/>
  <c r="T28" i="1" s="1"/>
  <c r="O132" i="1"/>
  <c r="Q132" i="1"/>
  <c r="S132" i="1" s="1"/>
  <c r="Q157" i="1"/>
  <c r="S157" i="1" s="1"/>
  <c r="O157" i="1"/>
  <c r="R233" i="1"/>
  <c r="T233" i="1" s="1"/>
  <c r="Q244" i="1"/>
  <c r="S244" i="1" s="1"/>
  <c r="O244" i="1"/>
  <c r="R75" i="1"/>
  <c r="T75" i="1" s="1"/>
  <c r="O444" i="1"/>
  <c r="Q444" i="1"/>
  <c r="S444" i="1" s="1"/>
  <c r="R384" i="1"/>
  <c r="T384" i="1" s="1"/>
  <c r="R16" i="1"/>
  <c r="T16" i="1" s="1"/>
  <c r="R259" i="1"/>
  <c r="T259" i="1" s="1"/>
  <c r="O377" i="1"/>
  <c r="R420" i="1"/>
  <c r="T420" i="1" s="1"/>
  <c r="O343" i="1"/>
  <c r="Q343" i="1"/>
  <c r="S343" i="1" s="1"/>
  <c r="O35" i="1"/>
  <c r="Q35" i="1"/>
  <c r="S35" i="1" s="1"/>
  <c r="R11" i="1"/>
  <c r="T11" i="1" s="1"/>
  <c r="R100" i="1"/>
  <c r="T100" i="1" s="1"/>
  <c r="R379" i="1"/>
  <c r="T379" i="1" s="1"/>
  <c r="R543" i="1"/>
  <c r="T543" i="1" s="1"/>
  <c r="O260" i="1"/>
  <c r="Q260" i="1"/>
  <c r="S260" i="1" s="1"/>
  <c r="R146" i="1"/>
  <c r="T146" i="1" s="1"/>
  <c r="O372" i="1"/>
  <c r="Q372" i="1"/>
  <c r="S372" i="1" s="1"/>
  <c r="O430" i="1"/>
  <c r="Q430" i="1"/>
  <c r="S430" i="1" s="1"/>
  <c r="O348" i="1"/>
  <c r="Q348" i="1"/>
  <c r="S348" i="1" s="1"/>
  <c r="R551" i="1"/>
  <c r="T551" i="1" s="1"/>
  <c r="R355" i="1"/>
  <c r="T355" i="1" s="1"/>
  <c r="R114" i="1"/>
  <c r="T114" i="1" s="1"/>
  <c r="Q84" i="1"/>
  <c r="S84" i="1" s="1"/>
  <c r="O84" i="1"/>
  <c r="O124" i="1"/>
  <c r="Q124" i="1"/>
  <c r="S124" i="1" s="1"/>
  <c r="R482" i="1"/>
  <c r="T482" i="1" s="1"/>
  <c r="R265" i="1"/>
  <c r="T265" i="1" s="1"/>
  <c r="O314" i="1"/>
  <c r="Q314" i="1"/>
  <c r="S314" i="1" s="1"/>
  <c r="R189" i="1"/>
  <c r="T189" i="1" s="1"/>
  <c r="R439" i="1"/>
  <c r="T439" i="1" s="1"/>
  <c r="R421" i="1"/>
  <c r="T421" i="1" s="1"/>
  <c r="R97" i="1"/>
  <c r="T97" i="1" s="1"/>
  <c r="O323" i="1"/>
  <c r="Q323" i="1"/>
  <c r="S323" i="1" s="1"/>
  <c r="R557" i="1"/>
  <c r="T557" i="1" s="1"/>
  <c r="Q330" i="1"/>
  <c r="S330" i="1" s="1"/>
  <c r="O330" i="1"/>
  <c r="O184" i="1"/>
  <c r="Q184" i="1"/>
  <c r="S184" i="1" s="1"/>
  <c r="O173" i="1"/>
  <c r="Q173" i="1"/>
  <c r="S173" i="1" s="1"/>
  <c r="R240" i="1"/>
  <c r="T240" i="1" s="1"/>
  <c r="Q319" i="1"/>
  <c r="S319" i="1" s="1"/>
  <c r="O319" i="1"/>
  <c r="R71" i="1"/>
  <c r="T71" i="1" s="1"/>
  <c r="Q131" i="1"/>
  <c r="S131" i="1" s="1"/>
  <c r="O131" i="1"/>
  <c r="R514" i="1"/>
  <c r="T514" i="1" s="1"/>
  <c r="Q196" i="1"/>
  <c r="S196" i="1" s="1"/>
  <c r="O196" i="1"/>
  <c r="O511" i="1"/>
  <c r="Q130" i="1"/>
  <c r="S130" i="1" s="1"/>
  <c r="O130" i="1"/>
  <c r="R478" i="1"/>
  <c r="T478" i="1" s="1"/>
  <c r="R404" i="1"/>
  <c r="T404" i="1" s="1"/>
  <c r="R330" i="1"/>
  <c r="T330" i="1" s="1"/>
  <c r="R81" i="1"/>
  <c r="T81" i="1" s="1"/>
  <c r="R119" i="1"/>
  <c r="T119" i="1" s="1"/>
  <c r="R467" i="1"/>
  <c r="T467" i="1" s="1"/>
  <c r="O431" i="1"/>
  <c r="Q431" i="1"/>
  <c r="S431" i="1" s="1"/>
  <c r="R6" i="1"/>
  <c r="T6" i="1" s="1"/>
  <c r="O553" i="1"/>
  <c r="Q553" i="1"/>
  <c r="S553" i="1" s="1"/>
  <c r="O302" i="1"/>
  <c r="Q302" i="1"/>
  <c r="S302" i="1" s="1"/>
  <c r="R175" i="1"/>
  <c r="T175" i="1" s="1"/>
  <c r="R536" i="1"/>
  <c r="T536" i="1" s="1"/>
  <c r="Q224" i="1"/>
  <c r="S224" i="1" s="1"/>
  <c r="O224" i="1"/>
  <c r="O192" i="1"/>
  <c r="Q192" i="1"/>
  <c r="S192" i="1" s="1"/>
  <c r="Q57" i="1"/>
  <c r="S57" i="1" s="1"/>
  <c r="O57" i="1"/>
  <c r="O384" i="1"/>
  <c r="Q384" i="1"/>
  <c r="S384" i="1" s="1"/>
  <c r="Q385" i="1"/>
  <c r="S385" i="1" s="1"/>
  <c r="O385" i="1"/>
  <c r="O266" i="1"/>
  <c r="Q266" i="1"/>
  <c r="S266" i="1" s="1"/>
  <c r="R188" i="1"/>
  <c r="T188" i="1" s="1"/>
  <c r="R409" i="1"/>
  <c r="T409" i="1" s="1"/>
  <c r="O484" i="1"/>
  <c r="Q484" i="1"/>
  <c r="S484" i="1" s="1"/>
  <c r="O114" i="1"/>
  <c r="Q114" i="1"/>
  <c r="S114" i="1" s="1"/>
  <c r="R533" i="1"/>
  <c r="T533" i="1" s="1"/>
  <c r="O58" i="1"/>
  <c r="Q58" i="1"/>
  <c r="S58" i="1" s="1"/>
  <c r="R95" i="1"/>
  <c r="T95" i="1" s="1"/>
  <c r="O234" i="1"/>
  <c r="Q234" i="1"/>
  <c r="S234" i="1" s="1"/>
  <c r="O29" i="1"/>
  <c r="Q29" i="1"/>
  <c r="S29" i="1" s="1"/>
  <c r="R196" i="1"/>
  <c r="T196" i="1" s="1"/>
  <c r="R164" i="1"/>
  <c r="T164" i="1" s="1"/>
  <c r="Q284" i="1"/>
  <c r="S284" i="1" s="1"/>
  <c r="O284" i="1"/>
  <c r="O153" i="1"/>
  <c r="Q153" i="1"/>
  <c r="S153" i="1" s="1"/>
  <c r="R159" i="1"/>
  <c r="T159" i="1" s="1"/>
  <c r="R63" i="1"/>
  <c r="T63" i="1" s="1"/>
  <c r="O279" i="1"/>
  <c r="Q279" i="1"/>
  <c r="S279" i="1" s="1"/>
  <c r="Q426" i="1"/>
  <c r="S426" i="1" s="1"/>
  <c r="O426" i="1"/>
  <c r="Q311" i="1"/>
  <c r="S311" i="1" s="1"/>
  <c r="O311" i="1"/>
  <c r="O231" i="1"/>
  <c r="Q231" i="1"/>
  <c r="S231" i="1" s="1"/>
  <c r="R269" i="1"/>
  <c r="T269" i="1" s="1"/>
  <c r="R339" i="1"/>
  <c r="T339" i="1" s="1"/>
  <c r="O62" i="1"/>
  <c r="Q62" i="1"/>
  <c r="S62" i="1" s="1"/>
  <c r="R506" i="1"/>
  <c r="T506" i="1" s="1"/>
  <c r="O103" i="1"/>
  <c r="Q103" i="1"/>
  <c r="S103" i="1" s="1"/>
  <c r="R357" i="1"/>
  <c r="T357" i="1" s="1"/>
  <c r="R344" i="1"/>
  <c r="T344" i="1" s="1"/>
  <c r="O274" i="1"/>
  <c r="Q274" i="1"/>
  <c r="S274" i="1" s="1"/>
  <c r="R288" i="1"/>
  <c r="T288" i="1" s="1"/>
  <c r="R396" i="1"/>
  <c r="T396" i="1" s="1"/>
  <c r="R218" i="1"/>
  <c r="T218" i="1" s="1"/>
  <c r="R454" i="1"/>
  <c r="T454" i="1" s="1"/>
  <c r="O445" i="1"/>
  <c r="O409" i="1"/>
  <c r="Q409" i="1"/>
  <c r="S409" i="1" s="1"/>
  <c r="R80" i="1"/>
  <c r="T80" i="1" s="1"/>
  <c r="O400" i="1"/>
  <c r="Q400" i="1"/>
  <c r="S400" i="1" s="1"/>
  <c r="O303" i="1"/>
  <c r="Q303" i="1"/>
  <c r="S303" i="1" s="1"/>
  <c r="Q513" i="1"/>
  <c r="S513" i="1" s="1"/>
  <c r="O513" i="1"/>
  <c r="O270" i="1"/>
  <c r="Q270" i="1"/>
  <c r="S270" i="1" s="1"/>
  <c r="R406" i="1"/>
  <c r="T406" i="1" s="1"/>
  <c r="O420" i="1"/>
  <c r="Q420" i="1"/>
  <c r="S420" i="1" s="1"/>
  <c r="O111" i="1"/>
  <c r="Q111" i="1"/>
  <c r="S111" i="1" s="1"/>
  <c r="R283" i="1"/>
  <c r="T283" i="1" s="1"/>
  <c r="R453" i="1"/>
  <c r="T453" i="1" s="1"/>
  <c r="O206" i="1"/>
  <c r="Q206" i="1"/>
  <c r="S206" i="1" s="1"/>
  <c r="R32" i="1"/>
  <c r="T32" i="1" s="1"/>
  <c r="O315" i="1"/>
  <c r="Q315" i="1"/>
  <c r="S315" i="1" s="1"/>
  <c r="R399" i="1"/>
  <c r="T399" i="1" s="1"/>
  <c r="R20" i="1"/>
  <c r="T20" i="1" s="1"/>
  <c r="R437" i="1"/>
  <c r="T437" i="1" s="1"/>
  <c r="R525" i="1"/>
  <c r="T525" i="1" s="1"/>
  <c r="R222" i="1"/>
  <c r="T222" i="1" s="1"/>
  <c r="O70" i="1"/>
  <c r="Q70" i="1"/>
  <c r="S70" i="1" s="1"/>
  <c r="O373" i="1"/>
  <c r="R248" i="1"/>
  <c r="T248" i="1" s="1"/>
  <c r="R24" i="1"/>
  <c r="T24" i="1" s="1"/>
  <c r="O328" i="1"/>
  <c r="Q328" i="1"/>
  <c r="S328" i="1" s="1"/>
  <c r="R325" i="1"/>
  <c r="T325" i="1" s="1"/>
  <c r="R172" i="1"/>
  <c r="T172" i="1" s="1"/>
  <c r="O393" i="1"/>
  <c r="Q393" i="1"/>
  <c r="S393" i="1" s="1"/>
  <c r="R137" i="1"/>
  <c r="T137" i="1" s="1"/>
  <c r="O151" i="1"/>
  <c r="Q64" i="1"/>
  <c r="S64" i="1" s="1"/>
  <c r="O64" i="1"/>
  <c r="R195" i="1"/>
  <c r="T195" i="1" s="1"/>
  <c r="O63" i="1"/>
  <c r="Q63" i="1"/>
  <c r="S63" i="1" s="1"/>
  <c r="O382" i="1"/>
  <c r="O186" i="1"/>
  <c r="R504" i="1"/>
  <c r="T504" i="1" s="1"/>
  <c r="R180" i="1"/>
  <c r="T180" i="1" s="1"/>
  <c r="R45" i="1"/>
  <c r="T45" i="1" s="1"/>
  <c r="O392" i="1"/>
  <c r="O558" i="1"/>
  <c r="O413" i="1"/>
  <c r="Q413" i="1"/>
  <c r="S413" i="1" s="1"/>
  <c r="R532" i="1"/>
  <c r="T532" i="1" s="1"/>
  <c r="O306" i="1"/>
  <c r="Q306" i="1"/>
  <c r="S306" i="1" s="1"/>
  <c r="O432" i="1"/>
  <c r="Q432" i="1"/>
  <c r="S432" i="1" s="1"/>
  <c r="R397" i="1"/>
  <c r="T397" i="1" s="1"/>
  <c r="O32" i="1"/>
  <c r="Q32" i="1"/>
  <c r="S32" i="1" s="1"/>
  <c r="R59" i="1"/>
  <c r="T59" i="1" s="1"/>
  <c r="O329" i="1"/>
  <c r="O95" i="1"/>
  <c r="Q95" i="1"/>
  <c r="S95" i="1" s="1"/>
  <c r="R411" i="1"/>
  <c r="T411" i="1" s="1"/>
  <c r="O66" i="1"/>
  <c r="Q66" i="1"/>
  <c r="S66" i="1" s="1"/>
  <c r="O356" i="1"/>
  <c r="Q356" i="1"/>
  <c r="S356" i="1" s="1"/>
  <c r="R263" i="1"/>
  <c r="T263" i="1" s="1"/>
  <c r="R181" i="1"/>
  <c r="T181" i="1" s="1"/>
  <c r="O240" i="1"/>
  <c r="Q240" i="1"/>
  <c r="S240" i="1" s="1"/>
  <c r="R518" i="1"/>
  <c r="T518" i="1" s="1"/>
  <c r="O197" i="1"/>
  <c r="R184" i="1"/>
  <c r="T184" i="1" s="1"/>
  <c r="R174" i="1"/>
  <c r="T174" i="1" s="1"/>
  <c r="Q7" i="1"/>
  <c r="S7" i="1" s="1"/>
  <c r="O7" i="1"/>
  <c r="Q87" i="1"/>
  <c r="S87" i="1" s="1"/>
  <c r="O87" i="1"/>
  <c r="O232" i="1"/>
  <c r="O424" i="1"/>
  <c r="Q424" i="1"/>
  <c r="S424" i="1" s="1"/>
  <c r="R500" i="1"/>
  <c r="T500" i="1" s="1"/>
  <c r="O369" i="1"/>
  <c r="O178" i="1"/>
  <c r="Q178" i="1"/>
  <c r="S178" i="1" s="1"/>
  <c r="Q233" i="1"/>
  <c r="S233" i="1" s="1"/>
  <c r="O233" i="1"/>
  <c r="O117" i="1"/>
  <c r="Q117" i="1"/>
  <c r="S117" i="1" s="1"/>
  <c r="R307" i="1"/>
  <c r="T307" i="1" s="1"/>
  <c r="R192" i="1"/>
  <c r="T192" i="1" s="1"/>
  <c r="O473" i="1"/>
  <c r="O411" i="1"/>
  <c r="Q411" i="1"/>
  <c r="S411" i="1" s="1"/>
  <c r="O8" i="1"/>
  <c r="Q8" i="1"/>
  <c r="S8" i="1" s="1"/>
  <c r="Q19" i="1"/>
  <c r="S19" i="1" s="1"/>
  <c r="O19" i="1"/>
  <c r="O394" i="1"/>
  <c r="Q394" i="1"/>
  <c r="S394" i="1" s="1"/>
  <c r="O247" i="1"/>
  <c r="Q247" i="1"/>
  <c r="S247" i="1" s="1"/>
  <c r="R417" i="1"/>
  <c r="T417" i="1" s="1"/>
  <c r="R270" i="1"/>
  <c r="T270" i="1" s="1"/>
  <c r="R251" i="1"/>
  <c r="T251" i="1" s="1"/>
  <c r="O427" i="1"/>
  <c r="Q427" i="1"/>
  <c r="S427" i="1" s="1"/>
  <c r="O248" i="1"/>
  <c r="Q248" i="1"/>
  <c r="S248" i="1" s="1"/>
  <c r="O440" i="1"/>
  <c r="Q440" i="1"/>
  <c r="S440" i="1" s="1"/>
  <c r="O245" i="1"/>
  <c r="Q511" i="1"/>
  <c r="S511" i="1" s="1"/>
  <c r="O529" i="1"/>
  <c r="Q529" i="1"/>
  <c r="S529" i="1" s="1"/>
  <c r="O520" i="1"/>
  <c r="Q520" i="1"/>
  <c r="S520" i="1" s="1"/>
  <c r="R519" i="1"/>
  <c r="T519" i="1" s="1"/>
  <c r="O127" i="1"/>
  <c r="Q127" i="1"/>
  <c r="S127" i="1" s="1"/>
  <c r="R202" i="1"/>
  <c r="T202" i="1" s="1"/>
  <c r="R243" i="1"/>
  <c r="T243" i="1" s="1"/>
  <c r="R231" i="1"/>
  <c r="T231" i="1" s="1"/>
  <c r="Q215" i="1"/>
  <c r="S215" i="1" s="1"/>
  <c r="O215" i="1"/>
  <c r="R54" i="1"/>
  <c r="T54" i="1" s="1"/>
  <c r="O376" i="1"/>
  <c r="Q376" i="1"/>
  <c r="S376" i="1" s="1"/>
  <c r="R484" i="1"/>
  <c r="T484" i="1" s="1"/>
  <c r="R41" i="1"/>
  <c r="T41" i="1" s="1"/>
  <c r="R476" i="1"/>
  <c r="T476" i="1" s="1"/>
  <c r="R87" i="1"/>
  <c r="T87" i="1" s="1"/>
  <c r="O289" i="1"/>
  <c r="Q289" i="1"/>
  <c r="S289" i="1" s="1"/>
  <c r="R36" i="1"/>
  <c r="T36" i="1" s="1"/>
  <c r="R279" i="1"/>
  <c r="T279" i="1" s="1"/>
  <c r="R113" i="1"/>
  <c r="T113" i="1" s="1"/>
  <c r="O542" i="1"/>
  <c r="Q542" i="1"/>
  <c r="S542" i="1" s="1"/>
  <c r="Q218" i="1"/>
  <c r="S218" i="1" s="1"/>
  <c r="O218" i="1"/>
  <c r="R70" i="1"/>
  <c r="T70" i="1" s="1"/>
  <c r="R4" i="1"/>
  <c r="T4" i="1" s="1"/>
  <c r="O495" i="1"/>
  <c r="O293" i="1"/>
  <c r="Q293" i="1"/>
  <c r="S293" i="1" s="1"/>
  <c r="O180" i="1"/>
  <c r="Q180" i="1"/>
  <c r="S180" i="1" s="1"/>
  <c r="R431" i="1"/>
  <c r="T431" i="1" s="1"/>
  <c r="R244" i="1"/>
  <c r="T244" i="1" s="1"/>
  <c r="O391" i="1"/>
  <c r="Q391" i="1"/>
  <c r="S391" i="1" s="1"/>
  <c r="R436" i="1"/>
  <c r="T436" i="1" s="1"/>
  <c r="R548" i="1"/>
  <c r="T548" i="1" s="1"/>
  <c r="O358" i="1"/>
  <c r="R157" i="1"/>
  <c r="T157" i="1" s="1"/>
  <c r="O388" i="1"/>
  <c r="Q388" i="1"/>
  <c r="S388" i="1" s="1"/>
  <c r="Q145" i="1"/>
  <c r="S145" i="1" s="1"/>
  <c r="O145" i="1"/>
  <c r="O2" i="1"/>
  <c r="O541" i="1"/>
  <c r="R427" i="1"/>
  <c r="T427" i="1" s="1"/>
  <c r="O528" i="1"/>
  <c r="Q528" i="1"/>
  <c r="S528" i="1" s="1"/>
  <c r="O238" i="1"/>
  <c r="Q238" i="1"/>
  <c r="S238" i="1" s="1"/>
  <c r="R367" i="1"/>
  <c r="T367" i="1" s="1"/>
  <c r="Q189" i="1"/>
  <c r="S189" i="1" s="1"/>
  <c r="O189" i="1"/>
  <c r="O259" i="1"/>
  <c r="Q259" i="1"/>
  <c r="S259" i="1" s="1"/>
  <c r="R475" i="1"/>
  <c r="T475" i="1" s="1"/>
  <c r="O45" i="1"/>
  <c r="Q45" i="1"/>
  <c r="S45" i="1" s="1"/>
  <c r="O160" i="1"/>
  <c r="Q160" i="1"/>
  <c r="S160" i="1" s="1"/>
  <c r="O135" i="1"/>
  <c r="Q135" i="1"/>
  <c r="S135" i="1" s="1"/>
  <c r="R472" i="1"/>
  <c r="T472" i="1" s="1"/>
  <c r="R67" i="1"/>
  <c r="T67" i="1" s="1"/>
  <c r="O387" i="1"/>
  <c r="O403" i="1"/>
  <c r="Q403" i="1"/>
  <c r="S403" i="1" s="1"/>
  <c r="R234" i="1"/>
  <c r="T234" i="1" s="1"/>
  <c r="O521" i="1"/>
  <c r="Q521" i="1"/>
  <c r="S521" i="1" s="1"/>
  <c r="O421" i="1"/>
  <c r="Q421" i="1"/>
  <c r="S421" i="1" s="1"/>
  <c r="O435" i="1"/>
  <c r="Q435" i="1"/>
  <c r="S435" i="1" s="1"/>
  <c r="R42" i="1"/>
  <c r="T42" i="1" s="1"/>
  <c r="R315" i="1"/>
  <c r="T315" i="1" s="1"/>
  <c r="R336" i="1"/>
  <c r="T336" i="1" s="1"/>
  <c r="R256" i="1"/>
  <c r="T256" i="1" s="1"/>
  <c r="O5" i="1"/>
  <c r="R84" i="1"/>
  <c r="T84" i="1" s="1"/>
  <c r="R443" i="1"/>
  <c r="T443" i="1" s="1"/>
  <c r="O261" i="1"/>
  <c r="Q261" i="1"/>
  <c r="S261" i="1" s="1"/>
  <c r="Q50" i="1"/>
  <c r="S50" i="1" s="1"/>
  <c r="O50" i="1"/>
  <c r="R364" i="1"/>
  <c r="T364" i="1" s="1"/>
  <c r="O417" i="1"/>
  <c r="Q318" i="1"/>
  <c r="S318" i="1" s="1"/>
  <c r="O318" i="1"/>
  <c r="Q144" i="1"/>
  <c r="S144" i="1" s="1"/>
  <c r="O144" i="1"/>
  <c r="R468" i="1"/>
  <c r="T468" i="1" s="1"/>
  <c r="R539" i="1"/>
  <c r="T539" i="1" s="1"/>
  <c r="O416" i="1"/>
  <c r="O263" i="1"/>
  <c r="Q263" i="1"/>
  <c r="S263" i="1" s="1"/>
  <c r="O41" i="1"/>
  <c r="Q41" i="1"/>
  <c r="S41" i="1" s="1"/>
  <c r="R128" i="1"/>
  <c r="T128" i="1" s="1"/>
  <c r="O272" i="1"/>
  <c r="R21" i="1"/>
  <c r="T21" i="1" s="1"/>
  <c r="Q507" i="1"/>
  <c r="S507" i="1" s="1"/>
  <c r="O507" i="1"/>
  <c r="O367" i="1"/>
  <c r="Q367" i="1"/>
  <c r="S367" i="1" s="1"/>
  <c r="O534" i="1"/>
  <c r="R479" i="1"/>
  <c r="T479" i="1" s="1"/>
  <c r="Q88" i="1"/>
  <c r="S88" i="1" s="1"/>
  <c r="O88" i="1"/>
  <c r="O12" i="1"/>
  <c r="R15" i="1"/>
  <c r="T15" i="1" s="1"/>
  <c r="R58" i="1"/>
  <c r="T58" i="1" s="1"/>
  <c r="R130" i="1"/>
  <c r="T130" i="1" s="1"/>
  <c r="R314" i="1"/>
  <c r="T314" i="1" s="1"/>
  <c r="R499" i="1"/>
  <c r="T499" i="1" s="1"/>
  <c r="O251" i="1"/>
  <c r="Q251" i="1"/>
  <c r="S251" i="1" s="1"/>
  <c r="O365" i="1"/>
  <c r="O389" i="1"/>
  <c r="R528" i="1"/>
  <c r="T528" i="1" s="1"/>
  <c r="R260" i="1"/>
  <c r="T260" i="1" s="1"/>
  <c r="R284" i="1"/>
  <c r="T284" i="1" s="1"/>
  <c r="O112" i="1"/>
  <c r="O125" i="1"/>
  <c r="Q125" i="1"/>
  <c r="S125" i="1" s="1"/>
  <c r="R370" i="1"/>
  <c r="T370" i="1" s="1"/>
  <c r="O418" i="1"/>
  <c r="O267" i="1"/>
  <c r="O305" i="1"/>
  <c r="R426" i="1"/>
  <c r="T426" i="1" s="1"/>
  <c r="O397" i="1"/>
  <c r="Q397" i="1"/>
  <c r="S397" i="1" s="1"/>
  <c r="O219" i="1"/>
  <c r="Q219" i="1"/>
  <c r="S219" i="1" s="1"/>
  <c r="Q500" i="1"/>
  <c r="S500" i="1" s="1"/>
  <c r="O500" i="1"/>
  <c r="R403" i="1"/>
  <c r="T403" i="1" s="1"/>
  <c r="Q104" i="1"/>
  <c r="S104" i="1" s="1"/>
  <c r="O104" i="1"/>
  <c r="Q222" i="1"/>
  <c r="S222" i="1" s="1"/>
  <c r="O222" i="1"/>
  <c r="Q335" i="1"/>
  <c r="S335" i="1" s="1"/>
  <c r="O335" i="1"/>
  <c r="O491" i="1"/>
  <c r="Q491" i="1"/>
  <c r="S491" i="1" s="1"/>
  <c r="O283" i="1"/>
  <c r="Q283" i="1"/>
  <c r="S283" i="1" s="1"/>
  <c r="Q67" i="1"/>
  <c r="S67" i="1" s="1"/>
  <c r="O67" i="1"/>
  <c r="Q254" i="1"/>
  <c r="S254" i="1" s="1"/>
  <c r="O254" i="1"/>
  <c r="R324" i="1"/>
  <c r="T324" i="1" s="1"/>
  <c r="O207" i="1"/>
  <c r="O488" i="1"/>
  <c r="R503" i="1"/>
  <c r="T503" i="1" s="1"/>
  <c r="R66" i="1"/>
  <c r="T66" i="1" s="1"/>
  <c r="R447" i="1"/>
  <c r="T447" i="1" s="1"/>
  <c r="O547" i="1"/>
  <c r="Q547" i="1"/>
  <c r="S547" i="1" s="1"/>
  <c r="O340" i="1"/>
  <c r="Q340" i="1"/>
  <c r="S340" i="1" s="1"/>
  <c r="O327" i="1"/>
  <c r="Q327" i="1"/>
  <c r="S327" i="1" s="1"/>
  <c r="Q210" i="1"/>
  <c r="S210" i="1" s="1"/>
  <c r="O210" i="1"/>
  <c r="R57" i="1"/>
  <c r="T57" i="1" s="1"/>
  <c r="R62" i="1"/>
  <c r="T62" i="1" s="1"/>
  <c r="R391" i="1"/>
  <c r="T391" i="1" s="1"/>
  <c r="R430" i="1"/>
  <c r="T430" i="1" s="1"/>
  <c r="Q548" i="1"/>
  <c r="S548" i="1" s="1"/>
  <c r="O548" i="1"/>
  <c r="Q195" i="1"/>
  <c r="S195" i="1" s="1"/>
  <c r="O195" i="1"/>
  <c r="R520" i="1"/>
  <c r="T520" i="1" s="1"/>
  <c r="Q137" i="1"/>
  <c r="S137" i="1" s="1"/>
  <c r="O137" i="1"/>
  <c r="R311" i="1"/>
  <c r="T311" i="1" s="1"/>
  <c r="R346" i="1"/>
  <c r="T346" i="1" s="1"/>
  <c r="R463" i="1"/>
  <c r="T463" i="1" s="1"/>
  <c r="O552" i="1"/>
  <c r="Q552" i="1"/>
  <c r="S552" i="1" s="1"/>
  <c r="R46" i="1"/>
  <c r="T46" i="1" s="1"/>
  <c r="O454" i="1"/>
  <c r="Q454" i="1"/>
  <c r="S454" i="1" s="1"/>
  <c r="R491" i="1"/>
  <c r="T491" i="1" s="1"/>
  <c r="Q182" i="1"/>
  <c r="S182" i="1" s="1"/>
  <c r="O182" i="1"/>
  <c r="O165" i="1"/>
  <c r="R135" i="1"/>
  <c r="T135" i="1" s="1"/>
  <c r="O399" i="1"/>
  <c r="Q399" i="1"/>
  <c r="S399" i="1" s="1"/>
  <c r="R292" i="1"/>
  <c r="T292" i="1" s="1"/>
  <c r="R139" i="1"/>
  <c r="T139" i="1" s="1"/>
  <c r="O310" i="1"/>
  <c r="Q310" i="1"/>
  <c r="S310" i="1" s="1"/>
  <c r="R494" i="1"/>
  <c r="T494" i="1" s="1"/>
  <c r="R303" i="1"/>
  <c r="T303" i="1" s="1"/>
  <c r="R50" i="1"/>
  <c r="T50" i="1" s="1"/>
  <c r="O404" i="1"/>
  <c r="Q404" i="1"/>
  <c r="S404" i="1" s="1"/>
  <c r="O71" i="1"/>
  <c r="Q71" i="1"/>
  <c r="S71" i="1" s="1"/>
  <c r="O52" i="1"/>
  <c r="Q406" i="1"/>
  <c r="S406" i="1" s="1"/>
  <c r="O406" i="1"/>
  <c r="O243" i="1"/>
  <c r="Q243" i="1"/>
  <c r="S243" i="1" s="1"/>
  <c r="O461" i="1"/>
  <c r="R368" i="1"/>
  <c r="T368" i="1" s="1"/>
  <c r="O375" i="1"/>
  <c r="Q375" i="1"/>
  <c r="S375" i="1" s="1"/>
  <c r="O255" i="1"/>
  <c r="Q255" i="1"/>
  <c r="S255" i="1" s="1"/>
  <c r="R215" i="1"/>
  <c r="T215" i="1" s="1"/>
  <c r="R200" i="1"/>
  <c r="T200" i="1" s="1"/>
  <c r="Q297" i="1"/>
  <c r="S297" i="1" s="1"/>
  <c r="O297" i="1"/>
  <c r="O518" i="1"/>
  <c r="Q518" i="1"/>
  <c r="S518" i="1" s="1"/>
  <c r="O510" i="1"/>
  <c r="Q510" i="1"/>
  <c r="S510" i="1" s="1"/>
  <c r="Q75" i="1"/>
  <c r="S75" i="1" s="1"/>
  <c r="O75" i="1"/>
  <c r="R513" i="1"/>
  <c r="T513" i="1" s="1"/>
  <c r="R352" i="1"/>
  <c r="T352" i="1" s="1"/>
  <c r="O121" i="1"/>
  <c r="Q121" i="1"/>
  <c r="S121" i="1" s="1"/>
  <c r="R173" i="1"/>
  <c r="T173" i="1" s="1"/>
  <c r="R372" i="1"/>
  <c r="T372" i="1" s="1"/>
  <c r="R239" i="1"/>
  <c r="T239" i="1" s="1"/>
  <c r="R210" i="1"/>
  <c r="T210" i="1" s="1"/>
  <c r="R141" i="1"/>
  <c r="T141" i="1" s="1"/>
  <c r="O200" i="1"/>
  <c r="Q200" i="1"/>
  <c r="S200" i="1" s="1"/>
  <c r="R40" i="1"/>
  <c r="T40" i="1" s="1"/>
  <c r="R124" i="1"/>
  <c r="T124" i="1" s="1"/>
  <c r="O516" i="1"/>
  <c r="R79" i="1"/>
  <c r="T79" i="1" s="1"/>
  <c r="O463" i="1"/>
  <c r="Q463" i="1"/>
  <c r="S463" i="1" s="1"/>
  <c r="R361" i="1"/>
  <c r="T361" i="1" s="1"/>
  <c r="R328" i="1"/>
  <c r="T328" i="1" s="1"/>
  <c r="O295" i="1"/>
  <c r="Q21" i="1"/>
  <c r="S21" i="1" s="1"/>
  <c r="O21" i="1"/>
  <c r="O504" i="1"/>
  <c r="Q504" i="1"/>
  <c r="S504" i="1" s="1"/>
  <c r="R96" i="1"/>
  <c r="T96" i="1" s="1"/>
  <c r="O477" i="1"/>
  <c r="Q477" i="1"/>
  <c r="S477" i="1" s="1"/>
  <c r="Q81" i="1"/>
  <c r="S81" i="1" s="1"/>
  <c r="O81" i="1"/>
  <c r="R47" i="1"/>
  <c r="T47" i="1" s="1"/>
  <c r="R223" i="1"/>
  <c r="T223" i="1" s="1"/>
  <c r="R289" i="1"/>
  <c r="T289" i="1" s="1"/>
  <c r="O479" i="1"/>
  <c r="Q479" i="1"/>
  <c r="S479" i="1" s="1"/>
  <c r="O138" i="1"/>
  <c r="O398" i="1"/>
  <c r="R302" i="1"/>
  <c r="T302" i="1" s="1"/>
  <c r="Q336" i="1"/>
  <c r="S336" i="1" s="1"/>
  <c r="O336" i="1"/>
  <c r="O522" i="1"/>
  <c r="Q483" i="1"/>
  <c r="S483" i="1" s="1"/>
  <c r="O483" i="1"/>
  <c r="R266" i="1"/>
  <c r="T266" i="1" s="1"/>
  <c r="R505" i="1"/>
  <c r="T505" i="1" s="1"/>
  <c r="Q42" i="1"/>
  <c r="S42" i="1" s="1"/>
  <c r="O42" i="1"/>
  <c r="O169" i="1"/>
  <c r="Q169" i="1"/>
  <c r="S169" i="1" s="1"/>
  <c r="R446" i="1"/>
  <c r="T446" i="1" s="1"/>
  <c r="O290" i="1"/>
  <c r="Q459" i="1"/>
  <c r="S459" i="1" s="1"/>
  <c r="O459" i="1"/>
  <c r="O25" i="1"/>
  <c r="Q25" i="1"/>
  <c r="S25" i="1" s="1"/>
  <c r="R258" i="1"/>
  <c r="T258" i="1" s="1"/>
  <c r="Q452" i="1"/>
  <c r="S452" i="1" s="1"/>
  <c r="R18" i="1"/>
  <c r="T18" i="1" s="1"/>
  <c r="Q287" i="1"/>
  <c r="S287" i="1" s="1"/>
  <c r="R273" i="1"/>
  <c r="T273" i="1" s="1"/>
  <c r="R559" i="1"/>
  <c r="T559" i="1" s="1"/>
  <c r="R423" i="1"/>
  <c r="T423" i="1" s="1"/>
  <c r="Q187" i="1"/>
  <c r="S187" i="1" s="1"/>
  <c r="R538" i="1"/>
  <c r="T538" i="1" s="1"/>
  <c r="Q338" i="1"/>
  <c r="S338" i="1" s="1"/>
  <c r="R535" i="1"/>
  <c r="T535" i="1" s="1"/>
  <c r="R236" i="1"/>
  <c r="T236" i="1" s="1"/>
  <c r="Q383" i="1"/>
  <c r="S383" i="1" s="1"/>
  <c r="Q73" i="1"/>
  <c r="S73" i="1" s="1"/>
  <c r="Q462" i="1"/>
  <c r="S462" i="1" s="1"/>
  <c r="R23" i="1"/>
  <c r="T23" i="1" s="1"/>
  <c r="Q242" i="1"/>
  <c r="S242" i="1" s="1"/>
  <c r="Q442" i="1"/>
  <c r="S442" i="1" s="1"/>
  <c r="Q83" i="1"/>
  <c r="S83" i="1" s="1"/>
  <c r="R374" i="1"/>
  <c r="T374" i="1" s="1"/>
  <c r="R250" i="1"/>
  <c r="T250" i="1" s="1"/>
  <c r="R408" i="1"/>
  <c r="T408" i="1" s="1"/>
  <c r="Q545" i="1"/>
  <c r="S545" i="1" s="1"/>
  <c r="R363" i="1"/>
  <c r="T363" i="1" s="1"/>
  <c r="R38" i="1"/>
  <c r="T38" i="1" s="1"/>
  <c r="Q99" i="1"/>
  <c r="S99" i="1" s="1"/>
  <c r="R502" i="1"/>
  <c r="T502" i="1" s="1"/>
  <c r="R486" i="1"/>
  <c r="T486" i="1" s="1"/>
  <c r="R523" i="1"/>
  <c r="T523" i="1" s="1"/>
  <c r="Q258" i="1"/>
  <c r="S258" i="1" s="1"/>
  <c r="Q434" i="1"/>
  <c r="S434" i="1" s="1"/>
  <c r="R550" i="1"/>
  <c r="T550" i="1" s="1"/>
  <c r="Q18" i="1"/>
  <c r="S18" i="1" s="1"/>
  <c r="Q322" i="1"/>
  <c r="S322" i="1" s="1"/>
  <c r="Q273" i="1"/>
  <c r="S273" i="1" s="1"/>
  <c r="Q559" i="1"/>
  <c r="S559" i="1" s="1"/>
  <c r="Q423" i="1"/>
  <c r="S423" i="1" s="1"/>
  <c r="Q13" i="1"/>
  <c r="S13" i="1" s="1"/>
  <c r="Q123" i="1"/>
  <c r="S123" i="1" s="1"/>
  <c r="R187" i="1"/>
  <c r="T187" i="1" s="1"/>
  <c r="R194" i="1"/>
  <c r="T194" i="1" s="1"/>
  <c r="R527" i="1"/>
  <c r="T527" i="1" s="1"/>
  <c r="R44" i="1"/>
  <c r="T44" i="1" s="1"/>
  <c r="Q538" i="1"/>
  <c r="S538" i="1" s="1"/>
  <c r="R338" i="1"/>
  <c r="T338" i="1" s="1"/>
  <c r="Q535" i="1"/>
  <c r="S535" i="1" s="1"/>
  <c r="Q143" i="1"/>
  <c r="S143" i="1" s="1"/>
  <c r="Q134" i="1"/>
  <c r="S134" i="1" s="1"/>
  <c r="R73" i="1"/>
  <c r="T73" i="1" s="1"/>
  <c r="R462" i="1"/>
  <c r="T462" i="1" s="1"/>
  <c r="R217" i="1"/>
  <c r="T217" i="1" s="1"/>
  <c r="Q342" i="1"/>
  <c r="S342" i="1" s="1"/>
  <c r="Q363" i="1"/>
  <c r="S363" i="1" s="1"/>
  <c r="Q38" i="1"/>
  <c r="S38" i="1" s="1"/>
  <c r="Q78" i="1"/>
  <c r="S78" i="1" s="1"/>
  <c r="Q486" i="1"/>
  <c r="S486" i="1" s="1"/>
  <c r="Q116" i="1"/>
  <c r="S116" i="1" s="1"/>
  <c r="Q523" i="1"/>
  <c r="S523" i="1" s="1"/>
  <c r="R434" i="1"/>
  <c r="T434" i="1" s="1"/>
  <c r="Q550" i="1"/>
  <c r="S550" i="1" s="1"/>
  <c r="R322" i="1"/>
  <c r="T322" i="1" s="1"/>
  <c r="R13" i="1"/>
  <c r="T13" i="1" s="1"/>
  <c r="R123" i="1"/>
  <c r="T123" i="1" s="1"/>
  <c r="R509" i="1"/>
  <c r="T509" i="1" s="1"/>
  <c r="R296" i="1"/>
  <c r="T296" i="1" s="1"/>
  <c r="Q106" i="1"/>
  <c r="S106" i="1" s="1"/>
  <c r="R156" i="1"/>
  <c r="T156" i="1" s="1"/>
  <c r="Q194" i="1"/>
  <c r="S194" i="1" s="1"/>
  <c r="Q527" i="1"/>
  <c r="S527" i="1" s="1"/>
  <c r="Q44" i="1"/>
  <c r="S44" i="1" s="1"/>
  <c r="Q309" i="1"/>
  <c r="S309" i="1" s="1"/>
  <c r="R143" i="1"/>
  <c r="T143" i="1" s="1"/>
  <c r="Q531" i="1"/>
  <c r="S531" i="1" s="1"/>
  <c r="R134" i="1"/>
  <c r="T134" i="1" s="1"/>
  <c r="R110" i="1"/>
  <c r="T110" i="1" s="1"/>
  <c r="Q217" i="1"/>
  <c r="S217" i="1" s="1"/>
  <c r="R3" i="1"/>
  <c r="T3" i="1" s="1"/>
  <c r="R342" i="1"/>
  <c r="T342" i="1" s="1"/>
  <c r="Q191" i="1"/>
  <c r="S191" i="1" s="1"/>
  <c r="R78" i="1"/>
  <c r="T78" i="1" s="1"/>
  <c r="R540" i="1"/>
  <c r="T540" i="1" s="1"/>
  <c r="R116" i="1"/>
  <c r="T116" i="1" s="1"/>
  <c r="R221" i="1"/>
  <c r="T221" i="1" s="1"/>
  <c r="R49" i="1"/>
  <c r="T49" i="1" s="1"/>
  <c r="Q509" i="1"/>
  <c r="S509" i="1" s="1"/>
  <c r="Q296" i="1"/>
  <c r="S296" i="1" s="1"/>
  <c r="R106" i="1"/>
  <c r="T106" i="1" s="1"/>
  <c r="Q156" i="1"/>
  <c r="S156" i="1" s="1"/>
  <c r="R229" i="1"/>
  <c r="T229" i="1" s="1"/>
  <c r="Q390" i="1"/>
  <c r="S390" i="1" s="1"/>
  <c r="R309" i="1"/>
  <c r="T309" i="1" s="1"/>
  <c r="R493" i="1"/>
  <c r="T493" i="1" s="1"/>
  <c r="R531" i="1"/>
  <c r="T531" i="1" s="1"/>
  <c r="R198" i="1"/>
  <c r="T198" i="1" s="1"/>
  <c r="Q110" i="1"/>
  <c r="S110" i="1" s="1"/>
  <c r="Q3" i="1"/>
  <c r="S3" i="1" s="1"/>
  <c r="R277" i="1"/>
  <c r="T277" i="1" s="1"/>
  <c r="R226" i="1"/>
  <c r="T226" i="1" s="1"/>
  <c r="R350" i="1"/>
  <c r="T350" i="1" s="1"/>
  <c r="R474" i="1"/>
  <c r="T474" i="1" s="1"/>
  <c r="R191" i="1"/>
  <c r="T191" i="1" s="1"/>
  <c r="Q317" i="1"/>
  <c r="S317" i="1" s="1"/>
  <c r="Q148" i="1"/>
  <c r="S148" i="1" s="1"/>
  <c r="Q171" i="1"/>
  <c r="S171" i="1" s="1"/>
  <c r="Q221" i="1"/>
  <c r="S221" i="1" s="1"/>
  <c r="R489" i="1"/>
  <c r="T489" i="1" s="1"/>
  <c r="R300" i="1"/>
  <c r="T300" i="1" s="1"/>
  <c r="Q49" i="1"/>
  <c r="S49" i="1" s="1"/>
  <c r="R402" i="1"/>
  <c r="T402" i="1" s="1"/>
  <c r="R419" i="1"/>
  <c r="T419" i="1" s="1"/>
  <c r="Q291" i="1"/>
  <c r="S291" i="1" s="1"/>
  <c r="Q229" i="1"/>
  <c r="S229" i="1" s="1"/>
  <c r="R390" i="1"/>
  <c r="T390" i="1" s="1"/>
  <c r="R177" i="1"/>
  <c r="T177" i="1" s="1"/>
  <c r="Q493" i="1"/>
  <c r="S493" i="1" s="1"/>
  <c r="R27" i="1"/>
  <c r="T27" i="1" s="1"/>
  <c r="Q198" i="1"/>
  <c r="S198" i="1" s="1"/>
  <c r="Q457" i="1"/>
  <c r="S457" i="1" s="1"/>
  <c r="Q313" i="1"/>
  <c r="S313" i="1" s="1"/>
  <c r="R86" i="1"/>
  <c r="T86" i="1" s="1"/>
  <c r="R282" i="1"/>
  <c r="T282" i="1" s="1"/>
  <c r="Q470" i="1"/>
  <c r="S470" i="1" s="1"/>
  <c r="Q277" i="1"/>
  <c r="S277" i="1" s="1"/>
  <c r="Q226" i="1"/>
  <c r="S226" i="1" s="1"/>
  <c r="Q350" i="1"/>
  <c r="S350" i="1" s="1"/>
  <c r="Q474" i="1"/>
  <c r="S474" i="1" s="1"/>
  <c r="Q31" i="1"/>
  <c r="S31" i="1" s="1"/>
  <c r="R317" i="1"/>
  <c r="T317" i="1" s="1"/>
  <c r="R148" i="1"/>
  <c r="T148" i="1" s="1"/>
  <c r="R171" i="1"/>
  <c r="T171" i="1" s="1"/>
  <c r="Q489" i="1"/>
  <c r="S489" i="1" s="1"/>
  <c r="R152" i="1"/>
  <c r="T152" i="1" s="1"/>
  <c r="Q300" i="1"/>
  <c r="S300" i="1" s="1"/>
  <c r="Q402" i="1"/>
  <c r="S402" i="1" s="1"/>
  <c r="Q34" i="1"/>
  <c r="S34" i="1" s="1"/>
  <c r="Q419" i="1"/>
  <c r="S419" i="1" s="1"/>
  <c r="R291" i="1"/>
  <c r="T291" i="1" s="1"/>
  <c r="Q177" i="1"/>
  <c r="S177" i="1" s="1"/>
  <c r="R359" i="1"/>
  <c r="T359" i="1" s="1"/>
  <c r="R366" i="1"/>
  <c r="T366" i="1" s="1"/>
  <c r="Q27" i="1"/>
  <c r="S27" i="1" s="1"/>
  <c r="Q481" i="1"/>
  <c r="S481" i="1" s="1"/>
  <c r="R61" i="1"/>
  <c r="T61" i="1" s="1"/>
  <c r="R457" i="1"/>
  <c r="T457" i="1" s="1"/>
  <c r="R313" i="1"/>
  <c r="T313" i="1" s="1"/>
  <c r="Q86" i="1"/>
  <c r="S86" i="1" s="1"/>
  <c r="R162" i="1"/>
  <c r="T162" i="1" s="1"/>
  <c r="R94" i="1"/>
  <c r="T94" i="1" s="1"/>
  <c r="R556" i="1"/>
  <c r="T556" i="1" s="1"/>
  <c r="Q282" i="1"/>
  <c r="S282" i="1" s="1"/>
  <c r="R470" i="1"/>
  <c r="T470" i="1" s="1"/>
  <c r="Q354" i="1"/>
  <c r="S354" i="1" s="1"/>
  <c r="Q208" i="1"/>
  <c r="S208" i="1" s="1"/>
  <c r="Q378" i="1"/>
  <c r="S378" i="1" s="1"/>
  <c r="R31" i="1"/>
  <c r="T31" i="1" s="1"/>
  <c r="Q246" i="1"/>
  <c r="S246" i="1" s="1"/>
  <c r="Q152" i="1"/>
  <c r="S152" i="1" s="1"/>
  <c r="R517" i="1"/>
  <c r="T517" i="1" s="1"/>
  <c r="Q166" i="1"/>
  <c r="S166" i="1" s="1"/>
  <c r="R34" i="1"/>
  <c r="T34" i="1" s="1"/>
  <c r="Q498" i="1"/>
  <c r="S498" i="1" s="1"/>
  <c r="R429" i="1"/>
  <c r="T429" i="1" s="1"/>
  <c r="R108" i="1"/>
  <c r="T108" i="1" s="1"/>
  <c r="Q359" i="1"/>
  <c r="S359" i="1" s="1"/>
  <c r="Q366" i="1"/>
  <c r="S366" i="1" s="1"/>
  <c r="Q268" i="1"/>
  <c r="S268" i="1" s="1"/>
  <c r="R481" i="1"/>
  <c r="T481" i="1" s="1"/>
  <c r="Q61" i="1"/>
  <c r="S61" i="1" s="1"/>
  <c r="Q162" i="1"/>
  <c r="S162" i="1" s="1"/>
  <c r="Q94" i="1"/>
  <c r="S94" i="1" s="1"/>
  <c r="Q53" i="1"/>
  <c r="S53" i="1" s="1"/>
  <c r="R354" i="1"/>
  <c r="T354" i="1" s="1"/>
  <c r="R208" i="1"/>
  <c r="T208" i="1" s="1"/>
  <c r="Q90" i="1"/>
  <c r="S90" i="1" s="1"/>
  <c r="R378" i="1"/>
  <c r="T378" i="1" s="1"/>
  <c r="R246" i="1"/>
  <c r="T246" i="1" s="1"/>
  <c r="Q517" i="1"/>
  <c r="S517" i="1" s="1"/>
  <c r="R452" i="1"/>
  <c r="T452" i="1" s="1"/>
  <c r="R287" i="1"/>
  <c r="T287" i="1" s="1"/>
  <c r="R166" i="1"/>
  <c r="T166" i="1" s="1"/>
  <c r="R498" i="1"/>
  <c r="T498" i="1" s="1"/>
  <c r="Q429" i="1"/>
  <c r="S429" i="1" s="1"/>
  <c r="Q236" i="1"/>
  <c r="S236" i="1" s="1"/>
  <c r="R383" i="1"/>
  <c r="T383" i="1" s="1"/>
  <c r="R268" i="1"/>
  <c r="T268" i="1" s="1"/>
  <c r="Q23" i="1"/>
  <c r="S23" i="1" s="1"/>
  <c r="R242" i="1"/>
  <c r="T242" i="1" s="1"/>
  <c r="R53" i="1"/>
  <c r="T53" i="1" s="1"/>
  <c r="R442" i="1"/>
  <c r="T442" i="1" s="1"/>
  <c r="R83" i="1"/>
  <c r="T83" i="1" s="1"/>
  <c r="Q374" i="1"/>
  <c r="S374" i="1" s="1"/>
  <c r="Q250" i="1"/>
  <c r="S250" i="1" s="1"/>
  <c r="Q408" i="1"/>
  <c r="S408" i="1" s="1"/>
  <c r="R90" i="1"/>
  <c r="T90" i="1" s="1"/>
  <c r="R545" i="1"/>
  <c r="T545" i="1" s="1"/>
  <c r="R99" i="1"/>
  <c r="T99" i="1" s="1"/>
  <c r="Q502" i="1"/>
  <c r="S502" i="1" s="1"/>
  <c r="O540" i="1"/>
  <c r="Q540" i="1"/>
  <c r="S540" i="1" s="1"/>
  <c r="O214" i="1"/>
  <c r="Q214" i="1"/>
  <c r="S214" i="1" s="1"/>
  <c r="O20" i="1"/>
  <c r="Q20" i="1"/>
  <c r="S20" i="1" s="1"/>
  <c r="Q417" i="1"/>
  <c r="S417" i="1" s="1"/>
  <c r="O80" i="1"/>
  <c r="Q80" i="1"/>
  <c r="S80" i="1" s="1"/>
  <c r="R150" i="1"/>
  <c r="T150" i="1" s="1"/>
  <c r="Q205" i="1"/>
  <c r="S205" i="1" s="1"/>
  <c r="O205" i="1"/>
  <c r="R332" i="1"/>
  <c r="T332" i="1" s="1"/>
  <c r="O278" i="1"/>
  <c r="Q278" i="1"/>
  <c r="S278" i="1" s="1"/>
  <c r="R219" i="1"/>
  <c r="T219" i="1" s="1"/>
  <c r="R230" i="1"/>
  <c r="T230" i="1" s="1"/>
  <c r="R424" i="1"/>
  <c r="T424" i="1" s="1"/>
  <c r="R182" i="1"/>
  <c r="T182" i="1" s="1"/>
  <c r="O351" i="1"/>
  <c r="Q351" i="1"/>
  <c r="S351" i="1" s="1"/>
  <c r="R561" i="1"/>
  <c r="T561" i="1" s="1"/>
  <c r="R247" i="1"/>
  <c r="T247" i="1" s="1"/>
  <c r="R460" i="1"/>
  <c r="T460" i="1" s="1"/>
  <c r="R487" i="1"/>
  <c r="T487" i="1" s="1"/>
  <c r="O482" i="1"/>
  <c r="Q482" i="1"/>
  <c r="S482" i="1" s="1"/>
  <c r="R449" i="1"/>
  <c r="T449" i="1" s="1"/>
  <c r="O496" i="1"/>
  <c r="Q496" i="1"/>
  <c r="S496" i="1" s="1"/>
  <c r="O253" i="1"/>
  <c r="R127" i="1"/>
  <c r="T127" i="1" s="1"/>
  <c r="O447" i="1"/>
  <c r="Q447" i="1"/>
  <c r="S447" i="1" s="1"/>
  <c r="O346" i="1"/>
  <c r="Q346" i="1"/>
  <c r="S346" i="1" s="1"/>
  <c r="R552" i="1"/>
  <c r="T552" i="1" s="1"/>
  <c r="O494" i="1"/>
  <c r="Q494" i="1"/>
  <c r="S494" i="1" s="1"/>
  <c r="O40" i="1"/>
  <c r="Q40" i="1"/>
  <c r="S40" i="1" s="1"/>
  <c r="Q339" i="1"/>
  <c r="S339" i="1" s="1"/>
  <c r="O339" i="1"/>
  <c r="O345" i="1"/>
  <c r="O524" i="1"/>
  <c r="Q524" i="1"/>
  <c r="S524" i="1" s="1"/>
  <c r="Q304" i="1"/>
  <c r="S304" i="1" s="1"/>
  <c r="O304" i="1"/>
  <c r="O298" i="1"/>
  <c r="Q298" i="1"/>
  <c r="S298" i="1" s="1"/>
  <c r="O55" i="1"/>
  <c r="Q55" i="1"/>
  <c r="S55" i="1" s="1"/>
  <c r="Q36" i="1"/>
  <c r="S36" i="1" s="1"/>
  <c r="O36" i="1"/>
  <c r="R293" i="1"/>
  <c r="T293" i="1" s="1"/>
  <c r="O464" i="1"/>
  <c r="Q464" i="1"/>
  <c r="S464" i="1" s="1"/>
  <c r="O37" i="1"/>
  <c r="R413" i="1"/>
  <c r="T413" i="1" s="1"/>
  <c r="R261" i="1"/>
  <c r="T261" i="1" s="1"/>
  <c r="O456" i="1"/>
  <c r="R414" i="1"/>
  <c r="T414" i="1" s="1"/>
  <c r="R521" i="1"/>
  <c r="T521" i="1" s="1"/>
  <c r="R507" i="1"/>
  <c r="T507" i="1" s="1"/>
  <c r="O557" i="1"/>
  <c r="Q475" i="1"/>
  <c r="S475" i="1" s="1"/>
  <c r="O475" i="1"/>
  <c r="R206" i="1"/>
  <c r="T206" i="1" s="1"/>
  <c r="R477" i="1"/>
  <c r="T477" i="1" s="1"/>
  <c r="R145" i="1"/>
  <c r="T145" i="1" s="1"/>
  <c r="R510" i="1"/>
  <c r="T510" i="1" s="1"/>
  <c r="R356" i="1"/>
  <c r="T356" i="1" s="1"/>
  <c r="R19" i="1"/>
  <c r="T19" i="1" s="1"/>
  <c r="O560" i="1"/>
  <c r="Q560" i="1"/>
  <c r="S560" i="1" s="1"/>
  <c r="R376" i="1"/>
  <c r="T376" i="1" s="1"/>
  <c r="O161" i="1"/>
  <c r="O76" i="1"/>
  <c r="Q76" i="1"/>
  <c r="S76" i="1" s="1"/>
  <c r="O334" i="1"/>
  <c r="Q334" i="1"/>
  <c r="S334" i="1" s="1"/>
  <c r="O487" i="1"/>
  <c r="Q487" i="1"/>
  <c r="S487" i="1" s="1"/>
  <c r="O471" i="1"/>
  <c r="Q471" i="1"/>
  <c r="S471" i="1" s="1"/>
  <c r="O108" i="1"/>
  <c r="Q108" i="1"/>
  <c r="S108" i="1" s="1"/>
  <c r="R39" i="1"/>
  <c r="T39" i="1" s="1"/>
  <c r="O353" i="1"/>
  <c r="O414" i="1"/>
  <c r="Q414" i="1"/>
  <c r="S414" i="1" s="1"/>
  <c r="R168" i="1"/>
  <c r="T168" i="1" s="1"/>
  <c r="R334" i="1"/>
  <c r="T334" i="1" s="1"/>
  <c r="O237" i="1"/>
  <c r="Q237" i="1"/>
  <c r="S237" i="1" s="1"/>
  <c r="R285" i="1"/>
  <c r="T285" i="1" s="1"/>
  <c r="O14" i="1"/>
  <c r="Q14" i="1"/>
  <c r="S14" i="1" s="1"/>
  <c r="R483" i="1"/>
  <c r="T483" i="1" s="1"/>
  <c r="R524" i="1"/>
  <c r="T524" i="1" s="1"/>
  <c r="R546" i="1"/>
  <c r="T546" i="1" s="1"/>
  <c r="O48" i="1"/>
  <c r="O72" i="1"/>
  <c r="O324" i="1"/>
  <c r="Q324" i="1"/>
  <c r="S324" i="1" s="1"/>
  <c r="O349" i="1"/>
  <c r="R144" i="1"/>
  <c r="T144" i="1" s="1"/>
  <c r="Q164" i="1"/>
  <c r="S164" i="1" s="1"/>
  <c r="O164" i="1"/>
  <c r="O515" i="1"/>
  <c r="Q515" i="1"/>
  <c r="S515" i="1" s="1"/>
  <c r="R459" i="1"/>
  <c r="T459" i="1" s="1"/>
  <c r="R120" i="1"/>
  <c r="T120" i="1" s="1"/>
  <c r="R10" i="1"/>
  <c r="T10" i="1" s="1"/>
  <c r="R254" i="1"/>
  <c r="T254" i="1" s="1"/>
  <c r="O364" i="1"/>
  <c r="Q364" i="1"/>
  <c r="S364" i="1" s="1"/>
  <c r="R331" i="1"/>
  <c r="T331" i="1" s="1"/>
  <c r="O401" i="1"/>
  <c r="O252" i="1"/>
  <c r="Q252" i="1"/>
  <c r="S252" i="1" s="1"/>
  <c r="O455" i="1"/>
  <c r="Q455" i="1"/>
  <c r="S455" i="1" s="1"/>
  <c r="Q556" i="1"/>
  <c r="S556" i="1" s="1"/>
  <c r="R547" i="1"/>
  <c r="T547" i="1" s="1"/>
  <c r="O478" i="1"/>
  <c r="Q478" i="1"/>
  <c r="S478" i="1" s="1"/>
  <c r="R394" i="1"/>
  <c r="T394" i="1" s="1"/>
  <c r="O28" i="1"/>
  <c r="Q28" i="1"/>
  <c r="S28" i="1" s="1"/>
  <c r="R209" i="1"/>
  <c r="T209" i="1" s="1"/>
  <c r="Q174" i="1"/>
  <c r="S174" i="1" s="1"/>
  <c r="O174" i="1"/>
  <c r="Q154" i="1"/>
  <c r="S154" i="1" s="1"/>
  <c r="O154" i="1"/>
  <c r="O118" i="1"/>
  <c r="O150" i="1"/>
  <c r="Q150" i="1"/>
  <c r="S150" i="1" s="1"/>
  <c r="O497" i="1"/>
  <c r="R490" i="1"/>
  <c r="T490" i="1" s="1"/>
  <c r="O175" i="1"/>
  <c r="Q175" i="1"/>
  <c r="S175" i="1" s="1"/>
  <c r="O443" i="1"/>
  <c r="Q443" i="1"/>
  <c r="S443" i="1" s="1"/>
  <c r="O203" i="1"/>
  <c r="Q203" i="1"/>
  <c r="S203" i="1" s="1"/>
  <c r="R318" i="1"/>
  <c r="T318" i="1" s="1"/>
  <c r="R25" i="1"/>
  <c r="T25" i="1" s="1"/>
  <c r="Q294" i="1"/>
  <c r="S294" i="1" s="1"/>
  <c r="O294" i="1"/>
  <c r="R107" i="1"/>
  <c r="T107" i="1" s="1"/>
  <c r="O532" i="1"/>
  <c r="Q532" i="1"/>
  <c r="S532" i="1" s="1"/>
  <c r="R560" i="1"/>
  <c r="T560" i="1" s="1"/>
  <c r="O209" i="1"/>
  <c r="Q209" i="1"/>
  <c r="S209" i="1" s="1"/>
  <c r="O92" i="1"/>
  <c r="Q92" i="1"/>
  <c r="S92" i="1" s="1"/>
  <c r="R64" i="1"/>
  <c r="T64" i="1" s="1"/>
  <c r="O275" i="1"/>
  <c r="Q275" i="1"/>
  <c r="S275" i="1" s="1"/>
  <c r="R348" i="1"/>
  <c r="T348" i="1" s="1"/>
  <c r="O380" i="1"/>
  <c r="Q380" i="1"/>
  <c r="S380" i="1" s="1"/>
  <c r="O370" i="1"/>
  <c r="Q370" i="1"/>
  <c r="S370" i="1" s="1"/>
  <c r="R529" i="1"/>
  <c r="T529" i="1" s="1"/>
  <c r="R393" i="1"/>
  <c r="T393" i="1" s="1"/>
  <c r="O101" i="1"/>
  <c r="Q101" i="1"/>
  <c r="S101" i="1" s="1"/>
  <c r="O139" i="1"/>
  <c r="Q139" i="1"/>
  <c r="S139" i="1" s="1"/>
  <c r="O337" i="1"/>
  <c r="R335" i="1"/>
  <c r="T335" i="1" s="1"/>
  <c r="O360" i="1"/>
  <c r="Q360" i="1"/>
  <c r="S360" i="1" s="1"/>
  <c r="O51" i="1"/>
  <c r="Q51" i="1"/>
  <c r="S51" i="1" s="1"/>
  <c r="O332" i="1"/>
  <c r="Q332" i="1"/>
  <c r="S332" i="1" s="1"/>
  <c r="R214" i="1"/>
  <c r="T214" i="1" s="1"/>
  <c r="O4" i="1"/>
  <c r="Q4" i="1"/>
  <c r="S4" i="1" s="1"/>
  <c r="O280" i="1"/>
  <c r="Q280" i="1"/>
  <c r="S280" i="1" s="1"/>
  <c r="O554" i="1"/>
  <c r="Q554" i="1"/>
  <c r="S554" i="1" s="1"/>
  <c r="Q10" i="1"/>
  <c r="S10" i="1" s="1"/>
  <c r="O10" i="1"/>
  <c r="Q437" i="1"/>
  <c r="S437" i="1" s="1"/>
  <c r="O437" i="1"/>
  <c r="O109" i="1"/>
  <c r="O525" i="1"/>
  <c r="Q525" i="1"/>
  <c r="S525" i="1" s="1"/>
  <c r="O361" i="1"/>
  <c r="Q361" i="1"/>
  <c r="S361" i="1" s="1"/>
  <c r="O96" i="1"/>
  <c r="Q96" i="1"/>
  <c r="S96" i="1" s="1"/>
  <c r="O501" i="1"/>
  <c r="R178" i="1"/>
  <c r="T178" i="1" s="1"/>
  <c r="Q167" i="1"/>
  <c r="S167" i="1" s="1"/>
  <c r="O167" i="1"/>
  <c r="Q47" i="1"/>
  <c r="S47" i="1" s="1"/>
  <c r="O47" i="1"/>
  <c r="O561" i="1"/>
  <c r="Q561" i="1"/>
  <c r="S561" i="1" s="1"/>
  <c r="Q379" i="1"/>
  <c r="S379" i="1" s="1"/>
  <c r="O379" i="1"/>
  <c r="O344" i="1"/>
  <c r="Q344" i="1"/>
  <c r="S344" i="1" s="1"/>
  <c r="Q505" i="1"/>
  <c r="S505" i="1" s="1"/>
  <c r="O505" i="1"/>
  <c r="R386" i="1"/>
  <c r="T386" i="1" s="1"/>
  <c r="O288" i="1"/>
  <c r="Q288" i="1"/>
  <c r="S288" i="1" s="1"/>
  <c r="O533" i="1"/>
  <c r="Q533" i="1"/>
  <c r="S533" i="1" s="1"/>
  <c r="R213" i="1"/>
  <c r="T213" i="1" s="1"/>
  <c r="R347" i="1"/>
  <c r="T347" i="1" s="1"/>
  <c r="Q15" i="1"/>
  <c r="S15" i="1" s="1"/>
  <c r="O15" i="1"/>
  <c r="R35" i="1"/>
  <c r="T35" i="1" s="1"/>
  <c r="R435" i="1"/>
  <c r="T435" i="1" s="1"/>
  <c r="R140" i="1"/>
  <c r="T140" i="1" s="1"/>
  <c r="O307" i="1"/>
  <c r="Q307" i="1"/>
  <c r="S307" i="1" s="1"/>
  <c r="O285" i="1"/>
  <c r="Q285" i="1"/>
  <c r="S285" i="1" s="1"/>
  <c r="R167" i="1"/>
  <c r="T167" i="1" s="1"/>
  <c r="R388" i="1"/>
  <c r="T388" i="1" s="1"/>
  <c r="R440" i="1"/>
  <c r="T440" i="1" s="1"/>
  <c r="O362" i="1"/>
  <c r="R410" i="1"/>
  <c r="T410" i="1" s="1"/>
  <c r="O407" i="1"/>
  <c r="O74" i="1"/>
  <c r="Q74" i="1"/>
  <c r="S74" i="1" s="1"/>
  <c r="R169" i="1"/>
  <c r="T169" i="1" s="1"/>
  <c r="O190" i="1"/>
  <c r="R132" i="1"/>
  <c r="T132" i="1" s="1"/>
  <c r="O97" i="1"/>
  <c r="Q97" i="1"/>
  <c r="S97" i="1" s="1"/>
  <c r="O69" i="1"/>
  <c r="Q69" i="1"/>
  <c r="S69" i="1" s="1"/>
  <c r="Q230" i="1"/>
  <c r="S230" i="1" s="1"/>
  <c r="O230" i="1"/>
  <c r="R91" i="1"/>
  <c r="T91" i="1" s="1"/>
  <c r="R280" i="1"/>
  <c r="T280" i="1" s="1"/>
  <c r="R323" i="1"/>
  <c r="T323" i="1" s="1"/>
  <c r="R458" i="1"/>
  <c r="T458" i="1" s="1"/>
  <c r="O530" i="1"/>
  <c r="R511" i="1"/>
  <c r="T511" i="1" s="1"/>
  <c r="R274" i="1"/>
  <c r="T274" i="1" s="1"/>
  <c r="Q551" i="1"/>
  <c r="S551" i="1" s="1"/>
  <c r="O551" i="1"/>
  <c r="O176" i="1"/>
  <c r="O396" i="1"/>
  <c r="Q396" i="1"/>
  <c r="S396" i="1" s="1"/>
  <c r="O539" i="1"/>
  <c r="Q539" i="1"/>
  <c r="S539" i="1" s="1"/>
  <c r="O107" i="1"/>
  <c r="Q107" i="1"/>
  <c r="S107" i="1" s="1"/>
  <c r="O506" i="1"/>
  <c r="Q506" i="1"/>
  <c r="S506" i="1" s="1"/>
  <c r="O11" i="1"/>
  <c r="Q11" i="1"/>
  <c r="S11" i="1" s="1"/>
  <c r="R163" i="1"/>
  <c r="T163" i="1" s="1"/>
  <c r="Q181" i="1"/>
  <c r="S181" i="1" s="1"/>
  <c r="O181" i="1"/>
  <c r="R224" i="1"/>
  <c r="T224" i="1" s="1"/>
  <c r="O68" i="1"/>
  <c r="R237" i="1"/>
  <c r="T237" i="1" s="1"/>
  <c r="O17" i="1"/>
  <c r="R496" i="1"/>
  <c r="T496" i="1" s="1"/>
  <c r="O146" i="1"/>
  <c r="Q146" i="1"/>
  <c r="S146" i="1" s="1"/>
  <c r="R381" i="1"/>
  <c r="T381" i="1" s="1"/>
  <c r="R471" i="1"/>
  <c r="T471" i="1" s="1"/>
  <c r="O410" i="1"/>
  <c r="Q410" i="1"/>
  <c r="S410" i="1" s="1"/>
  <c r="R319" i="1"/>
  <c r="T319" i="1" s="1"/>
  <c r="Q199" i="1"/>
  <c r="S199" i="1" s="1"/>
  <c r="O199" i="1"/>
  <c r="R131" i="1"/>
  <c r="T131" i="1" s="1"/>
  <c r="Q265" i="1"/>
  <c r="S265" i="1" s="1"/>
  <c r="O265" i="1"/>
  <c r="R515" i="1"/>
  <c r="T515" i="1" s="1"/>
  <c r="O113" i="1"/>
  <c r="Q113" i="1"/>
  <c r="S113" i="1" s="1"/>
  <c r="O46" i="1"/>
  <c r="Q46" i="1"/>
  <c r="S46" i="1" s="1"/>
  <c r="R111" i="1"/>
  <c r="T111" i="1" s="1"/>
  <c r="R294" i="1"/>
  <c r="T294" i="1" s="1"/>
  <c r="R238" i="1"/>
  <c r="T238" i="1" s="1"/>
  <c r="O458" i="1"/>
  <c r="Q458" i="1"/>
  <c r="S458" i="1" s="1"/>
  <c r="R271" i="1"/>
  <c r="T271" i="1" s="1"/>
  <c r="Q467" i="1"/>
  <c r="S467" i="1" s="1"/>
  <c r="O467" i="1"/>
  <c r="O269" i="1"/>
  <c r="Q269" i="1"/>
  <c r="S269" i="1" s="1"/>
  <c r="R301" i="1"/>
  <c r="T301" i="1" s="1"/>
  <c r="O536" i="1"/>
  <c r="Q536" i="1"/>
  <c r="S536" i="1" s="1"/>
  <c r="R385" i="1"/>
  <c r="T385" i="1" s="1"/>
  <c r="O386" i="1"/>
  <c r="Q386" i="1"/>
  <c r="S386" i="1" s="1"/>
  <c r="Q465" i="1"/>
  <c r="S465" i="1" s="1"/>
  <c r="O465" i="1"/>
  <c r="Q202" i="1"/>
  <c r="S202" i="1" s="1"/>
  <c r="O202" i="1"/>
  <c r="R227" i="1"/>
  <c r="T227" i="1" s="1"/>
  <c r="Q24" i="1"/>
  <c r="S24" i="1" s="1"/>
  <c r="O24" i="1"/>
  <c r="O453" i="1"/>
  <c r="Q453" i="1"/>
  <c r="S453" i="1" s="1"/>
  <c r="O321" i="1"/>
  <c r="O508" i="1"/>
  <c r="O555" i="1"/>
  <c r="R7" i="1"/>
  <c r="T7" i="1" s="1"/>
  <c r="O476" i="1"/>
  <c r="Q476" i="1"/>
  <c r="S476" i="1" s="1"/>
  <c r="O256" i="1"/>
  <c r="Q256" i="1"/>
  <c r="S256" i="1" s="1"/>
  <c r="R278" i="1"/>
  <c r="T278" i="1" s="1"/>
  <c r="R154" i="1"/>
  <c r="T154" i="1" s="1"/>
  <c r="R252" i="1"/>
  <c r="T252" i="1" s="1"/>
  <c r="O490" i="1"/>
  <c r="Q490" i="1"/>
  <c r="S490" i="1" s="1"/>
  <c r="O450" i="1"/>
  <c r="Q450" i="1"/>
  <c r="S450" i="1" s="1"/>
  <c r="O433" i="1"/>
  <c r="R360" i="1"/>
  <c r="T360" i="1" s="1"/>
  <c r="R29" i="1"/>
  <c r="T29" i="1" s="1"/>
  <c r="R255" i="1"/>
  <c r="T255" i="1" s="1"/>
  <c r="O22" i="1"/>
  <c r="R160" i="1"/>
  <c r="T160" i="1" s="1"/>
  <c r="Q239" i="1"/>
  <c r="S239" i="1" s="1"/>
  <c r="O239" i="1"/>
  <c r="R351" i="1"/>
  <c r="T351" i="1" s="1"/>
  <c r="O271" i="1"/>
  <c r="Q271" i="1"/>
  <c r="S271" i="1" s="1"/>
  <c r="O149" i="1"/>
  <c r="Q149" i="1"/>
  <c r="S149" i="1" s="1"/>
  <c r="R149" i="1"/>
  <c r="T149" i="1" s="1"/>
  <c r="R297" i="1"/>
  <c r="T297" i="1" s="1"/>
  <c r="O223" i="1"/>
  <c r="Q223" i="1"/>
  <c r="S223" i="1" s="1"/>
  <c r="O301" i="1"/>
  <c r="Q301" i="1"/>
  <c r="S301" i="1" s="1"/>
  <c r="R136" i="1"/>
  <c r="T136" i="1" s="1"/>
  <c r="R444" i="1"/>
  <c r="T444" i="1" s="1"/>
  <c r="O120" i="1"/>
  <c r="Q120" i="1"/>
  <c r="S120" i="1" s="1"/>
  <c r="R117" i="1"/>
  <c r="T117" i="1" s="1"/>
  <c r="O439" i="1"/>
  <c r="Q439" i="1"/>
  <c r="S439" i="1" s="1"/>
  <c r="R465" i="1"/>
  <c r="T465" i="1" s="1"/>
  <c r="Q141" i="1"/>
  <c r="S141" i="1" s="1"/>
  <c r="O141" i="1"/>
  <c r="O460" i="1"/>
  <c r="Q460" i="1"/>
  <c r="S460" i="1" s="1"/>
  <c r="R76" i="1"/>
  <c r="T76" i="1" s="1"/>
  <c r="O543" i="1"/>
  <c r="Q543" i="1"/>
  <c r="S543" i="1" s="1"/>
  <c r="Q188" i="1"/>
  <c r="S188" i="1" s="1"/>
  <c r="O188" i="1"/>
  <c r="O140" i="1"/>
  <c r="Q140" i="1"/>
  <c r="S140" i="1" s="1"/>
  <c r="O155" i="1"/>
  <c r="O100" i="1"/>
  <c r="Q100" i="1"/>
  <c r="S100" i="1" s="1"/>
  <c r="O159" i="1"/>
  <c r="Q159" i="1"/>
  <c r="S159" i="1" s="1"/>
  <c r="O425" i="1"/>
  <c r="Q425" i="1"/>
  <c r="S425" i="1" s="1"/>
  <c r="R320" i="1"/>
  <c r="T320" i="1" s="1"/>
  <c r="O347" i="1"/>
  <c r="Q347" i="1"/>
  <c r="S347" i="1" s="1"/>
  <c r="O163" i="1"/>
  <c r="Q163" i="1"/>
  <c r="S163" i="1" s="1"/>
  <c r="R103" i="1"/>
  <c r="T103" i="1" s="1"/>
  <c r="Q368" i="1"/>
  <c r="S368" i="1" s="1"/>
  <c r="O368" i="1"/>
  <c r="R375" i="1"/>
  <c r="T375" i="1" s="1"/>
  <c r="O355" i="1"/>
  <c r="Q355" i="1"/>
  <c r="S355" i="1" s="1"/>
  <c r="O468" i="1"/>
  <c r="Q468" i="1"/>
  <c r="S468" i="1" s="1"/>
  <c r="R88" i="1"/>
  <c r="T88" i="1" s="1"/>
  <c r="R8" i="1"/>
  <c r="T8" i="1" s="1"/>
  <c r="R125" i="1"/>
  <c r="T125" i="1" s="1"/>
  <c r="O381" i="1"/>
  <c r="Q381" i="1"/>
  <c r="S381" i="1" s="1"/>
  <c r="O79" i="1"/>
  <c r="Q79" i="1"/>
  <c r="S79" i="1" s="1"/>
  <c r="O212" i="1"/>
  <c r="O357" i="1"/>
  <c r="Q357" i="1"/>
  <c r="S357" i="1" s="1"/>
  <c r="Q472" i="1"/>
  <c r="S472" i="1" s="1"/>
  <c r="O472" i="1"/>
  <c r="O395" i="1"/>
  <c r="O514" i="1"/>
  <c r="Q514" i="1"/>
  <c r="S514" i="1" s="1"/>
  <c r="O6" i="1"/>
  <c r="Q6" i="1"/>
  <c r="S6" i="1" s="1"/>
  <c r="O54" i="1"/>
  <c r="Q54" i="1"/>
  <c r="S54" i="1" s="1"/>
  <c r="R92" i="1"/>
  <c r="T92" i="1" s="1"/>
  <c r="R380" i="1"/>
  <c r="T380" i="1" s="1"/>
  <c r="O446" i="1"/>
  <c r="Q446" i="1"/>
  <c r="S446" i="1" s="1"/>
  <c r="R121" i="1"/>
  <c r="T121" i="1" s="1"/>
  <c r="O286" i="1"/>
  <c r="O438" i="1"/>
  <c r="Q16" i="1"/>
  <c r="S16" i="1" s="1"/>
  <c r="O16" i="1"/>
  <c r="O436" i="1"/>
  <c r="Q436" i="1"/>
  <c r="S436" i="1" s="1"/>
  <c r="Q168" i="1"/>
  <c r="S168" i="1" s="1"/>
  <c r="O168" i="1"/>
  <c r="Q39" i="1"/>
  <c r="S39" i="1" s="1"/>
  <c r="O39" i="1"/>
  <c r="R304" i="1"/>
  <c r="T304" i="1" s="1"/>
  <c r="R14" i="1"/>
  <c r="T14" i="1" s="1"/>
  <c r="R416" i="1"/>
  <c r="T416" i="1" s="1"/>
  <c r="O546" i="1"/>
  <c r="Q546" i="1"/>
  <c r="S546" i="1" s="1"/>
  <c r="R153" i="1"/>
  <c r="T153" i="1" s="1"/>
  <c r="O257" i="1"/>
  <c r="O449" i="1"/>
  <c r="Q449" i="1"/>
  <c r="S449" i="1" s="1"/>
  <c r="O331" i="1"/>
  <c r="Q331" i="1"/>
  <c r="S331" i="1" s="1"/>
  <c r="R425" i="1"/>
  <c r="T425" i="1" s="1"/>
  <c r="Q213" i="1"/>
  <c r="S213" i="1" s="1"/>
  <c r="O213" i="1"/>
  <c r="O466" i="1"/>
  <c r="Q557" i="1" l="1"/>
  <c r="S557" i="1" s="1"/>
  <c r="Q416" i="1"/>
  <c r="S41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<sst xmlns="http://schemas.openxmlformats.org/spreadsheetml/2006/main" count="764" uniqueCount="92">
  <si>
    <t>UF</t>
  </si>
  <si>
    <t>CIDADE</t>
  </si>
  <si>
    <t>CODIGO_IBGE</t>
  </si>
  <si>
    <t>OPERADORA</t>
  </si>
  <si>
    <t>GRUPO_OPERADORA</t>
  </si>
  <si>
    <t>FONTE_SITE</t>
  </si>
  <si>
    <t>TIPO_OFERTA</t>
  </si>
  <si>
    <t>NOME_OFERTA</t>
  </si>
  <si>
    <t>TECNOLOGIA</t>
  </si>
  <si>
    <t>VELOCIDADE_MB</t>
  </si>
  <si>
    <t>FRANQUIA_MOVEL_GB</t>
  </si>
  <si>
    <t>PRECO_MENSAL</t>
  </si>
  <si>
    <t>PRECO_PROMOCIONAL</t>
  </si>
  <si>
    <t>PERIODO_PROMOCIONAL_MESES</t>
  </si>
  <si>
    <t>PRECO_POR_MB</t>
  </si>
  <si>
    <t>BENEFICIOS</t>
  </si>
  <si>
    <t>DIFERENCA_PRECO_VS_CLARO</t>
  </si>
  <si>
    <t>DIFERENCA_VELOCIDADE_VS_CLARO</t>
  </si>
  <si>
    <t>CLASSIFICACAO_PRECO</t>
  </si>
  <si>
    <t>CLASSIFICACAO_VELOCIDADE</t>
  </si>
  <si>
    <t>DATA_REFERENCIA</t>
  </si>
  <si>
    <t>TERRITORIO</t>
  </si>
  <si>
    <t>GRUPO_OFERTA</t>
  </si>
  <si>
    <t>CEP</t>
  </si>
  <si>
    <t>https://www.claro.com.br/internet</t>
  </si>
  <si>
    <t>https://vivo.com.br/para-voce/produtos-e-servicos/para-casa/internet</t>
  </si>
  <si>
    <t>500M+70GB=R$160,00</t>
  </si>
  <si>
    <t>500 Mbps</t>
  </si>
  <si>
    <t>https://cabonnet.com.br/</t>
  </si>
  <si>
    <t>https://www.desktop.com.br/internet/</t>
  </si>
  <si>
    <t>https://querovero.com.br/para-voce/planos-internet-residencial</t>
  </si>
  <si>
    <t>https://brayo.com.br/</t>
  </si>
  <si>
    <t>https://www.alaresinternet.com.br/</t>
  </si>
  <si>
    <t>https://sostelecom.net.br/</t>
  </si>
  <si>
    <t>https://www.weclix.com.br/planos/</t>
  </si>
  <si>
    <t>https://www.teleson.net.br/</t>
  </si>
  <si>
    <t>https://connectatelecom.net/</t>
  </si>
  <si>
    <t>https://votitelecom.com.br/</t>
  </si>
  <si>
    <t>https://loja.algar.com.br/</t>
  </si>
  <si>
    <t>https://www.netfasttelecom.net.br/</t>
  </si>
  <si>
    <t>https://xturbo.com.br/</t>
  </si>
  <si>
    <t>https://www.netaki.com.br/</t>
  </si>
  <si>
    <t>https://www.zaaztelecom.com.br/</t>
  </si>
  <si>
    <t>https://portal.oquei.com.br/</t>
  </si>
  <si>
    <t>https://nicnet.com.br/</t>
  </si>
  <si>
    <t>https://alcans.com.br/</t>
  </si>
  <si>
    <t>https://aonet.com.br/</t>
  </si>
  <si>
    <t>https://alloha.com/</t>
  </si>
  <si>
    <t>https://fliptelecom.com.br/</t>
  </si>
  <si>
    <t>https://connect10.com.br/</t>
  </si>
  <si>
    <t>https://www.g2gfibra.com.br/</t>
  </si>
  <si>
    <t>https://www.g6internet.com.br/</t>
  </si>
  <si>
    <t>https://eagleredes.com.br/</t>
  </si>
  <si>
    <t>https://netflexbr.com/</t>
  </si>
  <si>
    <t>https://netnz.com.br/</t>
  </si>
  <si>
    <t>https://www.dbnet.com.vc/</t>
  </si>
  <si>
    <t>https://www.updowntelecom.com.br/</t>
  </si>
  <si>
    <t>https://www.descalnet.com.br/descalvado/</t>
  </si>
  <si>
    <t>https://telemidia.net.br/</t>
  </si>
  <si>
    <t>https://www.flashnetfernandopolis.com.br/</t>
  </si>
  <si>
    <t>https://life.com.br/</t>
  </si>
  <si>
    <t>https://www.provale.com.br/internet</t>
  </si>
  <si>
    <t>https://clicknet.com.br/</t>
  </si>
  <si>
    <t>https://aguianet.net.br/</t>
  </si>
  <si>
    <t>https://indaiafibra.com.br/</t>
  </si>
  <si>
    <t>https://www.eteccnet.com.br/</t>
  </si>
  <si>
    <t>https://mhnet.com.br/</t>
  </si>
  <si>
    <t>https://bsconect.com.br/</t>
  </si>
  <si>
    <t>https://webroute.com.br/</t>
  </si>
  <si>
    <t>https://netjacarei.com.br/</t>
  </si>
  <si>
    <t>https://vendas.melfinet.com.br/</t>
  </si>
  <si>
    <t>https://davoi.com.br/</t>
  </si>
  <si>
    <t>https://velloznet.com.br/</t>
  </si>
  <si>
    <t>https://exon.net.br/</t>
  </si>
  <si>
    <t>http://central.process.com.br/</t>
  </si>
  <si>
    <t>https://www.insidesign.com.br/</t>
  </si>
  <si>
    <t>https://www.neolink.com.br/</t>
  </si>
  <si>
    <t>https://turboxinternet.com.br/</t>
  </si>
  <si>
    <t>https://site.ibiunet.com.br/</t>
  </si>
  <si>
    <t>https://www.rvatelecom.com.br/</t>
  </si>
  <si>
    <t>https://hr-net.com.br/</t>
  </si>
  <si>
    <t>https://site.portonet.net.br/</t>
  </si>
  <si>
    <t>https://www.thsprovider.com.br/</t>
  </si>
  <si>
    <t>https://www.expandtelecom.com.br/</t>
  </si>
  <si>
    <t>https://www.talklink.com.br/</t>
  </si>
  <si>
    <t>https://nuvyon.com.br/</t>
  </si>
  <si>
    <t>https://n4telecom.com.br/</t>
  </si>
  <si>
    <t>https://nipbr.com.br/</t>
  </si>
  <si>
    <t>https://www.poxnet.com.br/</t>
  </si>
  <si>
    <t>https://fibralider.net.br/</t>
  </si>
  <si>
    <t>https://trixnet.com.br/</t>
  </si>
  <si>
    <t>https://fnettelecom.com.br/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</si>
</sst>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#,##0&quot; Mbps&quot;"/>
    <numFmt numFmtId="165" formatCode="#,##0&quot; GB&quot;"/>
    <numFmt numFmtId="166" formatCode="&quot;R$&quot;\ #,##0.00"/>
    <numFmt numFmtId="167" formatCode="&quot;R$&quot;\ #,##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8" fontId="0" fillId="0" borderId="0" xfId="0" applyNumberFormat="1"/>
    <xf numFmtId="38" fontId="0" fillId="0" borderId="0" xfId="0" applyNumberFormat="1"/>
    <xf numFmtId="14" fontId="0" fillId="0" borderId="0" xfId="0" applyNumberFormat="1"/>
    <xf numFmtId="0" fontId="2" fillId="0" borderId="0" xfId="1" applyNumberFormat="1"/>
    <xf numFmtId="164" fontId="0" fillId="0" borderId="0" xfId="0" applyNumberFormat="1" applyAlignment="1">
      <alignment horizontal="right"/>
    </xf>
    <xf numFmtId="49" fontId="0" fillId="0" borderId="0" xfId="0" applyNumberFormat="1"/>
  </cellXfs>
  <cellStyles count="2">
    <cellStyle name="Hiperlink" xfId="1" builtinId="8"/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6" formatCode="#,##0;[Red]\-#,##0"/>
    </dxf>
    <dxf>
      <numFmt numFmtId="12" formatCode="&quot;R$&quot;\ #,##0.00;[Red]\-&quot;R$&quot;\ #,##0.00"/>
    </dxf>
    <dxf>
      <numFmt numFmtId="0" formatCode="General"/>
    </dxf>
    <dxf>
      <numFmt numFmtId="167" formatCode="&quot;R$&quot;\ #,##0.0000"/>
    </dxf>
    <dxf>
      <numFmt numFmtId="1" formatCode="0"/>
    </dxf>
    <dxf>
      <numFmt numFmtId="166" formatCode="&quot;R$&quot;\ #,##0.00"/>
    </dxf>
    <dxf>
      <numFmt numFmtId="166" formatCode="&quot;R$&quot;\ #,##0.00"/>
    </dxf>
    <dxf>
      <numFmt numFmtId="165" formatCode="#,##0&quot; GB&quot;"/>
    </dxf>
    <dxf>
      <numFmt numFmtId="164" formatCode="#,##0&quot; Mbps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pclarobr-my.sharepoint.com/personal/anderson_morais_claro_com_br/Documents/&#193;rea%20de%20Trabalho/Dashboard%20de%20Oferta_Atualizado/Dashboard%20de%20Oferta_RSI_09.xlsx" TargetMode="External"/><Relationship Id="rId1" Type="http://schemas.openxmlformats.org/officeDocument/2006/relationships/externalLinkPath" Target="Dashboard%20de%20Oferta_Atualizado/Dashboard%20de%20Oferta_RSI_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PEAMENTO DE OFERTA"/>
      <sheetName val="DADOS ANATEL"/>
      <sheetName val="Planilha3"/>
      <sheetName val="STAGE_ANATEL"/>
      <sheetName val="DIM_CIDADE"/>
      <sheetName val="STAGE_OFERTAS"/>
      <sheetName val="BASE_TRATADA"/>
      <sheetName val="DIM_MERCADO"/>
      <sheetName val="SERIE_IDX"/>
      <sheetName val="LIDERANCA_CIDADES"/>
      <sheetName val="COMPARATIVO_OFERTAS"/>
      <sheetName val="Planilha2"/>
      <sheetName val="Planilha1"/>
      <sheetName val="AUX_CLARO"/>
      <sheetName val="AGG_CIDADE"/>
      <sheetName val="INDICADORES_DASHBOARD"/>
      <sheetName val="DICIONARIO_DADOS"/>
      <sheetName val="QUALIDADE_DADOS"/>
      <sheetName val="OFERTAS_MOVEIS"/>
      <sheetName val="RESUMO_MOVEIS"/>
      <sheetName val="MAP_OFERTA_IDX"/>
      <sheetName val="MAP_ENRIQUECIMEN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B1" t="str">
            <v>IBGE</v>
          </cell>
          <cell r="C1" t="str">
            <v>TERRITORIAL</v>
          </cell>
          <cell r="D1" t="str">
            <v>TERRITORIO</v>
          </cell>
          <cell r="E1" t="str">
            <v>REGIONAL</v>
          </cell>
          <cell r="F1" t="str">
            <v>SEGMENTO</v>
          </cell>
          <cell r="G1" t="str">
            <v>DDD</v>
          </cell>
          <cell r="H1" t="str">
            <v>CEP</v>
          </cell>
        </row>
        <row r="2">
          <cell r="B2">
            <v>3509502</v>
          </cell>
          <cell r="C2" t="str">
            <v>SILVIO BORGES</v>
          </cell>
          <cell r="D2" t="str">
            <v>CENTRAL</v>
          </cell>
          <cell r="E2" t="str">
            <v>GM_RSI</v>
          </cell>
          <cell r="F2" t="str">
            <v>GRANDES MERCADOS</v>
          </cell>
          <cell r="G2">
            <v>19</v>
          </cell>
          <cell r="H2" t="str">
            <v>13000-001</v>
          </cell>
        </row>
        <row r="3">
          <cell r="B3">
            <v>3549904</v>
          </cell>
          <cell r="C3" t="str">
            <v>CAMILA STEFANELLI</v>
          </cell>
          <cell r="D3" t="str">
            <v>LITORAL</v>
          </cell>
          <cell r="E3" t="str">
            <v>GM_RSI</v>
          </cell>
          <cell r="F3" t="str">
            <v>GRANDES MERCADOS</v>
          </cell>
          <cell r="G3">
            <v>12</v>
          </cell>
          <cell r="H3" t="str">
            <v>12200-001</v>
          </cell>
        </row>
        <row r="4">
          <cell r="B4">
            <v>3552205</v>
          </cell>
          <cell r="C4" t="str">
            <v>RAFAEL LOPES</v>
          </cell>
          <cell r="D4" t="str">
            <v>OESTE</v>
          </cell>
          <cell r="E4" t="str">
            <v>GM_RSI</v>
          </cell>
          <cell r="F4" t="str">
            <v>GRANDES MERCADOS</v>
          </cell>
          <cell r="G4">
            <v>15</v>
          </cell>
          <cell r="H4" t="str">
            <v>18000-001</v>
          </cell>
        </row>
        <row r="5">
          <cell r="B5">
            <v>3538709</v>
          </cell>
          <cell r="C5" t="str">
            <v>SILVIO BORGES</v>
          </cell>
          <cell r="D5" t="str">
            <v>CENTRAL</v>
          </cell>
          <cell r="E5" t="str">
            <v>GM_RSI</v>
          </cell>
          <cell r="F5" t="str">
            <v>GRANDES MERCADOS</v>
          </cell>
          <cell r="G5">
            <v>19</v>
          </cell>
          <cell r="H5" t="str">
            <v>13400-001</v>
          </cell>
        </row>
        <row r="6">
          <cell r="B6">
            <v>3549805</v>
          </cell>
          <cell r="C6" t="str">
            <v>RAFAEL LOPES</v>
          </cell>
          <cell r="D6" t="str">
            <v>OESTE</v>
          </cell>
          <cell r="E6" t="str">
            <v>GM_RSI</v>
          </cell>
          <cell r="F6" t="str">
            <v>GRANDES MERCADOS</v>
          </cell>
          <cell r="G6">
            <v>17</v>
          </cell>
          <cell r="H6" t="str">
            <v>15000-001</v>
          </cell>
        </row>
        <row r="7">
          <cell r="B7">
            <v>3543402</v>
          </cell>
          <cell r="C7" t="str">
            <v>RAFAEL LOPES</v>
          </cell>
          <cell r="D7" t="str">
            <v>OESTE</v>
          </cell>
          <cell r="E7" t="str">
            <v>GM_RSI</v>
          </cell>
          <cell r="F7" t="str">
            <v>GRANDES MERCADOS</v>
          </cell>
          <cell r="G7">
            <v>16</v>
          </cell>
          <cell r="H7" t="str">
            <v>14000-001</v>
          </cell>
        </row>
        <row r="8">
          <cell r="B8">
            <v>3548500</v>
          </cell>
          <cell r="C8" t="str">
            <v>CAMILA STEFANELLI</v>
          </cell>
          <cell r="D8" t="str">
            <v>LITORAL</v>
          </cell>
          <cell r="E8" t="str">
            <v>GM_RSI</v>
          </cell>
          <cell r="F8" t="str">
            <v>GRANDES MERCADOS</v>
          </cell>
          <cell r="G8">
            <v>13</v>
          </cell>
          <cell r="H8" t="str">
            <v>11000-001</v>
          </cell>
        </row>
        <row r="9">
          <cell r="B9">
            <v>3501608</v>
          </cell>
          <cell r="C9" t="str">
            <v>SILVIO BORGES</v>
          </cell>
          <cell r="D9" t="str">
            <v>CENTRAL</v>
          </cell>
          <cell r="E9" t="str">
            <v>GM_RSI</v>
          </cell>
          <cell r="F9" t="str">
            <v>GRANDES MERCADOS</v>
          </cell>
          <cell r="G9">
            <v>19</v>
          </cell>
          <cell r="H9" t="str">
            <v>13465-001</v>
          </cell>
        </row>
        <row r="10">
          <cell r="B10">
            <v>3501707</v>
          </cell>
          <cell r="C10" t="str">
            <v>RAFAEL LOPES</v>
          </cell>
          <cell r="D10" t="str">
            <v>OESTE</v>
          </cell>
          <cell r="E10" t="str">
            <v>GM_RSI</v>
          </cell>
          <cell r="F10" t="str">
            <v>GRANDES MERCADOS</v>
          </cell>
          <cell r="G10">
            <v>16</v>
          </cell>
          <cell r="H10" t="str">
            <v>14820-001</v>
          </cell>
        </row>
        <row r="11">
          <cell r="B11">
            <v>3503208</v>
          </cell>
          <cell r="C11" t="str">
            <v>RAFAEL LOPES</v>
          </cell>
          <cell r="D11" t="str">
            <v>OESTE</v>
          </cell>
          <cell r="E11" t="str">
            <v>GM_RSI</v>
          </cell>
          <cell r="F11" t="str">
            <v>GRANDES MERCADOS</v>
          </cell>
          <cell r="G11">
            <v>16</v>
          </cell>
          <cell r="H11" t="str">
            <v>14800-001</v>
          </cell>
        </row>
        <row r="12">
          <cell r="B12">
            <v>3503307</v>
          </cell>
          <cell r="C12" t="str">
            <v>SILVIO BORGES</v>
          </cell>
          <cell r="D12" t="str">
            <v>CENTRAL</v>
          </cell>
          <cell r="E12" t="str">
            <v>GM_RSI</v>
          </cell>
          <cell r="F12" t="str">
            <v>GRANDES MERCADOS</v>
          </cell>
          <cell r="G12">
            <v>19</v>
          </cell>
          <cell r="H12" t="str">
            <v>13600-001</v>
          </cell>
        </row>
        <row r="13">
          <cell r="B13">
            <v>3503802</v>
          </cell>
          <cell r="C13" t="str">
            <v>SILVIO BORGES</v>
          </cell>
          <cell r="D13" t="str">
            <v>CENTRAL</v>
          </cell>
          <cell r="E13" t="str">
            <v>GM_RSI</v>
          </cell>
          <cell r="F13" t="str">
            <v>GRANDES MERCADOS</v>
          </cell>
          <cell r="G13">
            <v>19</v>
          </cell>
          <cell r="H13" t="str">
            <v>13160-001</v>
          </cell>
        </row>
        <row r="14">
          <cell r="B14">
            <v>3506003</v>
          </cell>
          <cell r="C14" t="str">
            <v>RAFAEL LOPES</v>
          </cell>
          <cell r="D14" t="str">
            <v>OESTE</v>
          </cell>
          <cell r="E14" t="str">
            <v>GM_RSI</v>
          </cell>
          <cell r="F14" t="str">
            <v>GRANDES MERCADOS</v>
          </cell>
          <cell r="G14">
            <v>14</v>
          </cell>
          <cell r="H14" t="str">
            <v>17000-001</v>
          </cell>
        </row>
        <row r="15">
          <cell r="B15">
            <v>3506359</v>
          </cell>
          <cell r="C15" t="str">
            <v>CAMILA STEFANELLI</v>
          </cell>
          <cell r="D15" t="str">
            <v>LITORAL</v>
          </cell>
          <cell r="E15" t="str">
            <v>GM_RSI</v>
          </cell>
          <cell r="F15" t="str">
            <v>GRANDES MERCADOS</v>
          </cell>
          <cell r="G15">
            <v>13</v>
          </cell>
          <cell r="H15" t="str">
            <v>11250-001</v>
          </cell>
        </row>
        <row r="16">
          <cell r="B16">
            <v>3508504</v>
          </cell>
          <cell r="C16" t="str">
            <v>CAMILA STEFANELLI</v>
          </cell>
          <cell r="D16" t="str">
            <v>LITORAL</v>
          </cell>
          <cell r="E16" t="str">
            <v>GM_RSI</v>
          </cell>
          <cell r="F16" t="str">
            <v>GRANDES MERCADOS</v>
          </cell>
          <cell r="G16">
            <v>12</v>
          </cell>
          <cell r="H16" t="str">
            <v>12280-001</v>
          </cell>
        </row>
        <row r="17">
          <cell r="B17">
            <v>3510401</v>
          </cell>
          <cell r="C17" t="str">
            <v>SILVIO BORGES</v>
          </cell>
          <cell r="D17" t="str">
            <v>CENTRAL</v>
          </cell>
          <cell r="E17" t="str">
            <v>GM_RSI</v>
          </cell>
          <cell r="F17" t="str">
            <v>GRANDES MERCADOS</v>
          </cell>
          <cell r="G17">
            <v>19</v>
          </cell>
          <cell r="H17" t="str">
            <v>13360-001</v>
          </cell>
        </row>
        <row r="18">
          <cell r="B18">
            <v>3510500</v>
          </cell>
          <cell r="C18" t="str">
            <v>CAMILA STEFANELLI</v>
          </cell>
          <cell r="D18" t="str">
            <v>LITORAL</v>
          </cell>
          <cell r="E18" t="str">
            <v>GM_RSI</v>
          </cell>
          <cell r="F18" t="str">
            <v>GRANDES MERCADOS</v>
          </cell>
          <cell r="G18">
            <v>12</v>
          </cell>
          <cell r="H18" t="str">
            <v>11660-001</v>
          </cell>
        </row>
        <row r="19">
          <cell r="B19">
            <v>3512407</v>
          </cell>
          <cell r="C19" t="str">
            <v>SILVIO BORGES</v>
          </cell>
          <cell r="D19" t="str">
            <v>CENTRAL</v>
          </cell>
          <cell r="E19" t="str">
            <v>GM_RSI</v>
          </cell>
          <cell r="F19" t="str">
            <v>GRANDES MERCADOS</v>
          </cell>
          <cell r="G19">
            <v>19</v>
          </cell>
          <cell r="H19" t="str">
            <v>13490-001</v>
          </cell>
        </row>
        <row r="20">
          <cell r="B20">
            <v>3512803</v>
          </cell>
          <cell r="C20" t="str">
            <v>SILVIO BORGES</v>
          </cell>
          <cell r="D20" t="str">
            <v>CENTRAL</v>
          </cell>
          <cell r="E20" t="str">
            <v>GM_RSI</v>
          </cell>
          <cell r="F20" t="str">
            <v>GRANDES MERCADOS</v>
          </cell>
          <cell r="G20">
            <v>19</v>
          </cell>
          <cell r="H20" t="str">
            <v>13150-001</v>
          </cell>
        </row>
        <row r="21">
          <cell r="B21">
            <v>3513504</v>
          </cell>
          <cell r="C21" t="str">
            <v>CAMILA STEFANELLI</v>
          </cell>
          <cell r="D21" t="str">
            <v>LITORAL</v>
          </cell>
          <cell r="E21" t="str">
            <v>GM_RSI</v>
          </cell>
          <cell r="F21" t="str">
            <v>GRANDES MERCADOS</v>
          </cell>
          <cell r="G21">
            <v>13</v>
          </cell>
          <cell r="H21" t="str">
            <v>11500-001</v>
          </cell>
        </row>
        <row r="22">
          <cell r="B22">
            <v>3514908</v>
          </cell>
          <cell r="C22" t="str">
            <v>SILVIO BORGES</v>
          </cell>
          <cell r="D22" t="str">
            <v>CENTRAL</v>
          </cell>
          <cell r="E22" t="str">
            <v>GM_RSI</v>
          </cell>
          <cell r="F22" t="str">
            <v>GRANDES MERCADOS</v>
          </cell>
          <cell r="G22">
            <v>19</v>
          </cell>
          <cell r="H22" t="str">
            <v>13350-001</v>
          </cell>
        </row>
        <row r="23">
          <cell r="B23">
            <v>3516200</v>
          </cell>
          <cell r="C23" t="str">
            <v>RAFAEL LOPES</v>
          </cell>
          <cell r="D23" t="str">
            <v>OESTE</v>
          </cell>
          <cell r="E23" t="str">
            <v>GM_RSI</v>
          </cell>
          <cell r="F23" t="str">
            <v>GRANDES MERCADOS</v>
          </cell>
          <cell r="G23">
            <v>16</v>
          </cell>
          <cell r="H23" t="str">
            <v>14400-001</v>
          </cell>
        </row>
        <row r="24">
          <cell r="B24">
            <v>3518701</v>
          </cell>
          <cell r="C24" t="str">
            <v>CAMILA STEFANELLI</v>
          </cell>
          <cell r="D24" t="str">
            <v>LITORAL</v>
          </cell>
          <cell r="E24" t="str">
            <v>GM_RSI</v>
          </cell>
          <cell r="F24" t="str">
            <v>GRANDES MERCADOS</v>
          </cell>
          <cell r="G24">
            <v>13</v>
          </cell>
          <cell r="H24" t="str">
            <v>11400-001</v>
          </cell>
        </row>
        <row r="25">
          <cell r="B25">
            <v>3519071</v>
          </cell>
          <cell r="C25" t="str">
            <v>SILVIO BORGES</v>
          </cell>
          <cell r="D25" t="str">
            <v>CENTRAL</v>
          </cell>
          <cell r="E25" t="str">
            <v>GM_RSI</v>
          </cell>
          <cell r="F25" t="str">
            <v>GRANDES MERCADOS</v>
          </cell>
          <cell r="G25">
            <v>19</v>
          </cell>
          <cell r="H25" t="str">
            <v>13183-001</v>
          </cell>
        </row>
        <row r="26">
          <cell r="B26">
            <v>3520509</v>
          </cell>
          <cell r="C26" t="str">
            <v>SILVIO BORGES</v>
          </cell>
          <cell r="D26" t="str">
            <v>CENTRAL</v>
          </cell>
          <cell r="E26" t="str">
            <v>GM_RSI</v>
          </cell>
          <cell r="F26" t="str">
            <v>GRANDES MERCADOS</v>
          </cell>
          <cell r="G26">
            <v>19</v>
          </cell>
          <cell r="H26" t="str">
            <v>13330-001</v>
          </cell>
        </row>
        <row r="27">
          <cell r="B27">
            <v>3522109</v>
          </cell>
          <cell r="C27" t="str">
            <v>CAMILA STEFANELLI</v>
          </cell>
          <cell r="D27" t="str">
            <v>LITORAL</v>
          </cell>
          <cell r="E27" t="str">
            <v>GM_RSI</v>
          </cell>
          <cell r="F27" t="str">
            <v>GRANDES MERCADOS</v>
          </cell>
          <cell r="G27">
            <v>13</v>
          </cell>
          <cell r="H27" t="str">
            <v>11740-001</v>
          </cell>
        </row>
        <row r="28">
          <cell r="B28">
            <v>3524402</v>
          </cell>
          <cell r="C28" t="str">
            <v>CAMILA STEFANELLI</v>
          </cell>
          <cell r="D28" t="str">
            <v>LITORAL</v>
          </cell>
          <cell r="E28" t="str">
            <v>GM_RSI</v>
          </cell>
          <cell r="F28" t="str">
            <v>GRANDES MERCADOS</v>
          </cell>
          <cell r="G28">
            <v>12</v>
          </cell>
          <cell r="H28" t="str">
            <v>12300-001</v>
          </cell>
        </row>
        <row r="29">
          <cell r="B29">
            <v>3524709</v>
          </cell>
          <cell r="C29" t="str">
            <v>SILVIO BORGES</v>
          </cell>
          <cell r="D29" t="str">
            <v>CENTRAL</v>
          </cell>
          <cell r="E29" t="str">
            <v>GM_RSI</v>
          </cell>
          <cell r="F29" t="str">
            <v>GRANDES MERCADOS</v>
          </cell>
          <cell r="G29">
            <v>19</v>
          </cell>
          <cell r="H29" t="str">
            <v>13910-001</v>
          </cell>
        </row>
        <row r="30">
          <cell r="B30">
            <v>3525300</v>
          </cell>
          <cell r="C30" t="str">
            <v>RAFAEL LOPES</v>
          </cell>
          <cell r="D30" t="str">
            <v>OESTE</v>
          </cell>
          <cell r="E30" t="str">
            <v>GM_RSI</v>
          </cell>
          <cell r="F30" t="str">
            <v>GRANDES MERCADOS</v>
          </cell>
          <cell r="G30">
            <v>14</v>
          </cell>
          <cell r="H30" t="str">
            <v>17200-001</v>
          </cell>
        </row>
        <row r="31">
          <cell r="B31">
            <v>3526902</v>
          </cell>
          <cell r="C31" t="str">
            <v>SILVIO BORGES</v>
          </cell>
          <cell r="D31" t="str">
            <v>CENTRAL</v>
          </cell>
          <cell r="E31" t="str">
            <v>GM_RSI</v>
          </cell>
          <cell r="F31" t="str">
            <v>GRANDES MERCADOS</v>
          </cell>
          <cell r="G31">
            <v>19</v>
          </cell>
          <cell r="H31" t="str">
            <v>13480-001</v>
          </cell>
        </row>
        <row r="32">
          <cell r="B32">
            <v>3530300</v>
          </cell>
          <cell r="C32" t="str">
            <v>RAFAEL LOPES</v>
          </cell>
          <cell r="D32" t="str">
            <v>OESTE</v>
          </cell>
          <cell r="E32" t="str">
            <v>GM_RSI</v>
          </cell>
          <cell r="F32" t="str">
            <v>GRANDES MERCADOS</v>
          </cell>
          <cell r="G32">
            <v>17</v>
          </cell>
          <cell r="H32" t="str">
            <v>15130-001</v>
          </cell>
        </row>
        <row r="33">
          <cell r="B33">
            <v>3530706</v>
          </cell>
          <cell r="C33" t="str">
            <v>SILVIO BORGES</v>
          </cell>
          <cell r="D33" t="str">
            <v>CENTRAL</v>
          </cell>
          <cell r="E33" t="str">
            <v>GM_RSI</v>
          </cell>
          <cell r="F33" t="str">
            <v>GRANDES MERCADOS</v>
          </cell>
          <cell r="G33">
            <v>19</v>
          </cell>
          <cell r="H33" t="str">
            <v>13840-001</v>
          </cell>
        </row>
        <row r="34">
          <cell r="B34">
            <v>3530805</v>
          </cell>
          <cell r="C34" t="str">
            <v>SILVIO BORGES</v>
          </cell>
          <cell r="D34" t="str">
            <v>CENTRAL</v>
          </cell>
          <cell r="E34" t="str">
            <v>GM_RSI</v>
          </cell>
          <cell r="F34" t="str">
            <v>GRANDES MERCADOS</v>
          </cell>
          <cell r="G34">
            <v>19</v>
          </cell>
          <cell r="H34" t="str">
            <v>13800-001</v>
          </cell>
        </row>
        <row r="35">
          <cell r="B35">
            <v>3531100</v>
          </cell>
          <cell r="C35" t="str">
            <v>CAMILA STEFANELLI</v>
          </cell>
          <cell r="D35" t="str">
            <v>LITORAL</v>
          </cell>
          <cell r="E35" t="str">
            <v>GM_RSI</v>
          </cell>
          <cell r="F35" t="str">
            <v>GRANDES MERCADOS</v>
          </cell>
          <cell r="G35">
            <v>13</v>
          </cell>
          <cell r="H35" t="str">
            <v>11730-001</v>
          </cell>
        </row>
        <row r="36">
          <cell r="B36">
            <v>3531803</v>
          </cell>
          <cell r="C36" t="str">
            <v>SILVIO BORGES</v>
          </cell>
          <cell r="D36" t="str">
            <v>CENTRAL</v>
          </cell>
          <cell r="E36" t="str">
            <v>GM_RSI</v>
          </cell>
          <cell r="F36" t="str">
            <v>GRANDES MERCADOS</v>
          </cell>
          <cell r="G36">
            <v>19</v>
          </cell>
          <cell r="H36" t="str">
            <v>13190-001</v>
          </cell>
        </row>
        <row r="37">
          <cell r="B37">
            <v>3533403</v>
          </cell>
          <cell r="C37" t="str">
            <v>SILVIO BORGES</v>
          </cell>
          <cell r="D37" t="str">
            <v>CENTRAL</v>
          </cell>
          <cell r="E37" t="str">
            <v>GM_RSI</v>
          </cell>
          <cell r="F37" t="str">
            <v>GRANDES MERCADOS</v>
          </cell>
          <cell r="G37">
            <v>19</v>
          </cell>
          <cell r="H37" t="str">
            <v>13380-001</v>
          </cell>
        </row>
        <row r="38">
          <cell r="B38">
            <v>3536505</v>
          </cell>
          <cell r="C38" t="str">
            <v>SILVIO BORGES</v>
          </cell>
          <cell r="D38" t="str">
            <v>CENTRAL</v>
          </cell>
          <cell r="E38" t="str">
            <v>GM_RSI</v>
          </cell>
          <cell r="F38" t="str">
            <v>GRANDES MERCADOS</v>
          </cell>
          <cell r="G38">
            <v>19</v>
          </cell>
          <cell r="H38" t="str">
            <v>13140-001</v>
          </cell>
        </row>
        <row r="39">
          <cell r="B39">
            <v>3537602</v>
          </cell>
          <cell r="C39" t="str">
            <v>CAMILA STEFANELLI</v>
          </cell>
          <cell r="D39" t="str">
            <v>LITORAL</v>
          </cell>
          <cell r="E39" t="str">
            <v>GM_RSI</v>
          </cell>
          <cell r="F39" t="str">
            <v>GRANDES MERCADOS</v>
          </cell>
          <cell r="G39">
            <v>13</v>
          </cell>
          <cell r="H39" t="str">
            <v>11750-001</v>
          </cell>
        </row>
        <row r="40">
          <cell r="B40">
            <v>3540606</v>
          </cell>
          <cell r="C40" t="str">
            <v>RAFAEL LOPES</v>
          </cell>
          <cell r="D40" t="str">
            <v>OESTE</v>
          </cell>
          <cell r="E40" t="str">
            <v>GM_RSI</v>
          </cell>
          <cell r="F40" t="str">
            <v>GRANDES MERCADOS</v>
          </cell>
          <cell r="G40">
            <v>15</v>
          </cell>
          <cell r="H40" t="str">
            <v>18540-001</v>
          </cell>
        </row>
        <row r="41">
          <cell r="B41">
            <v>3541000</v>
          </cell>
          <cell r="C41" t="str">
            <v>CAMILA STEFANELLI</v>
          </cell>
          <cell r="D41" t="str">
            <v>LITORAL</v>
          </cell>
          <cell r="E41" t="str">
            <v>GM_RSI</v>
          </cell>
          <cell r="F41" t="str">
            <v>GRANDES MERCADOS</v>
          </cell>
          <cell r="G41">
            <v>13</v>
          </cell>
          <cell r="H41" t="str">
            <v>11700-001</v>
          </cell>
        </row>
        <row r="42">
          <cell r="B42">
            <v>3542107</v>
          </cell>
          <cell r="C42" t="str">
            <v>SILVIO BORGES</v>
          </cell>
          <cell r="D42" t="str">
            <v>CENTRAL</v>
          </cell>
          <cell r="E42" t="str">
            <v>GM_RSI</v>
          </cell>
          <cell r="F42" t="str">
            <v>GRANDES MERCADOS</v>
          </cell>
          <cell r="G42">
            <v>19</v>
          </cell>
          <cell r="H42" t="str">
            <v>13370-001</v>
          </cell>
        </row>
        <row r="43">
          <cell r="B43">
            <v>3543907</v>
          </cell>
          <cell r="C43" t="str">
            <v>SILVIO BORGES</v>
          </cell>
          <cell r="D43" t="str">
            <v>CENTRAL</v>
          </cell>
          <cell r="E43" t="str">
            <v>GM_RSI</v>
          </cell>
          <cell r="F43" t="str">
            <v>GRANDES MERCADOS</v>
          </cell>
          <cell r="G43">
            <v>19</v>
          </cell>
          <cell r="H43" t="str">
            <v>13500-001</v>
          </cell>
        </row>
        <row r="44">
          <cell r="B44">
            <v>3545803</v>
          </cell>
          <cell r="C44" t="str">
            <v>SILVIO BORGES</v>
          </cell>
          <cell r="D44" t="str">
            <v>CENTRAL</v>
          </cell>
          <cell r="E44" t="str">
            <v>GM_RSI</v>
          </cell>
          <cell r="F44" t="str">
            <v>GRANDES MERCADOS</v>
          </cell>
          <cell r="G44">
            <v>19</v>
          </cell>
          <cell r="H44" t="str">
            <v>13450-001</v>
          </cell>
        </row>
        <row r="45">
          <cell r="B45">
            <v>3546702</v>
          </cell>
          <cell r="C45" t="str">
            <v>SILVIO BORGES</v>
          </cell>
          <cell r="D45" t="str">
            <v>CENTRAL</v>
          </cell>
          <cell r="E45" t="str">
            <v>GM_RSI</v>
          </cell>
          <cell r="F45" t="str">
            <v>GRANDES MERCADOS</v>
          </cell>
          <cell r="G45">
            <v>19</v>
          </cell>
          <cell r="H45" t="str">
            <v>13510-001</v>
          </cell>
        </row>
        <row r="46">
          <cell r="B46">
            <v>3548906</v>
          </cell>
          <cell r="C46" t="str">
            <v>RAFAEL LOPES</v>
          </cell>
          <cell r="D46" t="str">
            <v>OESTE</v>
          </cell>
          <cell r="E46" t="str">
            <v>GM_RSI</v>
          </cell>
          <cell r="F46" t="str">
            <v>GRANDES MERCADOS</v>
          </cell>
          <cell r="G46">
            <v>16</v>
          </cell>
          <cell r="H46" t="str">
            <v>13560-001</v>
          </cell>
        </row>
        <row r="47">
          <cell r="B47">
            <v>3550704</v>
          </cell>
          <cell r="C47" t="str">
            <v>CAMILA STEFANELLI</v>
          </cell>
          <cell r="D47" t="str">
            <v>LITORAL</v>
          </cell>
          <cell r="E47" t="str">
            <v>GM_RSI</v>
          </cell>
          <cell r="F47" t="str">
            <v>GRANDES MERCADOS</v>
          </cell>
          <cell r="G47">
            <v>12</v>
          </cell>
          <cell r="H47" t="str">
            <v>11600-001</v>
          </cell>
        </row>
        <row r="48">
          <cell r="B48">
            <v>3551009</v>
          </cell>
          <cell r="C48" t="str">
            <v>CAMILA STEFANELLI</v>
          </cell>
          <cell r="D48" t="str">
            <v>LITORAL</v>
          </cell>
          <cell r="E48" t="str">
            <v>GM_RSI</v>
          </cell>
          <cell r="F48" t="str">
            <v>GRANDES MERCADOS</v>
          </cell>
          <cell r="G48">
            <v>13</v>
          </cell>
          <cell r="H48" t="str">
            <v>11300-001</v>
          </cell>
        </row>
        <row r="49">
          <cell r="B49">
            <v>3551702</v>
          </cell>
          <cell r="C49" t="str">
            <v>RAFAEL LOPES</v>
          </cell>
          <cell r="D49" t="str">
            <v>OESTE</v>
          </cell>
          <cell r="E49" t="str">
            <v>GM_RSI</v>
          </cell>
          <cell r="F49" t="str">
            <v>GRANDES MERCADOS</v>
          </cell>
          <cell r="G49">
            <v>16</v>
          </cell>
          <cell r="H49" t="str">
            <v>14160-001</v>
          </cell>
        </row>
        <row r="50">
          <cell r="B50">
            <v>3552403</v>
          </cell>
          <cell r="C50" t="str">
            <v>SILVIO BORGES</v>
          </cell>
          <cell r="D50" t="str">
            <v>CENTRAL</v>
          </cell>
          <cell r="E50" t="str">
            <v>GM_RSI</v>
          </cell>
          <cell r="F50" t="str">
            <v>GRANDES MERCADOS</v>
          </cell>
          <cell r="G50">
            <v>19</v>
          </cell>
          <cell r="H50" t="str">
            <v>13170-001</v>
          </cell>
        </row>
        <row r="51">
          <cell r="B51">
            <v>3554102</v>
          </cell>
          <cell r="C51" t="str">
            <v>CAMILA STEFANELLI</v>
          </cell>
          <cell r="D51" t="str">
            <v>LITORAL</v>
          </cell>
          <cell r="E51" t="str">
            <v>GM_RSI</v>
          </cell>
          <cell r="F51" t="str">
            <v>GRANDES MERCADOS</v>
          </cell>
          <cell r="G51">
            <v>12</v>
          </cell>
          <cell r="H51" t="str">
            <v>12000-001</v>
          </cell>
        </row>
        <row r="52">
          <cell r="B52">
            <v>3554508</v>
          </cell>
          <cell r="C52" t="str">
            <v>RAFAEL LOPES</v>
          </cell>
          <cell r="D52" t="str">
            <v>OESTE</v>
          </cell>
          <cell r="E52" t="str">
            <v>GM_RSI</v>
          </cell>
          <cell r="F52" t="str">
            <v>GRANDES MERCADOS</v>
          </cell>
          <cell r="G52">
            <v>15</v>
          </cell>
          <cell r="H52" t="str">
            <v>18530-001</v>
          </cell>
        </row>
        <row r="53">
          <cell r="B53">
            <v>3555406</v>
          </cell>
          <cell r="C53" t="str">
            <v>CAMILA STEFANELLI</v>
          </cell>
          <cell r="D53" t="str">
            <v>LITORAL</v>
          </cell>
          <cell r="E53" t="str">
            <v>GM_RSI</v>
          </cell>
          <cell r="F53" t="str">
            <v>GRANDES MERCADOS</v>
          </cell>
          <cell r="G53">
            <v>12</v>
          </cell>
          <cell r="H53" t="str">
            <v>11680-001</v>
          </cell>
        </row>
        <row r="54">
          <cell r="B54">
            <v>3556206</v>
          </cell>
          <cell r="C54" t="str">
            <v>SILVIO BORGES</v>
          </cell>
          <cell r="D54" t="str">
            <v>CENTRAL</v>
          </cell>
          <cell r="E54" t="str">
            <v>GM_RSI</v>
          </cell>
          <cell r="F54" t="str">
            <v>GRANDES MERCADOS</v>
          </cell>
          <cell r="G54">
            <v>19</v>
          </cell>
          <cell r="H54" t="str">
            <v>13270-001</v>
          </cell>
        </row>
        <row r="55">
          <cell r="B55">
            <v>3556701</v>
          </cell>
          <cell r="C55" t="str">
            <v>SILVIO BORGES</v>
          </cell>
          <cell r="D55" t="str">
            <v>CENTRAL</v>
          </cell>
          <cell r="E55" t="str">
            <v>GM_RSI</v>
          </cell>
          <cell r="F55" t="str">
            <v>GRANDES MERCADOS</v>
          </cell>
          <cell r="G55">
            <v>19</v>
          </cell>
          <cell r="H55" t="str">
            <v>13280-001</v>
          </cell>
        </row>
        <row r="56">
          <cell r="B56">
            <v>3557006</v>
          </cell>
          <cell r="C56" t="str">
            <v>RAFAEL LOPES</v>
          </cell>
          <cell r="D56" t="str">
            <v>OESTE</v>
          </cell>
          <cell r="E56" t="str">
            <v>GM_RSI</v>
          </cell>
          <cell r="F56" t="str">
            <v>GRANDES MERCADOS</v>
          </cell>
          <cell r="G56">
            <v>15</v>
          </cell>
          <cell r="H56" t="str">
            <v>18110-001</v>
          </cell>
        </row>
        <row r="57">
          <cell r="B57">
            <v>3500105</v>
          </cell>
          <cell r="C57" t="str">
            <v>IVONE COSTA</v>
          </cell>
          <cell r="D57" t="str">
            <v>NOROESTE</v>
          </cell>
          <cell r="E57" t="str">
            <v>MD_RSI</v>
          </cell>
          <cell r="F57" t="str">
            <v>MERCADO EM DESENVOLVIMENTO</v>
          </cell>
          <cell r="G57">
            <v>18</v>
          </cell>
          <cell r="H57" t="str">
            <v>17800-001</v>
          </cell>
        </row>
        <row r="58">
          <cell r="B58">
            <v>3500709</v>
          </cell>
          <cell r="C58" t="str">
            <v>MICHELLE SPINA</v>
          </cell>
          <cell r="D58" t="str">
            <v>SUDESTE</v>
          </cell>
          <cell r="E58" t="str">
            <v>MD_RSI</v>
          </cell>
          <cell r="F58" t="str">
            <v>MERCADO EM DESENVOLVIMENTO</v>
          </cell>
          <cell r="G58">
            <v>14</v>
          </cell>
          <cell r="H58" t="str">
            <v>17120-001</v>
          </cell>
        </row>
        <row r="59">
          <cell r="B59">
            <v>3501301</v>
          </cell>
          <cell r="C59" t="str">
            <v>IVONE COSTA</v>
          </cell>
          <cell r="D59" t="str">
            <v>NOROESTE</v>
          </cell>
          <cell r="E59" t="str">
            <v>MD_RSI</v>
          </cell>
          <cell r="F59" t="str">
            <v>MERCADO EM DESENVOLVIMENTO</v>
          </cell>
          <cell r="G59">
            <v>18</v>
          </cell>
          <cell r="H59" t="str">
            <v>19160-001</v>
          </cell>
        </row>
        <row r="60">
          <cell r="B60">
            <v>3501905</v>
          </cell>
          <cell r="C60" t="str">
            <v>MICHELLE SPINA</v>
          </cell>
          <cell r="D60" t="str">
            <v>SUDESTE</v>
          </cell>
          <cell r="E60" t="str">
            <v>MD_RSI</v>
          </cell>
          <cell r="F60" t="str">
            <v>MERCADO EM DESENVOLVIMENTO</v>
          </cell>
          <cell r="G60">
            <v>19</v>
          </cell>
          <cell r="H60" t="str">
            <v>13900-001</v>
          </cell>
        </row>
        <row r="61">
          <cell r="B61">
            <v>3502101</v>
          </cell>
          <cell r="C61" t="str">
            <v>IVONE COSTA</v>
          </cell>
          <cell r="D61" t="str">
            <v>NOROESTE</v>
          </cell>
          <cell r="E61" t="str">
            <v>MD_RSI</v>
          </cell>
          <cell r="F61" t="str">
            <v>MERCADO EM DESENVOLVIMENTO</v>
          </cell>
          <cell r="G61">
            <v>18</v>
          </cell>
          <cell r="H61" t="str">
            <v>16900-001</v>
          </cell>
        </row>
        <row r="62">
          <cell r="B62">
            <v>3502507</v>
          </cell>
          <cell r="C62" t="str">
            <v>MICHELLE SPINA</v>
          </cell>
          <cell r="D62" t="str">
            <v>SUDESTE</v>
          </cell>
          <cell r="E62" t="str">
            <v>MD_RSI</v>
          </cell>
          <cell r="F62" t="str">
            <v>MERCADO EM DESENVOLVIMENTO</v>
          </cell>
          <cell r="G62">
            <v>12</v>
          </cell>
          <cell r="H62" t="str">
            <v>12570-001</v>
          </cell>
        </row>
        <row r="63">
          <cell r="B63">
            <v>3502804</v>
          </cell>
          <cell r="C63" t="str">
            <v>IVONE COSTA</v>
          </cell>
          <cell r="D63" t="str">
            <v>NOROESTE</v>
          </cell>
          <cell r="E63" t="str">
            <v>MD_RSI</v>
          </cell>
          <cell r="F63" t="str">
            <v>MERCADO EM DESENVOLVIMENTO</v>
          </cell>
          <cell r="G63">
            <v>18</v>
          </cell>
          <cell r="H63" t="str">
            <v>16000-001</v>
          </cell>
        </row>
        <row r="64">
          <cell r="B64">
            <v>3504503</v>
          </cell>
          <cell r="C64" t="str">
            <v>MICHELLE SPINA</v>
          </cell>
          <cell r="D64" t="str">
            <v>SUDESTE</v>
          </cell>
          <cell r="E64" t="str">
            <v>MD_RSI</v>
          </cell>
          <cell r="F64" t="str">
            <v>MERCADO EM DESENVOLVIMENTO</v>
          </cell>
          <cell r="G64">
            <v>14</v>
          </cell>
          <cell r="H64" t="str">
            <v>18700-001</v>
          </cell>
        </row>
        <row r="65">
          <cell r="B65">
            <v>3504602</v>
          </cell>
          <cell r="C65" t="str">
            <v>IVONE COSTA</v>
          </cell>
          <cell r="D65" t="str">
            <v>NOROESTE</v>
          </cell>
          <cell r="E65" t="str">
            <v>MD_RSI</v>
          </cell>
          <cell r="F65" t="str">
            <v>MERCADO EM DESENVOLVIMENTO</v>
          </cell>
          <cell r="G65">
            <v>17</v>
          </cell>
          <cell r="H65" t="str">
            <v>15115-001</v>
          </cell>
        </row>
        <row r="66">
          <cell r="B66">
            <v>3505500</v>
          </cell>
          <cell r="C66" t="str">
            <v>IVONE COSTA</v>
          </cell>
          <cell r="D66" t="str">
            <v>NOROESTE</v>
          </cell>
          <cell r="E66" t="str">
            <v>MD_RSI</v>
          </cell>
          <cell r="F66" t="str">
            <v>MERCADO EM DESENVOLVIMENTO</v>
          </cell>
          <cell r="G66">
            <v>17</v>
          </cell>
          <cell r="H66" t="str">
            <v>14780-001</v>
          </cell>
        </row>
        <row r="67">
          <cell r="B67">
            <v>3505609</v>
          </cell>
          <cell r="C67" t="str">
            <v>IVONE COSTA</v>
          </cell>
          <cell r="D67" t="str">
            <v>NOROESTE</v>
          </cell>
          <cell r="E67" t="str">
            <v>MD_RSI</v>
          </cell>
          <cell r="F67" t="str">
            <v>MERCADO EM DESENVOLVIMENTO</v>
          </cell>
          <cell r="G67">
            <v>16</v>
          </cell>
          <cell r="H67" t="str">
            <v>14860-001</v>
          </cell>
        </row>
        <row r="68">
          <cell r="B68">
            <v>3505906</v>
          </cell>
          <cell r="C68" t="str">
            <v>IVONE COSTA</v>
          </cell>
          <cell r="D68" t="str">
            <v>NOROESTE</v>
          </cell>
          <cell r="E68" t="str">
            <v>MD_RSI</v>
          </cell>
          <cell r="F68" t="str">
            <v>MERCADO EM DESENVOLVIMENTO</v>
          </cell>
          <cell r="G68">
            <v>16</v>
          </cell>
          <cell r="H68" t="str">
            <v>14300-001</v>
          </cell>
        </row>
        <row r="69">
          <cell r="B69">
            <v>3506102</v>
          </cell>
          <cell r="C69" t="str">
            <v>IVONE COSTA</v>
          </cell>
          <cell r="D69" t="str">
            <v>NOROESTE</v>
          </cell>
          <cell r="E69" t="str">
            <v>MD_RSI</v>
          </cell>
          <cell r="F69" t="str">
            <v>MERCADO EM DESENVOLVIMENTO</v>
          </cell>
          <cell r="G69">
            <v>17</v>
          </cell>
          <cell r="H69" t="str">
            <v>14700-001</v>
          </cell>
        </row>
        <row r="70">
          <cell r="B70">
            <v>3506508</v>
          </cell>
          <cell r="C70" t="str">
            <v>IVONE COSTA</v>
          </cell>
          <cell r="D70" t="str">
            <v>NOROESTE</v>
          </cell>
          <cell r="E70" t="str">
            <v>MD_RSI</v>
          </cell>
          <cell r="F70" t="str">
            <v>MERCADO EM DESENVOLVIMENTO</v>
          </cell>
          <cell r="G70">
            <v>18</v>
          </cell>
          <cell r="H70" t="str">
            <v>16200-001</v>
          </cell>
        </row>
        <row r="71">
          <cell r="B71">
            <v>3507001</v>
          </cell>
          <cell r="C71" t="str">
            <v>MICHELLE SPINA</v>
          </cell>
          <cell r="D71" t="str">
            <v>SUDESTE</v>
          </cell>
          <cell r="E71" t="str">
            <v>MD_RSI</v>
          </cell>
          <cell r="F71" t="str">
            <v>MERCADO EM DESENVOLVIMENTO</v>
          </cell>
          <cell r="G71">
            <v>15</v>
          </cell>
          <cell r="H71" t="str">
            <v>18550-001</v>
          </cell>
        </row>
        <row r="72">
          <cell r="B72">
            <v>3507506</v>
          </cell>
          <cell r="C72" t="str">
            <v>MICHELLE SPINA</v>
          </cell>
          <cell r="D72" t="str">
            <v>SUDESTE</v>
          </cell>
          <cell r="E72" t="str">
            <v>MD_RSI</v>
          </cell>
          <cell r="F72" t="str">
            <v>MERCADO EM DESENVOLVIMENTO</v>
          </cell>
          <cell r="G72">
            <v>14</v>
          </cell>
          <cell r="H72" t="str">
            <v>18600-001</v>
          </cell>
        </row>
        <row r="73">
          <cell r="B73">
            <v>3508603</v>
          </cell>
          <cell r="C73" t="str">
            <v>MICHELLE SPINA</v>
          </cell>
          <cell r="D73" t="str">
            <v>SUDESTE</v>
          </cell>
          <cell r="E73" t="str">
            <v>MD_RSI</v>
          </cell>
          <cell r="F73" t="str">
            <v>MERCADO EM DESENVOLVIMENTO</v>
          </cell>
          <cell r="G73">
            <v>12</v>
          </cell>
          <cell r="H73" t="str">
            <v>12630-001</v>
          </cell>
        </row>
        <row r="74">
          <cell r="B74">
            <v>3509700</v>
          </cell>
          <cell r="C74" t="str">
            <v>MICHELLE SPINA</v>
          </cell>
          <cell r="D74" t="str">
            <v>SUDESTE</v>
          </cell>
          <cell r="E74" t="str">
            <v>MD_RSI</v>
          </cell>
          <cell r="F74" t="str">
            <v>MERCADO EM DESENVOLVIMENTO</v>
          </cell>
          <cell r="G74">
            <v>12</v>
          </cell>
          <cell r="H74" t="str">
            <v>12460-001</v>
          </cell>
        </row>
        <row r="75">
          <cell r="B75">
            <v>3510807</v>
          </cell>
          <cell r="C75" t="str">
            <v>MICHELLE SPINA</v>
          </cell>
          <cell r="D75" t="str">
            <v>SUDESTE</v>
          </cell>
          <cell r="E75" t="str">
            <v>MD_RSI</v>
          </cell>
          <cell r="F75" t="str">
            <v>MERCADO EM DESENVOLVIMENTO</v>
          </cell>
          <cell r="G75">
            <v>19</v>
          </cell>
          <cell r="H75" t="str">
            <v>13700-001</v>
          </cell>
        </row>
        <row r="76">
          <cell r="B76">
            <v>3511102</v>
          </cell>
          <cell r="C76" t="str">
            <v>IVONE COSTA</v>
          </cell>
          <cell r="D76" t="str">
            <v>NOROESTE</v>
          </cell>
          <cell r="E76" t="str">
            <v>MD_RSI</v>
          </cell>
          <cell r="F76" t="str">
            <v>MERCADO EM DESENVOLVIMENTO</v>
          </cell>
          <cell r="G76">
            <v>17</v>
          </cell>
          <cell r="H76" t="str">
            <v>15800-001</v>
          </cell>
        </row>
        <row r="77">
          <cell r="B77">
            <v>3511508</v>
          </cell>
          <cell r="C77" t="str">
            <v>MICHELLE SPINA</v>
          </cell>
          <cell r="D77" t="str">
            <v>SUDESTE</v>
          </cell>
          <cell r="E77" t="str">
            <v>MD_RSI</v>
          </cell>
          <cell r="F77" t="str">
            <v>MERCADO EM DESENVOLVIMENTO</v>
          </cell>
          <cell r="G77">
            <v>15</v>
          </cell>
          <cell r="H77" t="str">
            <v>18520-001</v>
          </cell>
        </row>
        <row r="78">
          <cell r="B78">
            <v>3513108</v>
          </cell>
          <cell r="C78" t="str">
            <v>IVONE COSTA</v>
          </cell>
          <cell r="D78" t="str">
            <v>NOROESTE</v>
          </cell>
          <cell r="E78" t="str">
            <v>MD_RSI</v>
          </cell>
          <cell r="F78" t="str">
            <v>MERCADO EM DESENVOLVIMENTO</v>
          </cell>
          <cell r="G78">
            <v>16</v>
          </cell>
          <cell r="H78" t="str">
            <v>14140-001</v>
          </cell>
        </row>
        <row r="79">
          <cell r="B79">
            <v>3513405</v>
          </cell>
          <cell r="C79" t="str">
            <v>MICHELLE SPINA</v>
          </cell>
          <cell r="D79" t="str">
            <v>SUDESTE</v>
          </cell>
          <cell r="E79" t="str">
            <v>MD_RSI</v>
          </cell>
          <cell r="F79" t="str">
            <v>MERCADO EM DESENVOLVIMENTO</v>
          </cell>
          <cell r="G79">
            <v>12</v>
          </cell>
          <cell r="H79" t="str">
            <v>12700-001</v>
          </cell>
        </row>
        <row r="80">
          <cell r="B80">
            <v>3513702</v>
          </cell>
          <cell r="C80" t="str">
            <v>MICHELLE SPINA</v>
          </cell>
          <cell r="D80" t="str">
            <v>SUDESTE</v>
          </cell>
          <cell r="E80" t="str">
            <v>MD_RSI</v>
          </cell>
          <cell r="F80" t="str">
            <v>MERCADO EM DESENVOLVIMENTO</v>
          </cell>
          <cell r="G80">
            <v>19</v>
          </cell>
          <cell r="H80" t="str">
            <v>13690-001</v>
          </cell>
        </row>
        <row r="81">
          <cell r="B81">
            <v>3514403</v>
          </cell>
          <cell r="C81" t="str">
            <v>IVONE COSTA</v>
          </cell>
          <cell r="D81" t="str">
            <v>NOROESTE</v>
          </cell>
          <cell r="E81" t="str">
            <v>MD_RSI</v>
          </cell>
          <cell r="F81" t="str">
            <v>MERCADO EM DESENVOLVIMENTO</v>
          </cell>
          <cell r="G81">
            <v>18</v>
          </cell>
          <cell r="H81" t="str">
            <v>17900-001</v>
          </cell>
        </row>
        <row r="82">
          <cell r="B82">
            <v>3515186</v>
          </cell>
          <cell r="C82" t="str">
            <v>MICHELLE SPINA</v>
          </cell>
          <cell r="D82" t="str">
            <v>SUDESTE</v>
          </cell>
          <cell r="E82" t="str">
            <v>MD_RSI</v>
          </cell>
          <cell r="F82" t="str">
            <v>MERCADO EM DESENVOLVIMENTO</v>
          </cell>
          <cell r="G82">
            <v>19</v>
          </cell>
          <cell r="H82" t="str">
            <v>13990-001</v>
          </cell>
        </row>
        <row r="83">
          <cell r="B83">
            <v>3515509</v>
          </cell>
          <cell r="C83" t="str">
            <v>IVONE COSTA</v>
          </cell>
          <cell r="D83" t="str">
            <v>NOROESTE</v>
          </cell>
          <cell r="E83" t="str">
            <v>MD_RSI</v>
          </cell>
          <cell r="F83" t="str">
            <v>MERCADO EM DESENVOLVIMENTO</v>
          </cell>
          <cell r="G83">
            <v>17</v>
          </cell>
          <cell r="H83" t="str">
            <v>15600-001</v>
          </cell>
        </row>
        <row r="84">
          <cell r="B84">
            <v>3516705</v>
          </cell>
          <cell r="C84" t="str">
            <v>IVONE COSTA</v>
          </cell>
          <cell r="D84" t="str">
            <v>NOROESTE</v>
          </cell>
          <cell r="E84" t="str">
            <v>MD_RSI</v>
          </cell>
          <cell r="F84" t="str">
            <v>MERCADO EM DESENVOLVIMENTO</v>
          </cell>
          <cell r="G84">
            <v>14</v>
          </cell>
          <cell r="H84" t="str">
            <v>17400-001</v>
          </cell>
        </row>
        <row r="85">
          <cell r="B85">
            <v>3517406</v>
          </cell>
          <cell r="C85" t="str">
            <v>IVONE COSTA</v>
          </cell>
          <cell r="D85" t="str">
            <v>NOROESTE</v>
          </cell>
          <cell r="E85" t="str">
            <v>MD_RSI</v>
          </cell>
          <cell r="F85" t="str">
            <v>MERCADO EM DESENVOLVIMENTO</v>
          </cell>
          <cell r="G85">
            <v>17</v>
          </cell>
          <cell r="H85" t="str">
            <v>14790-001</v>
          </cell>
        </row>
        <row r="86">
          <cell r="B86">
            <v>3517505</v>
          </cell>
          <cell r="C86" t="str">
            <v>IVONE COSTA</v>
          </cell>
          <cell r="D86" t="str">
            <v>NOROESTE</v>
          </cell>
          <cell r="E86" t="str">
            <v>MD_RSI</v>
          </cell>
          <cell r="F86" t="str">
            <v>MERCADO EM DESENVOLVIMENTO</v>
          </cell>
          <cell r="G86">
            <v>17</v>
          </cell>
          <cell r="H86" t="str">
            <v>15110-001</v>
          </cell>
        </row>
        <row r="87">
          <cell r="B87">
            <v>3518206</v>
          </cell>
          <cell r="C87" t="str">
            <v>IVONE COSTA</v>
          </cell>
          <cell r="D87" t="str">
            <v>NOROESTE</v>
          </cell>
          <cell r="E87" t="str">
            <v>MD_RSI</v>
          </cell>
          <cell r="F87" t="str">
            <v>MERCADO EM DESENVOLVIMENTO</v>
          </cell>
          <cell r="G87">
            <v>18</v>
          </cell>
          <cell r="H87" t="str">
            <v>16700-001</v>
          </cell>
        </row>
        <row r="88">
          <cell r="B88">
            <v>3518404</v>
          </cell>
          <cell r="C88" t="str">
            <v>MICHELLE SPINA</v>
          </cell>
          <cell r="D88" t="str">
            <v>SUDESTE</v>
          </cell>
          <cell r="E88" t="str">
            <v>MD_RSI</v>
          </cell>
          <cell r="F88" t="str">
            <v>MERCADO EM DESENVOLVIMENTO</v>
          </cell>
          <cell r="G88">
            <v>12</v>
          </cell>
          <cell r="H88" t="str">
            <v>12500-001</v>
          </cell>
        </row>
        <row r="89">
          <cell r="B89">
            <v>3519303</v>
          </cell>
          <cell r="C89" t="str">
            <v>IVONE COSTA</v>
          </cell>
          <cell r="D89" t="str">
            <v>NOROESTE</v>
          </cell>
          <cell r="E89" t="str">
            <v>MD_RSI</v>
          </cell>
          <cell r="F89" t="str">
            <v>MERCADO EM DESENVOLVIMENTO</v>
          </cell>
          <cell r="G89">
            <v>16</v>
          </cell>
          <cell r="H89" t="str">
            <v>14815-001</v>
          </cell>
        </row>
        <row r="90">
          <cell r="B90">
            <v>3519709</v>
          </cell>
          <cell r="C90" t="str">
            <v>MICHELLE SPINA</v>
          </cell>
          <cell r="D90" t="str">
            <v>SUDESTE</v>
          </cell>
          <cell r="E90" t="str">
            <v>MD_RSI</v>
          </cell>
          <cell r="F90" t="str">
            <v>MERCADO EM DESENVOLVIMENTO</v>
          </cell>
          <cell r="G90">
            <v>15</v>
          </cell>
          <cell r="H90" t="str">
            <v>18150-001</v>
          </cell>
        </row>
        <row r="91">
          <cell r="B91">
            <v>3521002</v>
          </cell>
          <cell r="C91" t="str">
            <v>MICHELLE SPINA</v>
          </cell>
          <cell r="D91" t="str">
            <v>SUDESTE</v>
          </cell>
          <cell r="E91" t="str">
            <v>MD_RSI</v>
          </cell>
          <cell r="F91" t="str">
            <v>MERCADO EM DESENVOLVIMENTO</v>
          </cell>
          <cell r="G91">
            <v>15</v>
          </cell>
          <cell r="H91" t="str">
            <v>18560-001</v>
          </cell>
        </row>
        <row r="92">
          <cell r="B92">
            <v>3522307</v>
          </cell>
          <cell r="C92" t="str">
            <v>MICHELLE SPINA</v>
          </cell>
          <cell r="D92" t="str">
            <v>SUDESTE</v>
          </cell>
          <cell r="E92" t="str">
            <v>MD_RSI</v>
          </cell>
          <cell r="F92" t="str">
            <v>MERCADO EM DESENVOLVIMENTO</v>
          </cell>
          <cell r="G92">
            <v>15</v>
          </cell>
          <cell r="H92" t="str">
            <v>18200-001</v>
          </cell>
        </row>
        <row r="93">
          <cell r="B93">
            <v>3522406</v>
          </cell>
          <cell r="C93" t="str">
            <v>MICHELLE SPINA</v>
          </cell>
          <cell r="D93" t="str">
            <v>SUDESTE</v>
          </cell>
          <cell r="E93" t="str">
            <v>MD_RSI</v>
          </cell>
          <cell r="F93" t="str">
            <v>MERCADO EM DESENVOLVIMENTO</v>
          </cell>
          <cell r="G93">
            <v>15</v>
          </cell>
          <cell r="H93" t="str">
            <v>18400-001</v>
          </cell>
        </row>
        <row r="94">
          <cell r="B94">
            <v>3522604</v>
          </cell>
          <cell r="C94" t="str">
            <v>MICHELLE SPINA</v>
          </cell>
          <cell r="D94" t="str">
            <v>SUDESTE</v>
          </cell>
          <cell r="E94" t="str">
            <v>MD_RSI</v>
          </cell>
          <cell r="F94" t="str">
            <v>MERCADO EM DESENVOLVIMENTO</v>
          </cell>
          <cell r="G94">
            <v>19</v>
          </cell>
          <cell r="H94" t="str">
            <v>13970-001</v>
          </cell>
        </row>
        <row r="95">
          <cell r="B95">
            <v>3524105</v>
          </cell>
          <cell r="C95" t="str">
            <v>IVONE COSTA</v>
          </cell>
          <cell r="D95" t="str">
            <v>NOROESTE</v>
          </cell>
          <cell r="E95" t="str">
            <v>MD_RSI</v>
          </cell>
          <cell r="F95" t="str">
            <v>MERCADO EM DESENVOLVIMENTO</v>
          </cell>
          <cell r="G95">
            <v>16</v>
          </cell>
          <cell r="H95" t="str">
            <v>14500-001</v>
          </cell>
        </row>
        <row r="96">
          <cell r="B96">
            <v>3524303</v>
          </cell>
          <cell r="C96" t="str">
            <v>IVONE COSTA</v>
          </cell>
          <cell r="D96" t="str">
            <v>NOROESTE</v>
          </cell>
          <cell r="E96" t="str">
            <v>MD_RSI</v>
          </cell>
          <cell r="F96" t="str">
            <v>MERCADO EM DESENVOLVIMENTO</v>
          </cell>
          <cell r="G96">
            <v>16</v>
          </cell>
          <cell r="H96" t="str">
            <v>14870-001</v>
          </cell>
        </row>
        <row r="97">
          <cell r="B97">
            <v>3524808</v>
          </cell>
          <cell r="C97" t="str">
            <v>IVONE COSTA</v>
          </cell>
          <cell r="D97" t="str">
            <v>NOROESTE</v>
          </cell>
          <cell r="E97" t="str">
            <v>MD_RSI</v>
          </cell>
          <cell r="F97" t="str">
            <v>MERCADO EM DESENVOLVIMENTO</v>
          </cell>
          <cell r="G97">
            <v>17</v>
          </cell>
          <cell r="H97" t="str">
            <v>15700-001</v>
          </cell>
        </row>
        <row r="98">
          <cell r="B98">
            <v>3525102</v>
          </cell>
          <cell r="C98" t="str">
            <v>IVONE COSTA</v>
          </cell>
          <cell r="D98" t="str">
            <v>NOROESTE</v>
          </cell>
          <cell r="E98" t="str">
            <v>MD_RSI</v>
          </cell>
          <cell r="F98" t="str">
            <v>MERCADO EM DESENVOLVIMENTO</v>
          </cell>
          <cell r="G98">
            <v>16</v>
          </cell>
          <cell r="H98" t="str">
            <v>14680-001</v>
          </cell>
        </row>
        <row r="99">
          <cell r="B99">
            <v>3525706</v>
          </cell>
          <cell r="C99" t="str">
            <v>IVONE COSTA</v>
          </cell>
          <cell r="D99" t="str">
            <v>NOROESTE</v>
          </cell>
          <cell r="E99" t="str">
            <v>MD_RSI</v>
          </cell>
          <cell r="F99" t="str">
            <v>MERCADO EM DESENVOLVIMENTO</v>
          </cell>
          <cell r="G99">
            <v>17</v>
          </cell>
          <cell r="H99" t="str">
            <v>15200-001</v>
          </cell>
        </row>
        <row r="100">
          <cell r="B100">
            <v>3526407</v>
          </cell>
          <cell r="C100" t="str">
            <v>IVONE COSTA</v>
          </cell>
          <cell r="D100" t="str">
            <v>NOROESTE</v>
          </cell>
          <cell r="E100" t="str">
            <v>MD_RSI</v>
          </cell>
          <cell r="F100" t="str">
            <v>MERCADO EM DESENVOLVIMENTO</v>
          </cell>
          <cell r="G100">
            <v>15</v>
          </cell>
          <cell r="H100" t="str">
            <v>18500-001</v>
          </cell>
        </row>
        <row r="101">
          <cell r="B101">
            <v>3526704</v>
          </cell>
          <cell r="C101" t="str">
            <v>MICHELLE SPINA</v>
          </cell>
          <cell r="D101" t="str">
            <v>SUDESTE</v>
          </cell>
          <cell r="E101" t="str">
            <v>MD_RSI</v>
          </cell>
          <cell r="F101" t="str">
            <v>MERCADO EM DESENVOLVIMENTO</v>
          </cell>
          <cell r="G101">
            <v>19</v>
          </cell>
          <cell r="H101" t="str">
            <v>13610-001</v>
          </cell>
        </row>
        <row r="102">
          <cell r="B102">
            <v>3526803</v>
          </cell>
          <cell r="C102" t="str">
            <v>MICHELLE SPINA</v>
          </cell>
          <cell r="D102" t="str">
            <v>SUDESTE</v>
          </cell>
          <cell r="E102" t="str">
            <v>MD_RSI</v>
          </cell>
          <cell r="F102" t="str">
            <v>MERCADO EM DESENVOLVIMENTO</v>
          </cell>
          <cell r="G102">
            <v>14</v>
          </cell>
          <cell r="H102" t="str">
            <v>18680-001</v>
          </cell>
        </row>
        <row r="103">
          <cell r="B103">
            <v>3527108</v>
          </cell>
          <cell r="C103" t="str">
            <v>IVONE COSTA</v>
          </cell>
          <cell r="D103" t="str">
            <v>NOROESTE</v>
          </cell>
          <cell r="E103" t="str">
            <v>MD_RSI</v>
          </cell>
          <cell r="F103" t="str">
            <v>MERCADO EM DESENVOLVIMENTO</v>
          </cell>
          <cell r="G103">
            <v>14</v>
          </cell>
          <cell r="H103" t="str">
            <v>16400-001</v>
          </cell>
        </row>
        <row r="104">
          <cell r="B104">
            <v>3527207</v>
          </cell>
          <cell r="C104" t="str">
            <v>MICHELLE SPINA</v>
          </cell>
          <cell r="D104" t="str">
            <v>SUDESTE</v>
          </cell>
          <cell r="E104" t="str">
            <v>MD_RSI</v>
          </cell>
          <cell r="F104" t="str">
            <v>MERCADO EM DESENVOLVIMENTO</v>
          </cell>
          <cell r="G104">
            <v>12</v>
          </cell>
          <cell r="H104" t="str">
            <v>12600-001</v>
          </cell>
        </row>
        <row r="105">
          <cell r="B105">
            <v>3527306</v>
          </cell>
          <cell r="C105" t="str">
            <v>MICHELLE SPINA</v>
          </cell>
          <cell r="D105" t="str">
            <v>SUDESTE</v>
          </cell>
          <cell r="E105" t="str">
            <v>MD_RSI</v>
          </cell>
          <cell r="F105" t="str">
            <v>MERCADO EM DESENVOLVIMENTO</v>
          </cell>
          <cell r="G105">
            <v>19</v>
          </cell>
          <cell r="H105" t="str">
            <v>13290-001</v>
          </cell>
        </row>
        <row r="106">
          <cell r="B106">
            <v>3529005</v>
          </cell>
          <cell r="C106" t="str">
            <v>IVONE COSTA</v>
          </cell>
          <cell r="D106" t="str">
            <v>NOROESTE</v>
          </cell>
          <cell r="E106" t="str">
            <v>MD_RSI</v>
          </cell>
          <cell r="F106" t="str">
            <v>MERCADO EM DESENVOLVIMENTO</v>
          </cell>
          <cell r="G106">
            <v>14</v>
          </cell>
          <cell r="H106" t="str">
            <v>17500-001</v>
          </cell>
        </row>
        <row r="107">
          <cell r="B107">
            <v>3529302</v>
          </cell>
          <cell r="C107" t="str">
            <v>IVONE COSTA</v>
          </cell>
          <cell r="D107" t="str">
            <v>NOROESTE</v>
          </cell>
          <cell r="E107" t="str">
            <v>MD_RSI</v>
          </cell>
          <cell r="F107" t="str">
            <v>MERCADO EM DESENVOLVIMENTO</v>
          </cell>
          <cell r="G107">
            <v>16</v>
          </cell>
          <cell r="H107" t="str">
            <v>15990-001</v>
          </cell>
        </row>
        <row r="108">
          <cell r="B108">
            <v>3530102</v>
          </cell>
          <cell r="C108" t="str">
            <v>IVONE COSTA</v>
          </cell>
          <cell r="D108" t="str">
            <v>NOROESTE</v>
          </cell>
          <cell r="E108" t="str">
            <v>MD_RSI</v>
          </cell>
          <cell r="F108" t="str">
            <v>MERCADO EM DESENVOLVIMENTO</v>
          </cell>
          <cell r="G108">
            <v>18</v>
          </cell>
          <cell r="H108" t="str">
            <v>16800-001</v>
          </cell>
        </row>
        <row r="109">
          <cell r="B109">
            <v>3530508</v>
          </cell>
          <cell r="C109" t="str">
            <v>MICHELLE SPINA</v>
          </cell>
          <cell r="D109" t="str">
            <v>SUDESTE</v>
          </cell>
          <cell r="E109" t="str">
            <v>MD_RSI</v>
          </cell>
          <cell r="F109" t="str">
            <v>MERCADO EM DESENVOLVIMENTO</v>
          </cell>
          <cell r="G109">
            <v>19</v>
          </cell>
          <cell r="H109" t="str">
            <v>13730-001</v>
          </cell>
        </row>
        <row r="110">
          <cell r="B110">
            <v>3531308</v>
          </cell>
          <cell r="C110" t="str">
            <v>IVONE COSTA</v>
          </cell>
          <cell r="D110" t="str">
            <v>NOROESTE</v>
          </cell>
          <cell r="E110" t="str">
            <v>MD_RSI</v>
          </cell>
          <cell r="F110" t="str">
            <v>MERCADO EM DESENVOLVIMENTO</v>
          </cell>
          <cell r="G110">
            <v>16</v>
          </cell>
          <cell r="H110" t="str">
            <v>15910-001</v>
          </cell>
        </row>
        <row r="111">
          <cell r="B111">
            <v>3533908</v>
          </cell>
          <cell r="C111" t="str">
            <v>IVONE COSTA</v>
          </cell>
          <cell r="D111" t="str">
            <v>NOROESTE</v>
          </cell>
          <cell r="E111" t="str">
            <v>MD_RSI</v>
          </cell>
          <cell r="F111" t="str">
            <v>MERCADO EM DESENVOLVIMENTO</v>
          </cell>
          <cell r="G111">
            <v>17</v>
          </cell>
          <cell r="H111" t="str">
            <v>15400-001</v>
          </cell>
        </row>
        <row r="112">
          <cell r="B112">
            <v>3534302</v>
          </cell>
          <cell r="C112" t="str">
            <v>IVONE COSTA</v>
          </cell>
          <cell r="D112" t="str">
            <v>NOROESTE</v>
          </cell>
          <cell r="E112" t="str">
            <v>MD_RSI</v>
          </cell>
          <cell r="F112" t="str">
            <v>MERCADO EM DESENVOLVIMENTO</v>
          </cell>
          <cell r="G112">
            <v>16</v>
          </cell>
          <cell r="H112" t="str">
            <v>14620-001</v>
          </cell>
        </row>
        <row r="113">
          <cell r="B113">
            <v>3534708</v>
          </cell>
          <cell r="C113" t="str">
            <v>IVONE COSTA</v>
          </cell>
          <cell r="D113" t="str">
            <v>NOROESTE</v>
          </cell>
          <cell r="E113" t="str">
            <v>MD_RSI</v>
          </cell>
          <cell r="F113" t="str">
            <v>MERCADO EM DESENVOLVIMENTO</v>
          </cell>
          <cell r="G113">
            <v>14</v>
          </cell>
          <cell r="H113" t="str">
            <v>19900-001</v>
          </cell>
        </row>
        <row r="114">
          <cell r="B114">
            <v>3537107</v>
          </cell>
          <cell r="C114" t="str">
            <v>MICHELLE SPINA</v>
          </cell>
          <cell r="D114" t="str">
            <v>SUDESTE</v>
          </cell>
          <cell r="E114" t="str">
            <v>MD_RSI</v>
          </cell>
          <cell r="F114" t="str">
            <v>MERCADO EM DESENVOLVIMENTO</v>
          </cell>
          <cell r="G114">
            <v>19</v>
          </cell>
          <cell r="H114" t="str">
            <v>13920-001</v>
          </cell>
        </row>
        <row r="115">
          <cell r="B115">
            <v>3537305</v>
          </cell>
          <cell r="C115" t="str">
            <v>IVONE COSTA</v>
          </cell>
          <cell r="D115" t="str">
            <v>NOROESTE</v>
          </cell>
          <cell r="E115" t="str">
            <v>MD_RSI</v>
          </cell>
          <cell r="F115" t="str">
            <v>MERCADO EM DESENVOLVIMENTO</v>
          </cell>
          <cell r="G115">
            <v>18</v>
          </cell>
          <cell r="H115" t="str">
            <v>16300-001</v>
          </cell>
        </row>
        <row r="116">
          <cell r="B116">
            <v>3537800</v>
          </cell>
          <cell r="C116" t="str">
            <v>MICHELLE SPINA</v>
          </cell>
          <cell r="D116" t="str">
            <v>SUDESTE</v>
          </cell>
          <cell r="E116" t="str">
            <v>MD_RSI</v>
          </cell>
          <cell r="F116" t="str">
            <v>MERCADO EM DESENVOLVIMENTO</v>
          </cell>
          <cell r="G116">
            <v>15</v>
          </cell>
          <cell r="H116" t="str">
            <v>18170-001</v>
          </cell>
        </row>
        <row r="117">
          <cell r="B117">
            <v>3538006</v>
          </cell>
          <cell r="C117" t="str">
            <v>MICHELLE SPINA</v>
          </cell>
          <cell r="D117" t="str">
            <v>SUDESTE</v>
          </cell>
          <cell r="E117" t="str">
            <v>MD_RSI</v>
          </cell>
          <cell r="F117" t="str">
            <v>MERCADO EM DESENVOLVIMENTO</v>
          </cell>
          <cell r="G117">
            <v>12</v>
          </cell>
          <cell r="H117" t="str">
            <v>12400-001</v>
          </cell>
        </row>
        <row r="118">
          <cell r="B118">
            <v>3539301</v>
          </cell>
          <cell r="C118" t="str">
            <v>MICHELLE SPINA</v>
          </cell>
          <cell r="D118" t="str">
            <v>SUDESTE</v>
          </cell>
          <cell r="E118" t="str">
            <v>MD_RSI</v>
          </cell>
          <cell r="F118" t="str">
            <v>MERCADO EM DESENVOLVIMENTO</v>
          </cell>
          <cell r="G118">
            <v>19</v>
          </cell>
          <cell r="H118" t="str">
            <v>13630-001</v>
          </cell>
        </row>
        <row r="119">
          <cell r="B119">
            <v>3540200</v>
          </cell>
          <cell r="C119" t="str">
            <v>IVONE COSTA</v>
          </cell>
          <cell r="D119" t="str">
            <v>NOROESTE</v>
          </cell>
          <cell r="E119" t="str">
            <v>MD_RSI</v>
          </cell>
          <cell r="F119" t="str">
            <v>MERCADO EM DESENVOLVIMENTO</v>
          </cell>
          <cell r="G119">
            <v>16</v>
          </cell>
          <cell r="H119" t="str">
            <v>14180-001</v>
          </cell>
        </row>
        <row r="120">
          <cell r="B120">
            <v>3540705</v>
          </cell>
          <cell r="C120" t="str">
            <v>MICHELLE SPINA</v>
          </cell>
          <cell r="D120" t="str">
            <v>SUDESTE</v>
          </cell>
          <cell r="E120" t="str">
            <v>MD_RSI</v>
          </cell>
          <cell r="F120" t="str">
            <v>MERCADO EM DESENVOLVIMENTO</v>
          </cell>
          <cell r="G120">
            <v>19</v>
          </cell>
          <cell r="H120" t="str">
            <v>13660-001</v>
          </cell>
        </row>
        <row r="121">
          <cell r="B121">
            <v>3540754</v>
          </cell>
          <cell r="C121" t="str">
            <v>MICHELLE SPINA</v>
          </cell>
          <cell r="D121" t="str">
            <v>SUDESTE</v>
          </cell>
          <cell r="E121" t="str">
            <v>MD_RSI</v>
          </cell>
          <cell r="F121" t="str">
            <v>MERCADO EM DESENVOLVIMENTO</v>
          </cell>
          <cell r="G121">
            <v>12</v>
          </cell>
          <cell r="H121" t="str">
            <v>12525-001</v>
          </cell>
        </row>
        <row r="122">
          <cell r="B122">
            <v>3540804</v>
          </cell>
          <cell r="C122" t="str">
            <v>IVONE COSTA</v>
          </cell>
          <cell r="D122" t="str">
            <v>NOROESTE</v>
          </cell>
          <cell r="E122" t="str">
            <v>MD_RSI</v>
          </cell>
          <cell r="F122" t="str">
            <v>MERCADO EM DESENVOLVIMENTO</v>
          </cell>
          <cell r="G122">
            <v>17</v>
          </cell>
          <cell r="H122" t="str">
            <v>15105-001</v>
          </cell>
        </row>
        <row r="123">
          <cell r="B123">
            <v>3541208</v>
          </cell>
          <cell r="C123" t="str">
            <v>IVONE COSTA</v>
          </cell>
          <cell r="D123" t="str">
            <v>NOROESTE</v>
          </cell>
          <cell r="E123" t="str">
            <v>MD_RSI</v>
          </cell>
          <cell r="F123" t="str">
            <v>MERCADO EM DESENVOLVIMENTO</v>
          </cell>
          <cell r="G123">
            <v>18</v>
          </cell>
          <cell r="H123" t="str">
            <v>19300-001</v>
          </cell>
        </row>
        <row r="124">
          <cell r="B124">
            <v>3541406</v>
          </cell>
          <cell r="C124" t="str">
            <v>IVONE COSTA</v>
          </cell>
          <cell r="D124" t="str">
            <v>NOROESTE</v>
          </cell>
          <cell r="E124" t="str">
            <v>MD_RSI</v>
          </cell>
          <cell r="F124" t="str">
            <v>MERCADO EM DESENVOLVIMENTO</v>
          </cell>
          <cell r="G124">
            <v>18</v>
          </cell>
          <cell r="H124" t="str">
            <v>19000-001</v>
          </cell>
        </row>
        <row r="125">
          <cell r="B125">
            <v>3541604</v>
          </cell>
          <cell r="C125" t="str">
            <v>IVONE COSTA</v>
          </cell>
          <cell r="D125" t="str">
            <v>NOROESTE</v>
          </cell>
          <cell r="E125" t="str">
            <v>MD_RSI</v>
          </cell>
          <cell r="F125" t="str">
            <v>MERCADO EM DESENVOLVIMENTO</v>
          </cell>
          <cell r="G125">
            <v>14</v>
          </cell>
          <cell r="H125" t="str">
            <v>16370-001</v>
          </cell>
        </row>
        <row r="126">
          <cell r="B126">
            <v>3542602</v>
          </cell>
          <cell r="C126" t="str">
            <v>MICHELLE SPINA</v>
          </cell>
          <cell r="D126" t="str">
            <v>SUDESTE</v>
          </cell>
          <cell r="E126" t="str">
            <v>MD_RSI</v>
          </cell>
          <cell r="F126" t="str">
            <v>MERCADO EM DESENVOLVIMENTO</v>
          </cell>
          <cell r="G126">
            <v>13</v>
          </cell>
          <cell r="H126" t="str">
            <v>11900-000</v>
          </cell>
        </row>
        <row r="127">
          <cell r="B127">
            <v>3546306</v>
          </cell>
          <cell r="C127" t="str">
            <v>MICHELLE SPINA</v>
          </cell>
          <cell r="D127" t="str">
            <v>SUDESTE</v>
          </cell>
          <cell r="E127" t="str">
            <v>MD_RSI</v>
          </cell>
          <cell r="F127" t="str">
            <v>MERCADO EM DESENVOLVIMENTO</v>
          </cell>
          <cell r="G127">
            <v>19</v>
          </cell>
          <cell r="H127" t="str">
            <v>13650-001</v>
          </cell>
        </row>
        <row r="128">
          <cell r="B128">
            <v>3546405</v>
          </cell>
          <cell r="C128" t="str">
            <v>IVONE COSTA</v>
          </cell>
          <cell r="D128" t="str">
            <v>NOROESTE</v>
          </cell>
          <cell r="E128" t="str">
            <v>MD_RSI</v>
          </cell>
          <cell r="F128" t="str">
            <v>MERCADO EM DESENVOLVIMENTO</v>
          </cell>
          <cell r="G128">
            <v>14</v>
          </cell>
          <cell r="H128" t="str">
            <v>18900-001</v>
          </cell>
        </row>
        <row r="129">
          <cell r="B129">
            <v>3547601</v>
          </cell>
          <cell r="C129" t="str">
            <v>IVONE COSTA</v>
          </cell>
          <cell r="D129" t="str">
            <v>NOROESTE</v>
          </cell>
          <cell r="E129" t="str">
            <v>MD_RSI</v>
          </cell>
          <cell r="F129" t="str">
            <v>MERCADO EM DESENVOLVIMENTO</v>
          </cell>
          <cell r="G129">
            <v>16</v>
          </cell>
          <cell r="H129" t="str">
            <v>14270-001</v>
          </cell>
        </row>
        <row r="130">
          <cell r="B130">
            <v>3549102</v>
          </cell>
          <cell r="C130" t="str">
            <v>MICHELLE SPINA</v>
          </cell>
          <cell r="D130" t="str">
            <v>SUDESTE</v>
          </cell>
          <cell r="E130" t="str">
            <v>MD_RSI</v>
          </cell>
          <cell r="F130" t="str">
            <v>MERCADO EM DESENVOLVIMENTO</v>
          </cell>
          <cell r="G130">
            <v>19</v>
          </cell>
          <cell r="H130" t="str">
            <v>13870-001</v>
          </cell>
        </row>
        <row r="131">
          <cell r="B131">
            <v>3549409</v>
          </cell>
          <cell r="C131" t="str">
            <v>IVONE COSTA</v>
          </cell>
          <cell r="D131" t="str">
            <v>NOROESTE</v>
          </cell>
          <cell r="E131" t="str">
            <v>MD_RSI</v>
          </cell>
          <cell r="F131" t="str">
            <v>MERCADO EM DESENVOLVIMENTO</v>
          </cell>
          <cell r="G131">
            <v>16</v>
          </cell>
          <cell r="H131" t="str">
            <v>14600-001</v>
          </cell>
        </row>
        <row r="132">
          <cell r="B132">
            <v>3549706</v>
          </cell>
          <cell r="C132" t="str">
            <v>MICHELLE SPINA</v>
          </cell>
          <cell r="D132" t="str">
            <v>SUDESTE</v>
          </cell>
          <cell r="E132" t="str">
            <v>MD_RSI</v>
          </cell>
          <cell r="F132" t="str">
            <v>MERCADO EM DESENVOLVIMENTO</v>
          </cell>
          <cell r="G132">
            <v>19</v>
          </cell>
          <cell r="H132" t="str">
            <v>13720-001</v>
          </cell>
        </row>
        <row r="133">
          <cell r="B133">
            <v>3551603</v>
          </cell>
          <cell r="C133" t="str">
            <v>MICHELLE SPINA</v>
          </cell>
          <cell r="D133" t="str">
            <v>SUDESTE</v>
          </cell>
          <cell r="E133" t="str">
            <v>MD_RSI</v>
          </cell>
          <cell r="F133" t="str">
            <v>MERCADO EM DESENVOLVIMENTO</v>
          </cell>
          <cell r="G133">
            <v>19</v>
          </cell>
          <cell r="H133" t="str">
            <v>13930-001</v>
          </cell>
        </row>
        <row r="134">
          <cell r="B134">
            <v>3551504</v>
          </cell>
          <cell r="C134" t="str">
            <v>IVONE COSTA</v>
          </cell>
          <cell r="D134" t="str">
            <v>NOROESTE</v>
          </cell>
          <cell r="E134" t="str">
            <v>MD_RSI</v>
          </cell>
          <cell r="F134" t="str">
            <v>MERCADO EM DESENVOLVIMENTO</v>
          </cell>
          <cell r="G134">
            <v>16</v>
          </cell>
          <cell r="H134" t="str">
            <v>14150-001</v>
          </cell>
        </row>
        <row r="135">
          <cell r="B135">
            <v>3553302</v>
          </cell>
          <cell r="C135" t="str">
            <v>MICHELLE SPINA</v>
          </cell>
          <cell r="D135" t="str">
            <v>SUDESTE</v>
          </cell>
          <cell r="E135" t="str">
            <v>MD_RSI</v>
          </cell>
          <cell r="F135" t="str">
            <v>MERCADO EM DESENVOLVIMENTO</v>
          </cell>
          <cell r="G135">
            <v>19</v>
          </cell>
          <cell r="H135" t="str">
            <v>13710-001</v>
          </cell>
        </row>
        <row r="136">
          <cell r="B136">
            <v>3554003</v>
          </cell>
          <cell r="C136" t="str">
            <v>MICHELLE SPINA</v>
          </cell>
          <cell r="D136" t="str">
            <v>SUDESTE</v>
          </cell>
          <cell r="E136" t="str">
            <v>MD_RSI</v>
          </cell>
          <cell r="F136" t="str">
            <v>MERCADO EM DESENVOLVIMENTO</v>
          </cell>
          <cell r="G136">
            <v>15</v>
          </cell>
          <cell r="H136" t="str">
            <v>18270-001</v>
          </cell>
        </row>
        <row r="137">
          <cell r="B137">
            <v>3554805</v>
          </cell>
          <cell r="C137" t="str">
            <v>MICHELLE SPINA</v>
          </cell>
          <cell r="D137" t="str">
            <v>SUDESTE</v>
          </cell>
          <cell r="E137" t="str">
            <v>MD_RSI</v>
          </cell>
          <cell r="F137" t="str">
            <v>MERCADO EM DESENVOLVIMENTO</v>
          </cell>
          <cell r="G137">
            <v>12</v>
          </cell>
          <cell r="H137" t="str">
            <v>12120-001</v>
          </cell>
        </row>
        <row r="138">
          <cell r="B138">
            <v>3556305</v>
          </cell>
          <cell r="C138" t="str">
            <v>IVONE COSTA</v>
          </cell>
          <cell r="D138" t="str">
            <v>NOROESTE</v>
          </cell>
          <cell r="E138" t="str">
            <v>MD_RSI</v>
          </cell>
          <cell r="F138" t="str">
            <v>MERCADO EM DESENVOLVIMENTO</v>
          </cell>
          <cell r="G138">
            <v>18</v>
          </cell>
          <cell r="H138" t="str">
            <v>16880-001</v>
          </cell>
        </row>
        <row r="139">
          <cell r="B139">
            <v>3557105</v>
          </cell>
          <cell r="C139" t="str">
            <v>IVONE COSTA</v>
          </cell>
          <cell r="D139" t="str">
            <v>NOROESTE</v>
          </cell>
          <cell r="E139" t="str">
            <v>MD_RSI</v>
          </cell>
          <cell r="F139" t="str">
            <v>MERCADO EM DESENVOLVIMENTO</v>
          </cell>
          <cell r="G139">
            <v>17</v>
          </cell>
          <cell r="H139" t="str">
            <v>15500-001</v>
          </cell>
        </row>
      </sheetData>
      <sheetData sheetId="12">
        <row r="2">
          <cell r="A2" t="str">
            <v>ADAMANTINA</v>
          </cell>
          <cell r="B2" t="str">
            <v>NOROESTE</v>
          </cell>
          <cell r="C2" t="str">
            <v>MD 2</v>
          </cell>
          <cell r="D2" t="str">
            <v>Claro</v>
          </cell>
          <cell r="E2" t="str">
            <v>600M+100GB=R$109,90 por 6M, após R$139,90</v>
          </cell>
          <cell r="F2" t="str">
            <v>Fibra</v>
          </cell>
          <cell r="G2">
            <v>600</v>
          </cell>
          <cell r="H2">
            <v>139.9</v>
          </cell>
          <cell r="I2">
            <v>109.9</v>
          </cell>
          <cell r="J2" t="str">
            <v>GLOBOPLAY</v>
          </cell>
          <cell r="L2">
            <v>3500105</v>
          </cell>
        </row>
        <row r="3">
          <cell r="A3" t="str">
            <v>ADAMANTINA</v>
          </cell>
          <cell r="B3" t="str">
            <v>NOROESTE</v>
          </cell>
          <cell r="C3" t="str">
            <v>MD 2</v>
          </cell>
          <cell r="D3" t="str">
            <v>Vivo</v>
          </cell>
          <cell r="E3" t="str">
            <v>500M+70GB=R$160,00</v>
          </cell>
          <cell r="F3" t="str">
            <v>Fibra</v>
          </cell>
          <cell r="I3" t="str">
            <v/>
          </cell>
          <cell r="J3">
            <v>0</v>
          </cell>
          <cell r="L3">
            <v>3500105</v>
          </cell>
        </row>
        <row r="4">
          <cell r="A4" t="str">
            <v>ADAMANTINA</v>
          </cell>
          <cell r="B4" t="str">
            <v>NOROESTE</v>
          </cell>
          <cell r="C4" t="str">
            <v>MD 2</v>
          </cell>
          <cell r="D4" t="str">
            <v>ISP LOCAL</v>
          </cell>
          <cell r="E4" t="str">
            <v>CABONNET - 600M R$49,95 - 3 MESES, APÓS R$99,90</v>
          </cell>
          <cell r="F4" t="str">
            <v>Fibra</v>
          </cell>
          <cell r="G4">
            <v>600</v>
          </cell>
          <cell r="H4">
            <v>99.9</v>
          </cell>
          <cell r="I4">
            <v>49.95</v>
          </cell>
          <cell r="J4">
            <v>0</v>
          </cell>
          <cell r="L4">
            <v>3500105</v>
          </cell>
        </row>
        <row r="5">
          <cell r="A5" t="str">
            <v>AGUDOS</v>
          </cell>
          <cell r="B5" t="str">
            <v>SUDESTE</v>
          </cell>
          <cell r="C5" t="str">
            <v>MD 2</v>
          </cell>
          <cell r="D5" t="str">
            <v>Claro</v>
          </cell>
          <cell r="E5" t="str">
            <v>600M+100GB=R$109,90 por 6M, após R$139,90</v>
          </cell>
          <cell r="F5" t="str">
            <v>Fibra</v>
          </cell>
          <cell r="G5">
            <v>600</v>
          </cell>
          <cell r="H5">
            <v>139.9</v>
          </cell>
          <cell r="I5">
            <v>109.9</v>
          </cell>
          <cell r="J5" t="str">
            <v>GLOBOPLAY</v>
          </cell>
          <cell r="L5">
            <v>3500709</v>
          </cell>
        </row>
        <row r="6">
          <cell r="A6" t="str">
            <v>AGUDOS</v>
          </cell>
          <cell r="B6" t="str">
            <v>SUDESTE</v>
          </cell>
          <cell r="C6" t="str">
            <v>MD 2</v>
          </cell>
          <cell r="D6" t="str">
            <v>Desktop</v>
          </cell>
          <cell r="E6" t="str">
            <v>600M+15GB=R$129,99 - 6 MESES, APÓS R$139,99</v>
          </cell>
          <cell r="F6" t="str">
            <v>Fibra</v>
          </cell>
          <cell r="G6">
            <v>600</v>
          </cell>
          <cell r="H6">
            <v>139.99</v>
          </cell>
          <cell r="I6">
            <v>129.99</v>
          </cell>
          <cell r="J6">
            <v>0</v>
          </cell>
          <cell r="L6">
            <v>3500709</v>
          </cell>
        </row>
        <row r="7">
          <cell r="A7" t="str">
            <v>AGUDOS</v>
          </cell>
          <cell r="B7" t="str">
            <v>SUDESTE</v>
          </cell>
          <cell r="C7" t="str">
            <v>MD 2</v>
          </cell>
          <cell r="D7" t="str">
            <v>Vero</v>
          </cell>
          <cell r="E7" t="str">
            <v>850M+60GB=R$149,99 (C/ GLOBOPLAY, HBO, DISNEY+)</v>
          </cell>
          <cell r="F7" t="str">
            <v>Fibra</v>
          </cell>
          <cell r="G7">
            <v>850</v>
          </cell>
          <cell r="H7">
            <v>149.99</v>
          </cell>
          <cell r="I7" t="str">
            <v/>
          </cell>
          <cell r="J7" t="str">
            <v>GLOBOPLAY, HBO, DISNEY+</v>
          </cell>
          <cell r="L7">
            <v>3500709</v>
          </cell>
        </row>
        <row r="8">
          <cell r="A8" t="str">
            <v>AGUDOS</v>
          </cell>
          <cell r="B8" t="str">
            <v>SUDESTE</v>
          </cell>
          <cell r="C8" t="str">
            <v>MD 2</v>
          </cell>
          <cell r="D8" t="str">
            <v>ISP LOCAL</v>
          </cell>
          <cell r="E8" t="str">
            <v>BRAYO - 1GB R$99,99</v>
          </cell>
          <cell r="F8" t="str">
            <v>Fibra</v>
          </cell>
          <cell r="G8">
            <v>1000</v>
          </cell>
          <cell r="H8">
            <v>99.99</v>
          </cell>
          <cell r="I8" t="str">
            <v/>
          </cell>
          <cell r="J8">
            <v>0</v>
          </cell>
          <cell r="L8">
            <v>3500709</v>
          </cell>
        </row>
        <row r="9">
          <cell r="A9" t="str">
            <v>ALVARES MACHADO</v>
          </cell>
          <cell r="B9" t="str">
            <v>NOROESTE</v>
          </cell>
          <cell r="C9" t="str">
            <v>MD 2</v>
          </cell>
          <cell r="D9" t="str">
            <v>Claro</v>
          </cell>
          <cell r="E9" t="str">
            <v>600M+100GB=R$109,90 por 6M, após R$139,90</v>
          </cell>
          <cell r="F9" t="str">
            <v>Fibra</v>
          </cell>
          <cell r="G9">
            <v>600</v>
          </cell>
          <cell r="H9">
            <v>139.9</v>
          </cell>
          <cell r="I9">
            <v>109.9</v>
          </cell>
          <cell r="J9" t="str">
            <v>GLOBOPLAY</v>
          </cell>
          <cell r="L9">
            <v>3501301</v>
          </cell>
        </row>
        <row r="10">
          <cell r="A10" t="str">
            <v>ALVARES MACHADO</v>
          </cell>
          <cell r="B10" t="str">
            <v>NOROESTE</v>
          </cell>
          <cell r="C10" t="str">
            <v>MD 2</v>
          </cell>
          <cell r="D10" t="str">
            <v>Alares</v>
          </cell>
          <cell r="E10" t="str">
            <v>1GB + GLOBOPLAY R$99,90</v>
          </cell>
          <cell r="F10" t="str">
            <v>Fibra</v>
          </cell>
          <cell r="G10">
            <v>1000</v>
          </cell>
          <cell r="H10">
            <v>99.9</v>
          </cell>
          <cell r="I10" t="str">
            <v/>
          </cell>
          <cell r="J10" t="str">
            <v>GLOBOPLAY</v>
          </cell>
          <cell r="L10">
            <v>3501301</v>
          </cell>
        </row>
        <row r="11">
          <cell r="A11" t="str">
            <v>ALVARES MACHADO</v>
          </cell>
          <cell r="B11" t="str">
            <v>NOROESTE</v>
          </cell>
          <cell r="C11" t="str">
            <v>MD 2</v>
          </cell>
          <cell r="D11" t="str">
            <v>ISP LOCAL</v>
          </cell>
          <cell r="E11" t="str">
            <v>FLEETNET -750M R$99,99</v>
          </cell>
          <cell r="F11" t="str">
            <v>Fibra</v>
          </cell>
          <cell r="G11">
            <v>750</v>
          </cell>
          <cell r="H11">
            <v>99.99</v>
          </cell>
          <cell r="I11" t="str">
            <v/>
          </cell>
          <cell r="J11">
            <v>0</v>
          </cell>
          <cell r="L11">
            <v>3501301</v>
          </cell>
        </row>
        <row r="12">
          <cell r="A12" t="str">
            <v>AMERICANA</v>
          </cell>
          <cell r="B12" t="str">
            <v>CENTRAL</v>
          </cell>
          <cell r="C12" t="str">
            <v>PADRÃO</v>
          </cell>
          <cell r="D12" t="str">
            <v>Claro</v>
          </cell>
          <cell r="E12" t="str">
            <v>600M+100GB=R$159,90</v>
          </cell>
          <cell r="F12" t="str">
            <v>Fibra</v>
          </cell>
          <cell r="G12">
            <v>600</v>
          </cell>
          <cell r="H12">
            <v>159.9</v>
          </cell>
          <cell r="I12" t="str">
            <v/>
          </cell>
          <cell r="J12" t="str">
            <v>GLOBOPLAY</v>
          </cell>
          <cell r="L12">
            <v>3501608</v>
          </cell>
        </row>
        <row r="13">
          <cell r="A13" t="str">
            <v>AMERICANA</v>
          </cell>
          <cell r="B13" t="str">
            <v>CENTRAL</v>
          </cell>
          <cell r="C13" t="str">
            <v>PADRÃO</v>
          </cell>
          <cell r="D13" t="str">
            <v>Vivo</v>
          </cell>
          <cell r="E13" t="str">
            <v>500M+70GB=R$160,00</v>
          </cell>
          <cell r="F13" t="str">
            <v>Fibra</v>
          </cell>
          <cell r="I13" t="str">
            <v/>
          </cell>
          <cell r="J13">
            <v>0</v>
          </cell>
          <cell r="L13">
            <v>3501608</v>
          </cell>
        </row>
        <row r="14">
          <cell r="A14" t="str">
            <v>AMERICANA</v>
          </cell>
          <cell r="B14" t="str">
            <v>CENTRAL</v>
          </cell>
          <cell r="C14" t="str">
            <v>PADRÃO</v>
          </cell>
          <cell r="D14" t="str">
            <v>Desktop</v>
          </cell>
          <cell r="E14" t="str">
            <v>600M+15GB=R$129,99 - 6 MESES, APÓS R$139,99</v>
          </cell>
          <cell r="F14" t="str">
            <v>Fibra</v>
          </cell>
          <cell r="G14">
            <v>600</v>
          </cell>
          <cell r="H14">
            <v>139.99</v>
          </cell>
          <cell r="I14">
            <v>129.99</v>
          </cell>
          <cell r="J14">
            <v>0</v>
          </cell>
          <cell r="L14">
            <v>3501608</v>
          </cell>
        </row>
        <row r="15">
          <cell r="A15" t="str">
            <v>AMERICANA</v>
          </cell>
          <cell r="B15" t="str">
            <v>CENTRAL</v>
          </cell>
          <cell r="C15" t="str">
            <v>PADRÃO</v>
          </cell>
          <cell r="D15" t="str">
            <v>Vero</v>
          </cell>
          <cell r="E15" t="str">
            <v>850M+60GB=R$149,99 (C/ GLOBOPLAY, HBO, DISNEY+)</v>
          </cell>
          <cell r="F15" t="str">
            <v>Fibra</v>
          </cell>
          <cell r="G15">
            <v>850</v>
          </cell>
          <cell r="H15">
            <v>149.99</v>
          </cell>
          <cell r="I15" t="str">
            <v/>
          </cell>
          <cell r="J15" t="str">
            <v>GLOBOPLAY, HBO, DISNEY+</v>
          </cell>
          <cell r="L15">
            <v>3501608</v>
          </cell>
        </row>
        <row r="16">
          <cell r="A16" t="str">
            <v>AMERICANA</v>
          </cell>
          <cell r="B16" t="str">
            <v>CENTRAL</v>
          </cell>
          <cell r="C16" t="str">
            <v>PADRÃO</v>
          </cell>
          <cell r="D16" t="str">
            <v>ISP LOCAL</v>
          </cell>
          <cell r="E16" t="str">
            <v>SOS - 500M R$115,80</v>
          </cell>
          <cell r="F16" t="str">
            <v>Fibra</v>
          </cell>
          <cell r="G16">
            <v>500</v>
          </cell>
          <cell r="H16">
            <v>115.8</v>
          </cell>
          <cell r="I16" t="str">
            <v/>
          </cell>
          <cell r="J16">
            <v>0</v>
          </cell>
          <cell r="L16">
            <v>3501608</v>
          </cell>
        </row>
        <row r="17">
          <cell r="A17" t="str">
            <v>AMERICO BRASILIENSE</v>
          </cell>
          <cell r="B17" t="str">
            <v>OESTE</v>
          </cell>
          <cell r="C17" t="str">
            <v>RUBI</v>
          </cell>
          <cell r="D17" t="str">
            <v>Claro</v>
          </cell>
          <cell r="E17" t="str">
            <v>1GB+100GB = R$99,90</v>
          </cell>
          <cell r="F17" t="str">
            <v>Fibra</v>
          </cell>
          <cell r="G17">
            <v>1000</v>
          </cell>
          <cell r="H17">
            <v>99.9</v>
          </cell>
          <cell r="I17" t="str">
            <v/>
          </cell>
          <cell r="J17" t="str">
            <v>GLOBOPLAY</v>
          </cell>
          <cell r="L17">
            <v>3501707</v>
          </cell>
        </row>
        <row r="18">
          <cell r="A18" t="str">
            <v>AMERICO BRASILIENSE</v>
          </cell>
          <cell r="B18" t="str">
            <v>OESTE</v>
          </cell>
          <cell r="C18" t="str">
            <v>RUBI</v>
          </cell>
          <cell r="D18" t="str">
            <v>Vivo</v>
          </cell>
          <cell r="E18" t="str">
            <v>500M+70GB=R$160,00</v>
          </cell>
          <cell r="F18" t="str">
            <v>Fibra</v>
          </cell>
          <cell r="I18" t="str">
            <v/>
          </cell>
          <cell r="J18">
            <v>0</v>
          </cell>
          <cell r="L18">
            <v>3501707</v>
          </cell>
        </row>
        <row r="19">
          <cell r="A19" t="str">
            <v>AMERICO BRASILIENSE</v>
          </cell>
          <cell r="B19" t="str">
            <v>OESTE</v>
          </cell>
          <cell r="C19" t="str">
            <v>RUBI</v>
          </cell>
          <cell r="D19" t="str">
            <v>Desktop</v>
          </cell>
          <cell r="E19" t="str">
            <v>600M+15GB=R$129,99 - 6 MESES, APÓS R$139,99</v>
          </cell>
          <cell r="F19" t="str">
            <v>Fibra</v>
          </cell>
          <cell r="G19">
            <v>600</v>
          </cell>
          <cell r="H19">
            <v>139.99</v>
          </cell>
          <cell r="I19">
            <v>129.99</v>
          </cell>
          <cell r="J19">
            <v>0</v>
          </cell>
          <cell r="L19">
            <v>3501707</v>
          </cell>
        </row>
        <row r="20">
          <cell r="A20" t="str">
            <v>AMERICO BRASILIENSE</v>
          </cell>
          <cell r="B20" t="str">
            <v>OESTE</v>
          </cell>
          <cell r="C20" t="str">
            <v>RUBI</v>
          </cell>
          <cell r="D20" t="str">
            <v>Weclix</v>
          </cell>
          <cell r="E20" t="str">
            <v>1GB R$59,90 - 1ª MENSALIDADE, APÓS R$99,90</v>
          </cell>
          <cell r="F20" t="str">
            <v>Fibra</v>
          </cell>
          <cell r="G20">
            <v>1000</v>
          </cell>
          <cell r="H20">
            <v>99.9</v>
          </cell>
          <cell r="I20">
            <v>59.9</v>
          </cell>
          <cell r="J20">
            <v>0</v>
          </cell>
          <cell r="L20">
            <v>3501707</v>
          </cell>
        </row>
        <row r="21">
          <cell r="A21" t="str">
            <v>AMERICO BRASILIENSE</v>
          </cell>
          <cell r="B21" t="str">
            <v>OESTE</v>
          </cell>
          <cell r="C21" t="str">
            <v>RUBI</v>
          </cell>
          <cell r="D21" t="str">
            <v>ISP LOCAL</v>
          </cell>
          <cell r="E21" t="str">
            <v>CABONNET - 600M R$49,90 - 3 MESES, APÓS R$99,90</v>
          </cell>
          <cell r="F21" t="str">
            <v>Fibra</v>
          </cell>
          <cell r="G21">
            <v>600</v>
          </cell>
          <cell r="H21">
            <v>99.9</v>
          </cell>
          <cell r="I21">
            <v>49.9</v>
          </cell>
          <cell r="J21">
            <v>0</v>
          </cell>
          <cell r="L21">
            <v>3501707</v>
          </cell>
        </row>
        <row r="22">
          <cell r="A22" t="str">
            <v>AMPARO</v>
          </cell>
          <cell r="B22" t="str">
            <v>SUDESTE</v>
          </cell>
          <cell r="C22" t="str">
            <v>MD 1</v>
          </cell>
          <cell r="D22" t="str">
            <v>Claro</v>
          </cell>
          <cell r="E22" t="str">
            <v>600M+100GB=R$119,90 por 6M, após R$139,90</v>
          </cell>
          <cell r="F22" t="str">
            <v>Fibra</v>
          </cell>
          <cell r="G22">
            <v>600</v>
          </cell>
          <cell r="H22">
            <v>139.9</v>
          </cell>
          <cell r="I22">
            <v>119.9</v>
          </cell>
          <cell r="J22" t="str">
            <v>GLOBOPLAY</v>
          </cell>
          <cell r="L22">
            <v>3501905</v>
          </cell>
        </row>
        <row r="23">
          <cell r="A23" t="str">
            <v>AMPARO</v>
          </cell>
          <cell r="B23" t="str">
            <v>SUDESTE</v>
          </cell>
          <cell r="C23" t="str">
            <v>MD 1</v>
          </cell>
          <cell r="D23" t="str">
            <v>Vivo</v>
          </cell>
          <cell r="E23" t="str">
            <v>500M+70GB=R$160,00</v>
          </cell>
          <cell r="F23" t="str">
            <v>Fibra</v>
          </cell>
          <cell r="I23" t="str">
            <v/>
          </cell>
          <cell r="J23">
            <v>0</v>
          </cell>
          <cell r="L23">
            <v>3501905</v>
          </cell>
        </row>
        <row r="24">
          <cell r="A24" t="str">
            <v>AMPARO</v>
          </cell>
          <cell r="B24" t="str">
            <v>SUDESTE</v>
          </cell>
          <cell r="C24" t="str">
            <v>MD 1</v>
          </cell>
          <cell r="D24" t="str">
            <v>Desktop</v>
          </cell>
          <cell r="E24" t="str">
            <v>600M+15GB=R$129,99 - 6 MESES, APÓS R$139,99</v>
          </cell>
          <cell r="F24" t="str">
            <v>Fibra</v>
          </cell>
          <cell r="G24">
            <v>600</v>
          </cell>
          <cell r="H24">
            <v>139.99</v>
          </cell>
          <cell r="I24">
            <v>129.99</v>
          </cell>
          <cell r="J24">
            <v>0</v>
          </cell>
          <cell r="L24">
            <v>3501905</v>
          </cell>
        </row>
        <row r="25">
          <cell r="A25" t="str">
            <v>AMPARO</v>
          </cell>
          <cell r="B25" t="str">
            <v>SUDESTE</v>
          </cell>
          <cell r="C25" t="str">
            <v>MD 1</v>
          </cell>
          <cell r="D25" t="str">
            <v>ISP LOCAL</v>
          </cell>
          <cell r="E25" t="str">
            <v>TELESON - 500M R$159,90</v>
          </cell>
          <cell r="F25" t="str">
            <v>Fibra</v>
          </cell>
          <cell r="G25">
            <v>500</v>
          </cell>
          <cell r="H25">
            <v>159.9</v>
          </cell>
          <cell r="I25" t="str">
            <v/>
          </cell>
          <cell r="J25">
            <v>0</v>
          </cell>
          <cell r="L25">
            <v>3501905</v>
          </cell>
        </row>
        <row r="26">
          <cell r="A26" t="str">
            <v>ANDRADINA</v>
          </cell>
          <cell r="B26" t="str">
            <v>NOROESTE</v>
          </cell>
          <cell r="C26" t="str">
            <v>MD 2</v>
          </cell>
          <cell r="D26" t="str">
            <v>Claro</v>
          </cell>
          <cell r="E26" t="str">
            <v>600M+100GB=R$109,90 por 6M, após R$139,90</v>
          </cell>
          <cell r="F26" t="str">
            <v>Fibra</v>
          </cell>
          <cell r="G26">
            <v>600</v>
          </cell>
          <cell r="H26">
            <v>139.9</v>
          </cell>
          <cell r="I26">
            <v>109.9</v>
          </cell>
          <cell r="J26" t="str">
            <v>GLOBOPLAY</v>
          </cell>
          <cell r="L26">
            <v>3502101</v>
          </cell>
        </row>
        <row r="27">
          <cell r="A27" t="str">
            <v>ANDRADINA</v>
          </cell>
          <cell r="B27" t="str">
            <v>NOROESTE</v>
          </cell>
          <cell r="C27" t="str">
            <v>MD 2</v>
          </cell>
          <cell r="D27" t="str">
            <v>Vivo</v>
          </cell>
          <cell r="E27" t="str">
            <v>500M+70GB=R$160,00</v>
          </cell>
          <cell r="F27" t="str">
            <v>Fibra</v>
          </cell>
          <cell r="I27" t="str">
            <v/>
          </cell>
          <cell r="J27">
            <v>0</v>
          </cell>
          <cell r="L27">
            <v>3502101</v>
          </cell>
        </row>
        <row r="28">
          <cell r="A28" t="str">
            <v>ANDRADINA</v>
          </cell>
          <cell r="B28" t="str">
            <v>NOROESTE</v>
          </cell>
          <cell r="C28" t="str">
            <v>MD 2</v>
          </cell>
          <cell r="D28" t="str">
            <v>Vero</v>
          </cell>
          <cell r="E28" t="str">
            <v>850M+60GB=R$149,99 (C/ GLOBOPLAY, HBO, DISNEY+)</v>
          </cell>
          <cell r="F28" t="str">
            <v>Fibra</v>
          </cell>
          <cell r="G28">
            <v>850</v>
          </cell>
          <cell r="H28">
            <v>149.99</v>
          </cell>
          <cell r="I28" t="str">
            <v/>
          </cell>
          <cell r="J28" t="str">
            <v>GLOBOPLAY, HBO, DISNEY+</v>
          </cell>
          <cell r="L28">
            <v>3502101</v>
          </cell>
        </row>
        <row r="29">
          <cell r="A29" t="str">
            <v>ANDRADINA</v>
          </cell>
          <cell r="B29" t="str">
            <v>NOROESTE</v>
          </cell>
          <cell r="C29" t="str">
            <v>MD 2</v>
          </cell>
          <cell r="D29" t="str">
            <v>ISP LOCAL</v>
          </cell>
          <cell r="E29" t="str">
            <v>CONNECTA - 600M R$99,90</v>
          </cell>
          <cell r="F29" t="str">
            <v>Fibra</v>
          </cell>
          <cell r="G29">
            <v>600</v>
          </cell>
          <cell r="H29">
            <v>99.9</v>
          </cell>
          <cell r="I29" t="str">
            <v/>
          </cell>
          <cell r="J29">
            <v>0</v>
          </cell>
          <cell r="L29">
            <v>3502101</v>
          </cell>
        </row>
        <row r="30">
          <cell r="A30" t="str">
            <v>APARECIDA</v>
          </cell>
          <cell r="B30" t="str">
            <v>SUDESTE</v>
          </cell>
          <cell r="C30" t="str">
            <v>MD 2</v>
          </cell>
          <cell r="D30" t="str">
            <v>Claro</v>
          </cell>
          <cell r="E30" t="str">
            <v>600M+100GB=R$109,90 por 6M, após R$139,90</v>
          </cell>
          <cell r="F30" t="str">
            <v>Fibra</v>
          </cell>
          <cell r="G30">
            <v>600</v>
          </cell>
          <cell r="H30">
            <v>139.9</v>
          </cell>
          <cell r="I30">
            <v>109.9</v>
          </cell>
          <cell r="J30" t="str">
            <v>GLOBOPLAY</v>
          </cell>
          <cell r="L30">
            <v>3502507</v>
          </cell>
        </row>
        <row r="31">
          <cell r="A31" t="str">
            <v>APARECIDA</v>
          </cell>
          <cell r="B31" t="str">
            <v>SUDESTE</v>
          </cell>
          <cell r="C31" t="str">
            <v>MD 2</v>
          </cell>
          <cell r="D31" t="str">
            <v>Vivo</v>
          </cell>
          <cell r="E31" t="str">
            <v>500M+70GB=R$160,00</v>
          </cell>
          <cell r="F31" t="str">
            <v>Fibra</v>
          </cell>
          <cell r="I31" t="str">
            <v/>
          </cell>
          <cell r="J31">
            <v>0</v>
          </cell>
          <cell r="L31">
            <v>3502507</v>
          </cell>
        </row>
        <row r="32">
          <cell r="A32" t="str">
            <v>APARECIDA</v>
          </cell>
          <cell r="B32" t="str">
            <v>SUDESTE</v>
          </cell>
          <cell r="C32" t="str">
            <v>MD 2</v>
          </cell>
          <cell r="D32" t="str">
            <v>Vero</v>
          </cell>
          <cell r="E32" t="str">
            <v>850M+60GB=R$149,99 (C/ GLOBOPLAY, HBO, DISNEY+)</v>
          </cell>
          <cell r="F32" t="str">
            <v>Fibra</v>
          </cell>
          <cell r="G32">
            <v>850</v>
          </cell>
          <cell r="H32">
            <v>149.99</v>
          </cell>
          <cell r="I32" t="str">
            <v/>
          </cell>
          <cell r="J32" t="str">
            <v>GLOBOPLAY, HBO, DISNEY+</v>
          </cell>
          <cell r="L32">
            <v>3502507</v>
          </cell>
        </row>
        <row r="33">
          <cell r="A33" t="str">
            <v>ARACATUBA</v>
          </cell>
          <cell r="B33" t="str">
            <v>NOROESTE</v>
          </cell>
          <cell r="C33" t="str">
            <v>MD 2</v>
          </cell>
          <cell r="D33" t="str">
            <v>Claro</v>
          </cell>
          <cell r="E33" t="str">
            <v>600M+100GB=R$109,90 por 6M, após R$139,90</v>
          </cell>
          <cell r="F33" t="str">
            <v>Fibra</v>
          </cell>
          <cell r="G33">
            <v>600</v>
          </cell>
          <cell r="H33">
            <v>139.9</v>
          </cell>
          <cell r="I33">
            <v>109.9</v>
          </cell>
          <cell r="J33" t="str">
            <v>GLOBOPLAY</v>
          </cell>
          <cell r="L33">
            <v>3502804</v>
          </cell>
        </row>
        <row r="34">
          <cell r="A34" t="str">
            <v>ARACATUBA</v>
          </cell>
          <cell r="B34" t="str">
            <v>NOROESTE</v>
          </cell>
          <cell r="C34" t="str">
            <v>MD 2</v>
          </cell>
          <cell r="D34" t="str">
            <v>Vivo</v>
          </cell>
          <cell r="E34" t="str">
            <v>500M+70GB=R$160,00</v>
          </cell>
          <cell r="F34" t="str">
            <v>Fibra</v>
          </cell>
          <cell r="I34" t="str">
            <v/>
          </cell>
          <cell r="J34">
            <v>0</v>
          </cell>
          <cell r="L34">
            <v>3502804</v>
          </cell>
        </row>
        <row r="35">
          <cell r="A35" t="str">
            <v>ARACATUBA</v>
          </cell>
          <cell r="B35" t="str">
            <v>NOROESTE</v>
          </cell>
          <cell r="C35" t="str">
            <v>MD 2</v>
          </cell>
          <cell r="D35" t="str">
            <v>Vero</v>
          </cell>
          <cell r="E35" t="str">
            <v>850M+60GB=R$149,99 (C/ GLOBOPLAY, HBO, DISNEY+)</v>
          </cell>
          <cell r="F35" t="str">
            <v>Fibra</v>
          </cell>
          <cell r="G35">
            <v>850</v>
          </cell>
          <cell r="H35">
            <v>149.99</v>
          </cell>
          <cell r="I35" t="str">
            <v/>
          </cell>
          <cell r="J35" t="str">
            <v>GLOBOPLAY, HBO, DISNEY+</v>
          </cell>
          <cell r="L35">
            <v>3502804</v>
          </cell>
        </row>
        <row r="36">
          <cell r="A36" t="str">
            <v>ARACATUBA</v>
          </cell>
          <cell r="B36" t="str">
            <v>NOROESTE</v>
          </cell>
          <cell r="C36" t="str">
            <v>MD 2</v>
          </cell>
          <cell r="D36" t="str">
            <v>ISP LOCAL</v>
          </cell>
          <cell r="E36" t="str">
            <v>VOTI - 800M R$39,90 - 3 MESES, APÓS R$99,90</v>
          </cell>
          <cell r="F36" t="str">
            <v>Fibra</v>
          </cell>
          <cell r="G36">
            <v>800</v>
          </cell>
          <cell r="H36">
            <v>99.9</v>
          </cell>
          <cell r="I36">
            <v>39.9</v>
          </cell>
          <cell r="J36">
            <v>0</v>
          </cell>
          <cell r="L36">
            <v>3502804</v>
          </cell>
        </row>
        <row r="37">
          <cell r="A37" t="str">
            <v>ARARAQUARA</v>
          </cell>
          <cell r="B37" t="str">
            <v>OESTE</v>
          </cell>
          <cell r="C37" t="str">
            <v>RUBI</v>
          </cell>
          <cell r="D37" t="str">
            <v>Claro</v>
          </cell>
          <cell r="E37" t="str">
            <v>1GB+100GB = R$99,90</v>
          </cell>
          <cell r="F37" t="str">
            <v>Fibra</v>
          </cell>
          <cell r="G37">
            <v>1000</v>
          </cell>
          <cell r="H37">
            <v>99.9</v>
          </cell>
          <cell r="I37" t="str">
            <v/>
          </cell>
          <cell r="J37" t="str">
            <v>GLOBOPLAY</v>
          </cell>
          <cell r="L37">
            <v>3503208</v>
          </cell>
        </row>
        <row r="38">
          <cell r="A38" t="str">
            <v>ARARAQUARA</v>
          </cell>
          <cell r="B38" t="str">
            <v>OESTE</v>
          </cell>
          <cell r="C38" t="str">
            <v>RUBI</v>
          </cell>
          <cell r="D38" t="str">
            <v>Vivo</v>
          </cell>
          <cell r="E38" t="str">
            <v>500M+70GB=R$160,00</v>
          </cell>
          <cell r="F38" t="str">
            <v>Fibra</v>
          </cell>
          <cell r="I38" t="str">
            <v/>
          </cell>
          <cell r="J38">
            <v>0</v>
          </cell>
          <cell r="L38">
            <v>3503208</v>
          </cell>
        </row>
        <row r="39">
          <cell r="A39" t="str">
            <v>ARARAQUARA</v>
          </cell>
          <cell r="B39" t="str">
            <v>OESTE</v>
          </cell>
          <cell r="C39" t="str">
            <v>RUBI</v>
          </cell>
          <cell r="D39" t="str">
            <v>Desktop</v>
          </cell>
          <cell r="E39" t="str">
            <v>600M+15GB=R$129,99 - 6 MESES, APÓS R$139,99</v>
          </cell>
          <cell r="F39" t="str">
            <v>Fibra</v>
          </cell>
          <cell r="G39">
            <v>600</v>
          </cell>
          <cell r="H39">
            <v>139.99</v>
          </cell>
          <cell r="I39">
            <v>129.99</v>
          </cell>
          <cell r="J39">
            <v>0</v>
          </cell>
          <cell r="L39">
            <v>3503208</v>
          </cell>
        </row>
        <row r="40">
          <cell r="A40" t="str">
            <v>ARARAQUARA</v>
          </cell>
          <cell r="B40" t="str">
            <v>OESTE</v>
          </cell>
          <cell r="C40" t="str">
            <v>RUBI</v>
          </cell>
          <cell r="D40" t="str">
            <v>Algar</v>
          </cell>
          <cell r="E40" t="str">
            <v>800M R$99,90</v>
          </cell>
          <cell r="F40" t="str">
            <v>Fibra</v>
          </cell>
          <cell r="G40">
            <v>800</v>
          </cell>
          <cell r="H40">
            <v>99.9</v>
          </cell>
          <cell r="I40" t="str">
            <v/>
          </cell>
          <cell r="J40">
            <v>0</v>
          </cell>
          <cell r="L40">
            <v>3503208</v>
          </cell>
        </row>
        <row r="41">
          <cell r="A41" t="str">
            <v>ARARAQUARA</v>
          </cell>
          <cell r="B41" t="str">
            <v>OESTE</v>
          </cell>
          <cell r="C41" t="str">
            <v>RUBI</v>
          </cell>
          <cell r="D41" t="str">
            <v>Weclix</v>
          </cell>
          <cell r="E41" t="str">
            <v>1GB R$59,90 - 1ª MENSALIDADE, APÓS R$99,90</v>
          </cell>
          <cell r="F41" t="str">
            <v>Fibra</v>
          </cell>
          <cell r="G41">
            <v>1000</v>
          </cell>
          <cell r="H41">
            <v>99.9</v>
          </cell>
          <cell r="I41">
            <v>59.9</v>
          </cell>
          <cell r="J41">
            <v>0</v>
          </cell>
          <cell r="L41">
            <v>3503208</v>
          </cell>
        </row>
        <row r="42">
          <cell r="A42" t="str">
            <v>ARARAQUARA</v>
          </cell>
          <cell r="B42" t="str">
            <v>OESTE</v>
          </cell>
          <cell r="C42" t="str">
            <v>RUBI</v>
          </cell>
          <cell r="D42" t="str">
            <v>ISP LOCAL</v>
          </cell>
          <cell r="E42" t="str">
            <v>NETFAST - 600M R$109,99</v>
          </cell>
          <cell r="F42" t="str">
            <v>Fibra</v>
          </cell>
          <cell r="G42">
            <v>600</v>
          </cell>
          <cell r="H42">
            <v>109.99</v>
          </cell>
          <cell r="I42" t="str">
            <v/>
          </cell>
          <cell r="J42">
            <v>0</v>
          </cell>
          <cell r="L42">
            <v>3503208</v>
          </cell>
        </row>
        <row r="43">
          <cell r="A43" t="str">
            <v>ARARAS</v>
          </cell>
          <cell r="B43" t="str">
            <v>CENTRAL</v>
          </cell>
          <cell r="C43" t="str">
            <v>PADRÃO</v>
          </cell>
          <cell r="D43" t="str">
            <v>Claro</v>
          </cell>
          <cell r="E43" t="str">
            <v>600M+100GB=R$159,90</v>
          </cell>
          <cell r="F43" t="str">
            <v>Fibra</v>
          </cell>
          <cell r="G43">
            <v>600</v>
          </cell>
          <cell r="H43">
            <v>159.9</v>
          </cell>
          <cell r="I43" t="str">
            <v/>
          </cell>
          <cell r="J43" t="str">
            <v>GLOBOPLAY</v>
          </cell>
          <cell r="L43">
            <v>3503307</v>
          </cell>
        </row>
        <row r="44">
          <cell r="A44" t="str">
            <v>ARARAS</v>
          </cell>
          <cell r="B44" t="str">
            <v>CENTRAL</v>
          </cell>
          <cell r="C44" t="str">
            <v>PADRÃO</v>
          </cell>
          <cell r="D44" t="str">
            <v>Vivo</v>
          </cell>
          <cell r="E44" t="str">
            <v>500M+70GB=R$160,00</v>
          </cell>
          <cell r="F44" t="str">
            <v>Fibra</v>
          </cell>
          <cell r="I44" t="str">
            <v/>
          </cell>
          <cell r="J44">
            <v>0</v>
          </cell>
          <cell r="L44">
            <v>3503307</v>
          </cell>
        </row>
        <row r="45">
          <cell r="A45" t="str">
            <v>ARARAS</v>
          </cell>
          <cell r="B45" t="str">
            <v>CENTRAL</v>
          </cell>
          <cell r="C45" t="str">
            <v>PADRÃO</v>
          </cell>
          <cell r="D45" t="str">
            <v>Desktop</v>
          </cell>
          <cell r="E45" t="str">
            <v>600M=R$49,99 por 2M, após R$89,99</v>
          </cell>
          <cell r="F45" t="str">
            <v>Fibra</v>
          </cell>
          <cell r="G45">
            <v>600</v>
          </cell>
          <cell r="H45">
            <v>89.99</v>
          </cell>
          <cell r="I45">
            <v>49.99</v>
          </cell>
          <cell r="J45">
            <v>0</v>
          </cell>
          <cell r="L45">
            <v>3503307</v>
          </cell>
        </row>
        <row r="46">
          <cell r="A46" t="str">
            <v>ARARAS</v>
          </cell>
          <cell r="B46" t="str">
            <v>CENTRAL</v>
          </cell>
          <cell r="C46" t="str">
            <v>PADRÃO</v>
          </cell>
          <cell r="D46" t="str">
            <v>Alares</v>
          </cell>
          <cell r="E46" t="str">
            <v>1GB + GLOBOPLAY R$99,90</v>
          </cell>
          <cell r="F46" t="str">
            <v>Fibra</v>
          </cell>
          <cell r="G46">
            <v>1000</v>
          </cell>
          <cell r="H46">
            <v>99.9</v>
          </cell>
          <cell r="I46" t="str">
            <v/>
          </cell>
          <cell r="J46" t="str">
            <v>GLOBOPLAY</v>
          </cell>
          <cell r="L46">
            <v>3503307</v>
          </cell>
        </row>
        <row r="47">
          <cell r="A47" t="str">
            <v>ARARAS</v>
          </cell>
          <cell r="B47" t="str">
            <v>CENTRAL</v>
          </cell>
          <cell r="C47" t="str">
            <v>PADRÃO</v>
          </cell>
          <cell r="D47" t="str">
            <v>ISP LOCAL</v>
          </cell>
          <cell r="E47" t="str">
            <v>XTURBO - 600M R$99,90</v>
          </cell>
          <cell r="F47" t="str">
            <v>Fibra</v>
          </cell>
          <cell r="G47">
            <v>600</v>
          </cell>
          <cell r="H47">
            <v>99.9</v>
          </cell>
          <cell r="I47" t="str">
            <v/>
          </cell>
          <cell r="J47">
            <v>0</v>
          </cell>
          <cell r="L47">
            <v>3503307</v>
          </cell>
        </row>
        <row r="48">
          <cell r="A48" t="str">
            <v>ARTUR NOGUEIRA</v>
          </cell>
          <cell r="B48" t="str">
            <v>CENTRAL</v>
          </cell>
          <cell r="C48" t="str">
            <v>ESPECIAL</v>
          </cell>
          <cell r="D48" t="str">
            <v>Claro</v>
          </cell>
          <cell r="E48" t="str">
            <v>600M+100GB=R$119,90 por 3M, após R$159,90</v>
          </cell>
          <cell r="F48" t="str">
            <v>Fibra</v>
          </cell>
          <cell r="G48">
            <v>600</v>
          </cell>
          <cell r="H48">
            <v>159.9</v>
          </cell>
          <cell r="I48">
            <v>119.9</v>
          </cell>
          <cell r="J48" t="str">
            <v>GLOBOPLAY</v>
          </cell>
          <cell r="L48">
            <v>3503802</v>
          </cell>
        </row>
        <row r="49">
          <cell r="A49" t="str">
            <v>ARTUR NOGUEIRA</v>
          </cell>
          <cell r="B49" t="str">
            <v>CENTRAL</v>
          </cell>
          <cell r="C49" t="str">
            <v>ESPECIAL</v>
          </cell>
          <cell r="D49" t="str">
            <v>Vivo</v>
          </cell>
          <cell r="E49" t="str">
            <v>500M+70GB=R$160,00</v>
          </cell>
          <cell r="F49" t="str">
            <v>Fibra</v>
          </cell>
          <cell r="I49" t="str">
            <v/>
          </cell>
          <cell r="J49">
            <v>0</v>
          </cell>
          <cell r="L49">
            <v>3503802</v>
          </cell>
        </row>
        <row r="50">
          <cell r="A50" t="str">
            <v>ARTUR NOGUEIRA</v>
          </cell>
          <cell r="B50" t="str">
            <v>CENTRAL</v>
          </cell>
          <cell r="C50" t="str">
            <v>ESPECIAL</v>
          </cell>
          <cell r="D50" t="str">
            <v>Desktop</v>
          </cell>
          <cell r="E50" t="str">
            <v>600M=R$49,99 por 2M, após R$89,99</v>
          </cell>
          <cell r="F50" t="str">
            <v>Fibra</v>
          </cell>
          <cell r="G50">
            <v>600</v>
          </cell>
          <cell r="H50">
            <v>89.99</v>
          </cell>
          <cell r="I50">
            <v>49.99</v>
          </cell>
          <cell r="J50">
            <v>0</v>
          </cell>
          <cell r="L50">
            <v>3503802</v>
          </cell>
        </row>
        <row r="51">
          <cell r="A51" t="str">
            <v>ARTUR NOGUEIRA</v>
          </cell>
          <cell r="B51" t="str">
            <v>CENTRAL</v>
          </cell>
          <cell r="C51" t="str">
            <v>ESPECIAL</v>
          </cell>
          <cell r="D51" t="str">
            <v>ISP LOCAL</v>
          </cell>
          <cell r="E51" t="str">
            <v>NETAKI - 600M R$99,90</v>
          </cell>
          <cell r="F51" t="str">
            <v>Fibra</v>
          </cell>
          <cell r="G51">
            <v>600</v>
          </cell>
          <cell r="H51">
            <v>99.9</v>
          </cell>
          <cell r="I51" t="str">
            <v/>
          </cell>
          <cell r="J51">
            <v>0</v>
          </cell>
          <cell r="L51">
            <v>3503802</v>
          </cell>
        </row>
        <row r="52">
          <cell r="A52" t="str">
            <v>AVARE</v>
          </cell>
          <cell r="B52" t="str">
            <v>SUDESTE</v>
          </cell>
          <cell r="C52" t="str">
            <v>MD 2</v>
          </cell>
          <cell r="D52" t="str">
            <v>Claro</v>
          </cell>
          <cell r="E52" t="str">
            <v>600M+100GB=R$109,90 por 6M, após R$139,90</v>
          </cell>
          <cell r="F52" t="str">
            <v>Fibra</v>
          </cell>
          <cell r="G52">
            <v>600</v>
          </cell>
          <cell r="H52">
            <v>139.9</v>
          </cell>
          <cell r="I52">
            <v>109.9</v>
          </cell>
          <cell r="J52" t="str">
            <v>GLOBOPLAY</v>
          </cell>
          <cell r="L52">
            <v>3504503</v>
          </cell>
        </row>
        <row r="53">
          <cell r="A53" t="str">
            <v>AVARE</v>
          </cell>
          <cell r="B53" t="str">
            <v>SUDESTE</v>
          </cell>
          <cell r="C53" t="str">
            <v>MD 2</v>
          </cell>
          <cell r="D53" t="str">
            <v>Vivo</v>
          </cell>
          <cell r="E53" t="str">
            <v>500M+70GB=R$160,00</v>
          </cell>
          <cell r="F53" t="str">
            <v>Fibra</v>
          </cell>
          <cell r="I53" t="str">
            <v/>
          </cell>
          <cell r="J53">
            <v>0</v>
          </cell>
          <cell r="L53">
            <v>3504503</v>
          </cell>
        </row>
        <row r="54">
          <cell r="A54" t="str">
            <v>AVARE</v>
          </cell>
          <cell r="B54" t="str">
            <v>SUDESTE</v>
          </cell>
          <cell r="C54" t="str">
            <v>MD 2</v>
          </cell>
          <cell r="D54" t="str">
            <v>Desktop</v>
          </cell>
          <cell r="E54" t="str">
            <v>600M=R$49,99 por 2M, após R$89,99</v>
          </cell>
          <cell r="F54" t="str">
            <v>Fibra</v>
          </cell>
          <cell r="G54">
            <v>600</v>
          </cell>
          <cell r="H54">
            <v>89.99</v>
          </cell>
          <cell r="I54">
            <v>49.99</v>
          </cell>
          <cell r="J54">
            <v>0</v>
          </cell>
          <cell r="L54">
            <v>3504503</v>
          </cell>
        </row>
        <row r="55">
          <cell r="A55" t="str">
            <v>AVARE</v>
          </cell>
          <cell r="B55" t="str">
            <v>SUDESTE</v>
          </cell>
          <cell r="C55" t="str">
            <v>MD 2</v>
          </cell>
          <cell r="D55" t="str">
            <v>ISP LOCAL</v>
          </cell>
          <cell r="E55" t="str">
            <v>ZAAZ - 600M R$99,90</v>
          </cell>
          <cell r="F55" t="str">
            <v>Fibra</v>
          </cell>
          <cell r="G55">
            <v>600</v>
          </cell>
          <cell r="H55">
            <v>99.9</v>
          </cell>
          <cell r="I55" t="str">
            <v/>
          </cell>
          <cell r="J55">
            <v>0</v>
          </cell>
          <cell r="L55">
            <v>3504503</v>
          </cell>
        </row>
        <row r="56">
          <cell r="A56" t="str">
            <v>BADY BASSITT</v>
          </cell>
          <cell r="B56" t="str">
            <v>NOROESTE</v>
          </cell>
          <cell r="C56" t="str">
            <v>MD 2</v>
          </cell>
          <cell r="D56" t="str">
            <v>Claro</v>
          </cell>
          <cell r="E56" t="str">
            <v>600M+100GB=R$109,90 por 6M, após R$139,90</v>
          </cell>
          <cell r="F56" t="str">
            <v>Fibra</v>
          </cell>
          <cell r="G56">
            <v>600</v>
          </cell>
          <cell r="H56">
            <v>139.9</v>
          </cell>
          <cell r="I56">
            <v>109.9</v>
          </cell>
          <cell r="J56" t="str">
            <v>GLOBOPLAY</v>
          </cell>
          <cell r="L56">
            <v>3504602</v>
          </cell>
        </row>
        <row r="57">
          <cell r="A57" t="str">
            <v>BADY BASSITT</v>
          </cell>
          <cell r="B57" t="str">
            <v>NOROESTE</v>
          </cell>
          <cell r="C57" t="str">
            <v>MD 2</v>
          </cell>
          <cell r="D57" t="str">
            <v>Desktop</v>
          </cell>
          <cell r="E57" t="str">
            <v>600M=R$49,99 por 2M, após R$89,99</v>
          </cell>
          <cell r="F57" t="str">
            <v>Fibra</v>
          </cell>
          <cell r="G57">
            <v>600</v>
          </cell>
          <cell r="H57">
            <v>89.99</v>
          </cell>
          <cell r="I57">
            <v>49.99</v>
          </cell>
          <cell r="J57">
            <v>0</v>
          </cell>
          <cell r="L57">
            <v>3504602</v>
          </cell>
        </row>
        <row r="58">
          <cell r="A58" t="str">
            <v>BADY BASSITT</v>
          </cell>
          <cell r="B58" t="str">
            <v>NOROESTE</v>
          </cell>
          <cell r="C58" t="str">
            <v>MD 2</v>
          </cell>
          <cell r="D58" t="str">
            <v>Weclix</v>
          </cell>
          <cell r="E58" t="str">
            <v>1GB R$59,90 - 1ª MENSALIDADE, APÓS R$99,90</v>
          </cell>
          <cell r="F58" t="str">
            <v>Fibra</v>
          </cell>
          <cell r="G58">
            <v>1000</v>
          </cell>
          <cell r="H58">
            <v>99.9</v>
          </cell>
          <cell r="I58">
            <v>59.9</v>
          </cell>
          <cell r="J58">
            <v>0</v>
          </cell>
          <cell r="L58">
            <v>3504602</v>
          </cell>
        </row>
        <row r="59">
          <cell r="A59" t="str">
            <v>BADY BASSITT</v>
          </cell>
          <cell r="B59" t="str">
            <v>NOROESTE</v>
          </cell>
          <cell r="C59" t="str">
            <v>MD 2</v>
          </cell>
          <cell r="D59" t="str">
            <v>ISP LOCAL</v>
          </cell>
          <cell r="E59" t="str">
            <v>OQUEI - 600M R$49,90 - 3 MESES, APÓS R$99,90</v>
          </cell>
          <cell r="F59" t="str">
            <v>Fibra</v>
          </cell>
          <cell r="G59">
            <v>600</v>
          </cell>
          <cell r="H59">
            <v>99.9</v>
          </cell>
          <cell r="I59">
            <v>49.9</v>
          </cell>
          <cell r="J59">
            <v>0</v>
          </cell>
          <cell r="L59">
            <v>3504602</v>
          </cell>
        </row>
        <row r="60">
          <cell r="A60" t="str">
            <v>BARRETOS</v>
          </cell>
          <cell r="B60" t="str">
            <v>NOROESTE</v>
          </cell>
          <cell r="C60" t="str">
            <v>MD 2</v>
          </cell>
          <cell r="D60" t="str">
            <v>Claro</v>
          </cell>
          <cell r="E60" t="str">
            <v>600M+100GB=R$109,90 por 6M, após R$139,90</v>
          </cell>
          <cell r="F60" t="str">
            <v>Fibra</v>
          </cell>
          <cell r="G60">
            <v>600</v>
          </cell>
          <cell r="H60">
            <v>139.9</v>
          </cell>
          <cell r="I60">
            <v>109.9</v>
          </cell>
          <cell r="J60" t="str">
            <v>GLOBOPLAY</v>
          </cell>
          <cell r="L60">
            <v>3505500</v>
          </cell>
        </row>
        <row r="61">
          <cell r="A61" t="str">
            <v>BARRETOS</v>
          </cell>
          <cell r="B61" t="str">
            <v>NOROESTE</v>
          </cell>
          <cell r="C61" t="str">
            <v>MD 2</v>
          </cell>
          <cell r="D61" t="str">
            <v>Vivo</v>
          </cell>
          <cell r="E61" t="str">
            <v>500M+70GB=R$160,00</v>
          </cell>
          <cell r="F61" t="str">
            <v>Fibra</v>
          </cell>
          <cell r="I61" t="str">
            <v/>
          </cell>
          <cell r="J61">
            <v>0</v>
          </cell>
          <cell r="L61">
            <v>3505500</v>
          </cell>
        </row>
        <row r="62">
          <cell r="A62" t="str">
            <v>BARRETOS</v>
          </cell>
          <cell r="B62" t="str">
            <v>NOROESTE</v>
          </cell>
          <cell r="C62" t="str">
            <v>MD 2</v>
          </cell>
          <cell r="D62" t="str">
            <v>Desktop</v>
          </cell>
          <cell r="E62" t="str">
            <v>600M=R$49,99 por 2M, após R$89,99</v>
          </cell>
          <cell r="F62" t="str">
            <v>Fibra</v>
          </cell>
          <cell r="G62">
            <v>600</v>
          </cell>
          <cell r="H62">
            <v>89.99</v>
          </cell>
          <cell r="I62">
            <v>49.99</v>
          </cell>
          <cell r="J62">
            <v>0</v>
          </cell>
          <cell r="L62">
            <v>3505500</v>
          </cell>
        </row>
        <row r="63">
          <cell r="A63" t="str">
            <v>BARRETOS</v>
          </cell>
          <cell r="B63" t="str">
            <v>NOROESTE</v>
          </cell>
          <cell r="C63" t="str">
            <v>MD 2</v>
          </cell>
          <cell r="D63" t="str">
            <v>Algar</v>
          </cell>
          <cell r="E63" t="str">
            <v>800M R$99,90</v>
          </cell>
          <cell r="F63" t="str">
            <v>Fibra</v>
          </cell>
          <cell r="G63">
            <v>800</v>
          </cell>
          <cell r="H63">
            <v>99.9</v>
          </cell>
          <cell r="I63" t="str">
            <v/>
          </cell>
          <cell r="J63">
            <v>0</v>
          </cell>
          <cell r="L63">
            <v>3505500</v>
          </cell>
        </row>
        <row r="64">
          <cell r="A64" t="str">
            <v>BARRETOS</v>
          </cell>
          <cell r="B64" t="str">
            <v>NOROESTE</v>
          </cell>
          <cell r="C64" t="str">
            <v>MD 2</v>
          </cell>
          <cell r="D64" t="str">
            <v>ISP LOCAL</v>
          </cell>
          <cell r="E64" t="str">
            <v>NIC NET - 800M R$59,90 - 3 MESES, APÓS R$99,90</v>
          </cell>
          <cell r="F64" t="str">
            <v>Fibra</v>
          </cell>
          <cell r="G64">
            <v>800</v>
          </cell>
          <cell r="H64">
            <v>99.9</v>
          </cell>
          <cell r="I64">
            <v>59.9</v>
          </cell>
          <cell r="J64">
            <v>0</v>
          </cell>
          <cell r="L64">
            <v>3505500</v>
          </cell>
        </row>
        <row r="65">
          <cell r="A65" t="str">
            <v>BARRINHA</v>
          </cell>
          <cell r="B65" t="str">
            <v>NOROESTE</v>
          </cell>
          <cell r="C65" t="str">
            <v>MD 1</v>
          </cell>
          <cell r="D65" t="str">
            <v>Claro</v>
          </cell>
          <cell r="E65" t="str">
            <v>600M+100GB=R$119,90 por 6M, após R$139,90</v>
          </cell>
          <cell r="F65" t="str">
            <v>Fibra</v>
          </cell>
          <cell r="G65">
            <v>600</v>
          </cell>
          <cell r="H65">
            <v>139.9</v>
          </cell>
          <cell r="I65">
            <v>119.9</v>
          </cell>
          <cell r="J65" t="str">
            <v>GLOBOPLAY</v>
          </cell>
          <cell r="L65">
            <v>3505609</v>
          </cell>
        </row>
        <row r="66">
          <cell r="A66" t="str">
            <v>BARRINHA</v>
          </cell>
          <cell r="B66" t="str">
            <v>NOROESTE</v>
          </cell>
          <cell r="C66" t="str">
            <v>MD 1</v>
          </cell>
          <cell r="D66" t="str">
            <v>Weclix</v>
          </cell>
          <cell r="E66" t="str">
            <v>1GB R$59,90 - 1ª MENSALIDADE, APÓS R$99,90</v>
          </cell>
          <cell r="F66" t="str">
            <v>Fibra</v>
          </cell>
          <cell r="G66">
            <v>1000</v>
          </cell>
          <cell r="H66">
            <v>99.9</v>
          </cell>
          <cell r="I66">
            <v>59.9</v>
          </cell>
          <cell r="J66">
            <v>0</v>
          </cell>
          <cell r="L66">
            <v>3505609</v>
          </cell>
        </row>
        <row r="67">
          <cell r="A67" t="str">
            <v>BARRINHA</v>
          </cell>
          <cell r="B67" t="str">
            <v>NOROESTE</v>
          </cell>
          <cell r="C67" t="str">
            <v>MD 1</v>
          </cell>
          <cell r="D67" t="str">
            <v>ISP LOCAL</v>
          </cell>
          <cell r="E67" t="str">
            <v>NIC NET - 800M R$59,90 - 3 MESES, APÓS R$99,90</v>
          </cell>
          <cell r="F67" t="str">
            <v>Fibra</v>
          </cell>
          <cell r="G67">
            <v>800</v>
          </cell>
          <cell r="H67">
            <v>99.9</v>
          </cell>
          <cell r="I67">
            <v>59.9</v>
          </cell>
          <cell r="J67">
            <v>0</v>
          </cell>
          <cell r="L67">
            <v>3505609</v>
          </cell>
        </row>
        <row r="68">
          <cell r="A68" t="str">
            <v>BATATAIS</v>
          </cell>
          <cell r="B68" t="str">
            <v>NOROESTE</v>
          </cell>
          <cell r="C68" t="str">
            <v>MD 2</v>
          </cell>
          <cell r="D68" t="str">
            <v>Claro</v>
          </cell>
          <cell r="E68" t="str">
            <v>600M+100GB=R$109,90 por 6M, após R$139,90</v>
          </cell>
          <cell r="F68" t="str">
            <v>Fibra</v>
          </cell>
          <cell r="G68">
            <v>600</v>
          </cell>
          <cell r="H68">
            <v>139.9</v>
          </cell>
          <cell r="I68">
            <v>109.9</v>
          </cell>
          <cell r="J68" t="str">
            <v>GLOBOPLAY</v>
          </cell>
          <cell r="L68">
            <v>3505906</v>
          </cell>
        </row>
        <row r="69">
          <cell r="A69" t="str">
            <v>BATATAIS</v>
          </cell>
          <cell r="B69" t="str">
            <v>NOROESTE</v>
          </cell>
          <cell r="C69" t="str">
            <v>MD 2</v>
          </cell>
          <cell r="D69" t="str">
            <v>Algar</v>
          </cell>
          <cell r="E69" t="str">
            <v>800M R$99,90</v>
          </cell>
          <cell r="F69" t="str">
            <v>Fibra</v>
          </cell>
          <cell r="G69">
            <v>800</v>
          </cell>
          <cell r="H69">
            <v>99.9</v>
          </cell>
          <cell r="I69" t="str">
            <v/>
          </cell>
          <cell r="J69">
            <v>0</v>
          </cell>
          <cell r="L69">
            <v>3505906</v>
          </cell>
        </row>
        <row r="70">
          <cell r="A70" t="str">
            <v>BATATAIS</v>
          </cell>
          <cell r="B70" t="str">
            <v>NOROESTE</v>
          </cell>
          <cell r="C70" t="str">
            <v>MD 2</v>
          </cell>
          <cell r="D70" t="str">
            <v>Weclix</v>
          </cell>
          <cell r="E70" t="str">
            <v>1GB R$59,90 - 1ª MENSALIDADE, APÓS R$99,90</v>
          </cell>
          <cell r="F70" t="str">
            <v>Fibra</v>
          </cell>
          <cell r="G70">
            <v>1000</v>
          </cell>
          <cell r="H70">
            <v>99.9</v>
          </cell>
          <cell r="I70">
            <v>59.9</v>
          </cell>
          <cell r="J70">
            <v>0</v>
          </cell>
          <cell r="L70">
            <v>3505906</v>
          </cell>
        </row>
        <row r="71">
          <cell r="A71" t="str">
            <v>BATATAIS</v>
          </cell>
          <cell r="B71" t="str">
            <v>NOROESTE</v>
          </cell>
          <cell r="C71" t="str">
            <v>MD 2</v>
          </cell>
          <cell r="D71" t="str">
            <v>ISP LOCAL</v>
          </cell>
          <cell r="E71" t="str">
            <v>ALCANS - 1GB R$109,00</v>
          </cell>
          <cell r="F71" t="str">
            <v>Fibra</v>
          </cell>
          <cell r="G71">
            <v>1000</v>
          </cell>
          <cell r="H71">
            <v>109</v>
          </cell>
          <cell r="I71" t="str">
            <v/>
          </cell>
          <cell r="J71">
            <v>0</v>
          </cell>
          <cell r="L71">
            <v>3505906</v>
          </cell>
        </row>
        <row r="72">
          <cell r="A72" t="str">
            <v>BAURU</v>
          </cell>
          <cell r="B72" t="str">
            <v>OESTE</v>
          </cell>
          <cell r="C72" t="str">
            <v>RUBI</v>
          </cell>
          <cell r="D72" t="str">
            <v>Claro</v>
          </cell>
          <cell r="E72" t="str">
            <v>1GB+100GB = R$99,90</v>
          </cell>
          <cell r="F72" t="str">
            <v>Fibra</v>
          </cell>
          <cell r="G72">
            <v>1000</v>
          </cell>
          <cell r="H72">
            <v>99.9</v>
          </cell>
          <cell r="I72" t="str">
            <v/>
          </cell>
          <cell r="J72" t="str">
            <v>GLOBOPLAY</v>
          </cell>
          <cell r="L72">
            <v>3506003</v>
          </cell>
        </row>
        <row r="73">
          <cell r="A73" t="str">
            <v>BAURU</v>
          </cell>
          <cell r="B73" t="str">
            <v>OESTE</v>
          </cell>
          <cell r="C73" t="str">
            <v>RUBI</v>
          </cell>
          <cell r="D73" t="str">
            <v>Vivo</v>
          </cell>
          <cell r="E73" t="str">
            <v>500M+70GB=R$160,00</v>
          </cell>
          <cell r="F73" t="str">
            <v>Fibra</v>
          </cell>
          <cell r="I73" t="str">
            <v/>
          </cell>
          <cell r="J73">
            <v>0</v>
          </cell>
          <cell r="L73">
            <v>3506003</v>
          </cell>
        </row>
        <row r="74">
          <cell r="A74" t="str">
            <v>BAURU</v>
          </cell>
          <cell r="B74" t="str">
            <v>OESTE</v>
          </cell>
          <cell r="C74" t="str">
            <v>RUBI</v>
          </cell>
          <cell r="D74" t="str">
            <v>Desktop</v>
          </cell>
          <cell r="E74" t="str">
            <v>600M+15GB=R$129,99 - 6 MESES, APÓS R$139,99</v>
          </cell>
          <cell r="F74" t="str">
            <v>Fibra</v>
          </cell>
          <cell r="G74">
            <v>600</v>
          </cell>
          <cell r="H74">
            <v>139.99</v>
          </cell>
          <cell r="I74">
            <v>129.99</v>
          </cell>
          <cell r="J74">
            <v>0</v>
          </cell>
          <cell r="L74">
            <v>3506003</v>
          </cell>
        </row>
        <row r="75">
          <cell r="A75" t="str">
            <v>BAURU</v>
          </cell>
          <cell r="B75" t="str">
            <v>OESTE</v>
          </cell>
          <cell r="C75" t="str">
            <v>RUBI</v>
          </cell>
          <cell r="D75" t="str">
            <v>Vero</v>
          </cell>
          <cell r="E75" t="str">
            <v>850M+60GB=R$149,99 (C/ GLOBOPLAY, HBO, DISNEY+)</v>
          </cell>
          <cell r="F75" t="str">
            <v>Fibra</v>
          </cell>
          <cell r="G75">
            <v>850</v>
          </cell>
          <cell r="H75">
            <v>149.99</v>
          </cell>
          <cell r="I75" t="str">
            <v/>
          </cell>
          <cell r="J75" t="str">
            <v>GLOBOPLAY, HBO, DISNEY+</v>
          </cell>
          <cell r="L75">
            <v>3506003</v>
          </cell>
        </row>
        <row r="76">
          <cell r="A76" t="str">
            <v>BAURU</v>
          </cell>
          <cell r="B76" t="str">
            <v>OESTE</v>
          </cell>
          <cell r="C76" t="str">
            <v>RUBI</v>
          </cell>
          <cell r="D76" t="str">
            <v>ISP LOCAL</v>
          </cell>
          <cell r="E76" t="str">
            <v>AONET - 1GB R$109,90</v>
          </cell>
          <cell r="F76" t="str">
            <v>Fibra</v>
          </cell>
          <cell r="G76">
            <v>1000</v>
          </cell>
          <cell r="H76">
            <v>109.9</v>
          </cell>
          <cell r="I76" t="str">
            <v/>
          </cell>
          <cell r="J76">
            <v>0</v>
          </cell>
          <cell r="L76">
            <v>3506003</v>
          </cell>
        </row>
        <row r="77">
          <cell r="A77" t="str">
            <v>BEBEDOURO</v>
          </cell>
          <cell r="B77" t="str">
            <v>NOROESTE</v>
          </cell>
          <cell r="C77" t="str">
            <v>MD 2</v>
          </cell>
          <cell r="D77" t="str">
            <v>Claro</v>
          </cell>
          <cell r="E77" t="str">
            <v>600M+100GB=R$109,90 por 6M, após R$139,90</v>
          </cell>
          <cell r="F77" t="str">
            <v>Fibra</v>
          </cell>
          <cell r="G77">
            <v>600</v>
          </cell>
          <cell r="H77">
            <v>139.9</v>
          </cell>
          <cell r="I77">
            <v>109.9</v>
          </cell>
          <cell r="J77" t="str">
            <v>GLOBOPLAY</v>
          </cell>
          <cell r="L77">
            <v>3506102</v>
          </cell>
        </row>
        <row r="78">
          <cell r="A78" t="str">
            <v>BEBEDOURO</v>
          </cell>
          <cell r="B78" t="str">
            <v>NOROESTE</v>
          </cell>
          <cell r="C78" t="str">
            <v>MD 2</v>
          </cell>
          <cell r="D78" t="str">
            <v>Vivo</v>
          </cell>
          <cell r="E78" t="str">
            <v>500M+70GB=R$160,00</v>
          </cell>
          <cell r="F78" t="str">
            <v>Fibra</v>
          </cell>
          <cell r="I78" t="str">
            <v/>
          </cell>
          <cell r="J78">
            <v>0</v>
          </cell>
          <cell r="L78">
            <v>3506102</v>
          </cell>
        </row>
        <row r="79">
          <cell r="A79" t="str">
            <v>BEBEDOURO</v>
          </cell>
          <cell r="B79" t="str">
            <v>NOROESTE</v>
          </cell>
          <cell r="C79" t="str">
            <v>MD 2</v>
          </cell>
          <cell r="D79" t="str">
            <v>Desktop</v>
          </cell>
          <cell r="E79" t="str">
            <v>600M=R$49,99 por 2M, após R$89,99</v>
          </cell>
          <cell r="F79" t="str">
            <v>Fibra</v>
          </cell>
          <cell r="G79">
            <v>600</v>
          </cell>
          <cell r="H79">
            <v>89.99</v>
          </cell>
          <cell r="I79">
            <v>49.99</v>
          </cell>
          <cell r="J79">
            <v>0</v>
          </cell>
          <cell r="L79">
            <v>3506102</v>
          </cell>
        </row>
        <row r="80">
          <cell r="A80" t="str">
            <v>BEBEDOURO</v>
          </cell>
          <cell r="B80" t="str">
            <v>NOROESTE</v>
          </cell>
          <cell r="C80" t="str">
            <v>MD 2</v>
          </cell>
          <cell r="D80" t="str">
            <v>Weclix</v>
          </cell>
          <cell r="E80" t="str">
            <v>1GB R$59,90 - 1ºM, APÓS R$99,90</v>
          </cell>
          <cell r="F80" t="str">
            <v>Fibra</v>
          </cell>
          <cell r="G80">
            <v>1000</v>
          </cell>
          <cell r="H80">
            <v>99.9</v>
          </cell>
          <cell r="I80">
            <v>59.9</v>
          </cell>
          <cell r="J80">
            <v>0</v>
          </cell>
          <cell r="L80">
            <v>3506102</v>
          </cell>
        </row>
        <row r="81">
          <cell r="A81" t="str">
            <v>BEBEDOURO</v>
          </cell>
          <cell r="B81" t="str">
            <v>NOROESTE</v>
          </cell>
          <cell r="C81" t="str">
            <v>MD 2</v>
          </cell>
          <cell r="D81" t="str">
            <v>ISP LOCAL</v>
          </cell>
          <cell r="E81" t="str">
            <v>NIC NET - 800M R$59,90 - 3 MESES, APÓS R$99,90</v>
          </cell>
          <cell r="F81" t="str">
            <v>Fibra</v>
          </cell>
          <cell r="G81">
            <v>800</v>
          </cell>
          <cell r="H81">
            <v>99.9</v>
          </cell>
          <cell r="I81">
            <v>59.9</v>
          </cell>
          <cell r="J81">
            <v>0</v>
          </cell>
          <cell r="L81">
            <v>3506102</v>
          </cell>
        </row>
        <row r="82">
          <cell r="A82" t="str">
            <v>BERTIOGA</v>
          </cell>
          <cell r="B82" t="str">
            <v>LITORAL</v>
          </cell>
          <cell r="C82" t="str">
            <v>ESPECIAL</v>
          </cell>
          <cell r="D82" t="str">
            <v>Claro</v>
          </cell>
          <cell r="E82" t="str">
            <v>600M+100GB=R$119,90 por 3M, após R$159,90</v>
          </cell>
          <cell r="F82" t="str">
            <v>Fibra</v>
          </cell>
          <cell r="G82">
            <v>600</v>
          </cell>
          <cell r="H82">
            <v>159.9</v>
          </cell>
          <cell r="I82">
            <v>119.9</v>
          </cell>
          <cell r="J82" t="str">
            <v>GLOBOPLAY</v>
          </cell>
          <cell r="L82">
            <v>3506359</v>
          </cell>
        </row>
        <row r="83">
          <cell r="A83" t="str">
            <v>BERTIOGA</v>
          </cell>
          <cell r="B83" t="str">
            <v>LITORAL</v>
          </cell>
          <cell r="C83" t="str">
            <v>ESPECIAL</v>
          </cell>
          <cell r="D83" t="str">
            <v>Vivo</v>
          </cell>
          <cell r="E83" t="str">
            <v>500M+70GB=R$160,00</v>
          </cell>
          <cell r="F83" t="str">
            <v>Fibra</v>
          </cell>
          <cell r="I83" t="str">
            <v/>
          </cell>
          <cell r="J83">
            <v>0</v>
          </cell>
          <cell r="L83">
            <v>3506359</v>
          </cell>
        </row>
        <row r="84">
          <cell r="A84" t="str">
            <v>BERTIOGA</v>
          </cell>
          <cell r="B84" t="str">
            <v>LITORAL</v>
          </cell>
          <cell r="C84" t="str">
            <v>ESPECIAL</v>
          </cell>
          <cell r="D84" t="str">
            <v>ISP LOCAL</v>
          </cell>
          <cell r="E84" t="str">
            <v>ALLOHA - 600M + GLOBOPLAY R$109,99</v>
          </cell>
          <cell r="F84" t="str">
            <v>Fibra</v>
          </cell>
          <cell r="G84">
            <v>600</v>
          </cell>
          <cell r="H84">
            <v>109.99</v>
          </cell>
          <cell r="I84" t="str">
            <v/>
          </cell>
          <cell r="J84" t="str">
            <v>GLOBOPLAY</v>
          </cell>
          <cell r="L84">
            <v>3506359</v>
          </cell>
        </row>
        <row r="85">
          <cell r="A85" t="str">
            <v>BIRIGUI</v>
          </cell>
          <cell r="B85" t="str">
            <v>NOROESTE</v>
          </cell>
          <cell r="C85" t="str">
            <v>MD 2</v>
          </cell>
          <cell r="D85" t="str">
            <v>Claro</v>
          </cell>
          <cell r="E85" t="str">
            <v>600M+100GB=R$109,90 por 6M, após R$139,90</v>
          </cell>
          <cell r="F85" t="str">
            <v>Fibra</v>
          </cell>
          <cell r="G85">
            <v>600</v>
          </cell>
          <cell r="H85">
            <v>139.9</v>
          </cell>
          <cell r="I85">
            <v>109.9</v>
          </cell>
          <cell r="J85" t="str">
            <v>GLOBOPLAY</v>
          </cell>
          <cell r="L85">
            <v>3506508</v>
          </cell>
        </row>
        <row r="86">
          <cell r="A86" t="str">
            <v>BIRIGUI</v>
          </cell>
          <cell r="B86" t="str">
            <v>NOROESTE</v>
          </cell>
          <cell r="C86" t="str">
            <v>MD 2</v>
          </cell>
          <cell r="D86" t="str">
            <v>Vivo</v>
          </cell>
          <cell r="E86" t="str">
            <v>500M+70GB=R$160,00</v>
          </cell>
          <cell r="F86" t="str">
            <v>Fibra</v>
          </cell>
          <cell r="I86" t="str">
            <v/>
          </cell>
          <cell r="J86">
            <v>0</v>
          </cell>
          <cell r="L86">
            <v>3506508</v>
          </cell>
        </row>
        <row r="87">
          <cell r="A87" t="str">
            <v>BIRIGUI</v>
          </cell>
          <cell r="B87" t="str">
            <v>NOROESTE</v>
          </cell>
          <cell r="C87" t="str">
            <v>MD 2</v>
          </cell>
          <cell r="D87" t="str">
            <v>Vero</v>
          </cell>
          <cell r="E87" t="str">
            <v>850M+60GB=R$149,99 (C/ GLOBOPLAY, HBO, DISNEY+)</v>
          </cell>
          <cell r="F87" t="str">
            <v>Fibra</v>
          </cell>
          <cell r="G87">
            <v>850</v>
          </cell>
          <cell r="H87">
            <v>149.99</v>
          </cell>
          <cell r="I87" t="str">
            <v/>
          </cell>
          <cell r="J87" t="str">
            <v>GLOBOPLAY, HBO, DISNEY+</v>
          </cell>
          <cell r="L87">
            <v>3506508</v>
          </cell>
        </row>
        <row r="88">
          <cell r="A88" t="str">
            <v>BIRIGUI</v>
          </cell>
          <cell r="B88" t="str">
            <v>NOROESTE</v>
          </cell>
          <cell r="C88" t="str">
            <v>MD 2</v>
          </cell>
          <cell r="D88" t="str">
            <v>ISP LOCAL</v>
          </cell>
          <cell r="E88" t="str">
            <v>FLIP - 500M R$89,99</v>
          </cell>
          <cell r="F88" t="str">
            <v>Fibra</v>
          </cell>
          <cell r="G88">
            <v>500</v>
          </cell>
          <cell r="H88">
            <v>89.99</v>
          </cell>
          <cell r="I88" t="str">
            <v/>
          </cell>
          <cell r="J88">
            <v>0</v>
          </cell>
          <cell r="L88">
            <v>3506508</v>
          </cell>
        </row>
        <row r="89">
          <cell r="A89" t="str">
            <v>BOITUVA</v>
          </cell>
          <cell r="B89" t="str">
            <v>SUDESTE</v>
          </cell>
          <cell r="C89" t="str">
            <v>MD 1</v>
          </cell>
          <cell r="D89" t="str">
            <v>Claro</v>
          </cell>
          <cell r="E89" t="str">
            <v>600M+100GB=R$119,90 por 6M, após R$139,90</v>
          </cell>
          <cell r="F89" t="str">
            <v>Fibra</v>
          </cell>
          <cell r="G89">
            <v>600</v>
          </cell>
          <cell r="H89">
            <v>139.9</v>
          </cell>
          <cell r="I89">
            <v>119.9</v>
          </cell>
          <cell r="J89" t="str">
            <v>GLOBOPLAY</v>
          </cell>
          <cell r="L89">
            <v>3507001</v>
          </cell>
        </row>
        <row r="90">
          <cell r="A90" t="str">
            <v>BOITUVA</v>
          </cell>
          <cell r="B90" t="str">
            <v>SUDESTE</v>
          </cell>
          <cell r="C90" t="str">
            <v>MD 1</v>
          </cell>
          <cell r="D90" t="str">
            <v>Vivo</v>
          </cell>
          <cell r="E90" t="str">
            <v>500M+70GB=R$160,00</v>
          </cell>
          <cell r="F90" t="str">
            <v>Fibra</v>
          </cell>
          <cell r="I90" t="str">
            <v/>
          </cell>
          <cell r="J90">
            <v>0</v>
          </cell>
          <cell r="L90">
            <v>3507001</v>
          </cell>
        </row>
        <row r="91">
          <cell r="A91" t="str">
            <v>BOITUVA</v>
          </cell>
          <cell r="B91" t="str">
            <v>SUDESTE</v>
          </cell>
          <cell r="C91" t="str">
            <v>MD 1</v>
          </cell>
          <cell r="D91" t="str">
            <v>Desktop</v>
          </cell>
          <cell r="E91" t="str">
            <v>600M+15GB=R$129,99 - 6 MESES, APÓS R$139,99</v>
          </cell>
          <cell r="F91" t="str">
            <v>Fibra</v>
          </cell>
          <cell r="G91">
            <v>600</v>
          </cell>
          <cell r="H91">
            <v>139.99</v>
          </cell>
          <cell r="I91">
            <v>129.99</v>
          </cell>
          <cell r="J91">
            <v>0</v>
          </cell>
          <cell r="L91">
            <v>3507001</v>
          </cell>
        </row>
        <row r="92">
          <cell r="A92" t="str">
            <v>BOITUVA</v>
          </cell>
          <cell r="B92" t="str">
            <v>SUDESTE</v>
          </cell>
          <cell r="C92" t="str">
            <v>MD 1</v>
          </cell>
          <cell r="D92" t="str">
            <v>ISP LOCAL</v>
          </cell>
          <cell r="E92" t="str">
            <v>ZAAZ - 600M R$99,90</v>
          </cell>
          <cell r="F92" t="str">
            <v>Fibra</v>
          </cell>
          <cell r="G92">
            <v>600</v>
          </cell>
          <cell r="H92">
            <v>99.9</v>
          </cell>
          <cell r="I92" t="str">
            <v/>
          </cell>
          <cell r="J92">
            <v>0</v>
          </cell>
          <cell r="L92">
            <v>3507001</v>
          </cell>
        </row>
        <row r="93">
          <cell r="A93" t="str">
            <v>BOTUCATU</v>
          </cell>
          <cell r="B93" t="str">
            <v>SUDESTE</v>
          </cell>
          <cell r="C93" t="str">
            <v>MD 2</v>
          </cell>
          <cell r="D93" t="str">
            <v>Claro</v>
          </cell>
          <cell r="E93" t="str">
            <v>600M+100GB=R$109,90 por 6M, após R$139,90</v>
          </cell>
          <cell r="F93" t="str">
            <v>Fibra</v>
          </cell>
          <cell r="G93">
            <v>600</v>
          </cell>
          <cell r="H93">
            <v>139.9</v>
          </cell>
          <cell r="I93">
            <v>109.9</v>
          </cell>
          <cell r="J93" t="str">
            <v>GLOBOPLAY</v>
          </cell>
          <cell r="L93">
            <v>3507506</v>
          </cell>
        </row>
        <row r="94">
          <cell r="A94" t="str">
            <v>BOTUCATU</v>
          </cell>
          <cell r="B94" t="str">
            <v>SUDESTE</v>
          </cell>
          <cell r="C94" t="str">
            <v>MD 2</v>
          </cell>
          <cell r="D94" t="str">
            <v>Vivo</v>
          </cell>
          <cell r="E94" t="str">
            <v>500M+70GB=R$160,00</v>
          </cell>
          <cell r="F94" t="str">
            <v>Fibra</v>
          </cell>
          <cell r="I94" t="str">
            <v/>
          </cell>
          <cell r="J94">
            <v>0</v>
          </cell>
          <cell r="L94">
            <v>3507506</v>
          </cell>
        </row>
        <row r="95">
          <cell r="A95" t="str">
            <v>BOTUCATU</v>
          </cell>
          <cell r="B95" t="str">
            <v>SUDESTE</v>
          </cell>
          <cell r="C95" t="str">
            <v>MD 2</v>
          </cell>
          <cell r="D95" t="str">
            <v>Desktop</v>
          </cell>
          <cell r="E95" t="str">
            <v>600M+15GB=R$129,99 - 6 MESES, APÓS R$139,99</v>
          </cell>
          <cell r="F95" t="str">
            <v>Fibra</v>
          </cell>
          <cell r="G95">
            <v>600</v>
          </cell>
          <cell r="H95">
            <v>139.99</v>
          </cell>
          <cell r="I95">
            <v>129.99</v>
          </cell>
          <cell r="J95">
            <v>0</v>
          </cell>
          <cell r="L95">
            <v>3507506</v>
          </cell>
        </row>
        <row r="96">
          <cell r="A96" t="str">
            <v>BOTUCATU</v>
          </cell>
          <cell r="B96" t="str">
            <v>SUDESTE</v>
          </cell>
          <cell r="C96" t="str">
            <v>MD 2</v>
          </cell>
          <cell r="D96" t="str">
            <v>Vero</v>
          </cell>
          <cell r="E96" t="str">
            <v>850M+60GB=R$149,99 (C/ GLOBOPLAY, HBO, DISNEY+)</v>
          </cell>
          <cell r="F96" t="str">
            <v>Fibra</v>
          </cell>
          <cell r="G96">
            <v>850</v>
          </cell>
          <cell r="H96">
            <v>149.99</v>
          </cell>
          <cell r="I96" t="str">
            <v/>
          </cell>
          <cell r="J96" t="str">
            <v>GLOBOPLAY, HBO, DISNEY+</v>
          </cell>
          <cell r="L96">
            <v>3507506</v>
          </cell>
        </row>
        <row r="97">
          <cell r="A97" t="str">
            <v>BOTUCATU</v>
          </cell>
          <cell r="B97" t="str">
            <v>SUDESTE</v>
          </cell>
          <cell r="C97" t="str">
            <v>MD 2</v>
          </cell>
          <cell r="D97" t="str">
            <v>ISP LOCAL</v>
          </cell>
          <cell r="E97" t="str">
            <v>CONNECT10  - 1GB + GLOBOPLAY R$129,90</v>
          </cell>
          <cell r="F97" t="str">
            <v>Fibra</v>
          </cell>
          <cell r="G97">
            <v>1000</v>
          </cell>
          <cell r="H97">
            <v>129.9</v>
          </cell>
          <cell r="I97" t="str">
            <v/>
          </cell>
          <cell r="J97" t="str">
            <v>GLOBOPLAY</v>
          </cell>
          <cell r="L97">
            <v>3507506</v>
          </cell>
        </row>
        <row r="98">
          <cell r="A98" t="str">
            <v>CACAPAVA</v>
          </cell>
          <cell r="B98" t="str">
            <v>LITORAL</v>
          </cell>
          <cell r="C98" t="str">
            <v>PADRÃO</v>
          </cell>
          <cell r="D98" t="str">
            <v>Claro</v>
          </cell>
          <cell r="E98" t="str">
            <v>600M+100GB=R$159,90</v>
          </cell>
          <cell r="F98" t="str">
            <v>Fibra</v>
          </cell>
          <cell r="G98">
            <v>600</v>
          </cell>
          <cell r="H98">
            <v>159.9</v>
          </cell>
          <cell r="I98" t="str">
            <v/>
          </cell>
          <cell r="J98" t="str">
            <v>GLOBOPLAY</v>
          </cell>
          <cell r="L98">
            <v>3508504</v>
          </cell>
        </row>
        <row r="99">
          <cell r="A99" t="str">
            <v>CACAPAVA</v>
          </cell>
          <cell r="B99" t="str">
            <v>LITORAL</v>
          </cell>
          <cell r="C99" t="str">
            <v>PADRÃO</v>
          </cell>
          <cell r="D99" t="str">
            <v>Vivo</v>
          </cell>
          <cell r="E99" t="str">
            <v>500M+70GB=R$160,00</v>
          </cell>
          <cell r="F99" t="str">
            <v>Fibra</v>
          </cell>
          <cell r="I99" t="str">
            <v/>
          </cell>
          <cell r="J99">
            <v>0</v>
          </cell>
          <cell r="L99">
            <v>3508504</v>
          </cell>
        </row>
        <row r="100">
          <cell r="A100" t="str">
            <v>CACAPAVA</v>
          </cell>
          <cell r="B100" t="str">
            <v>LITORAL</v>
          </cell>
          <cell r="C100" t="str">
            <v>PADRÃO</v>
          </cell>
          <cell r="D100" t="str">
            <v>Desktop</v>
          </cell>
          <cell r="E100" t="str">
            <v>600M=R$49,99 por 2M, após R$89,99</v>
          </cell>
          <cell r="F100" t="str">
            <v>Fibra</v>
          </cell>
          <cell r="G100">
            <v>600</v>
          </cell>
          <cell r="H100">
            <v>89.99</v>
          </cell>
          <cell r="I100">
            <v>49.99</v>
          </cell>
          <cell r="J100">
            <v>0</v>
          </cell>
          <cell r="L100">
            <v>3508504</v>
          </cell>
        </row>
        <row r="101">
          <cell r="A101" t="str">
            <v>CACAPAVA</v>
          </cell>
          <cell r="B101" t="str">
            <v>LITORAL</v>
          </cell>
          <cell r="C101" t="str">
            <v>PADRÃO</v>
          </cell>
          <cell r="D101" t="str">
            <v>Vero</v>
          </cell>
          <cell r="E101" t="str">
            <v>850M+60GB=R$149,99 (C/ GLOBOPLAY, HBO, DISNEY+)</v>
          </cell>
          <cell r="F101" t="str">
            <v>Fibra</v>
          </cell>
          <cell r="G101">
            <v>850</v>
          </cell>
          <cell r="H101">
            <v>149.99</v>
          </cell>
          <cell r="I101" t="str">
            <v/>
          </cell>
          <cell r="J101" t="str">
            <v>GLOBOPLAY, HBO, DISNEY+</v>
          </cell>
          <cell r="L101">
            <v>3508504</v>
          </cell>
        </row>
        <row r="102">
          <cell r="A102" t="str">
            <v>CACHOEIRA PAULISTA</v>
          </cell>
          <cell r="B102" t="str">
            <v>SUDESTE</v>
          </cell>
          <cell r="C102" t="str">
            <v>MD 2</v>
          </cell>
          <cell r="D102" t="str">
            <v>Claro</v>
          </cell>
          <cell r="E102" t="str">
            <v>600M+100GB=R$109,90 por 6M, após R$139,90</v>
          </cell>
          <cell r="F102" t="str">
            <v>Fibra</v>
          </cell>
          <cell r="G102">
            <v>600</v>
          </cell>
          <cell r="H102">
            <v>139.9</v>
          </cell>
          <cell r="I102">
            <v>109.9</v>
          </cell>
          <cell r="J102" t="str">
            <v>GLOBOPLAY</v>
          </cell>
          <cell r="L102">
            <v>3508603</v>
          </cell>
        </row>
        <row r="103">
          <cell r="A103" t="str">
            <v>CACHOEIRA PAULISTA</v>
          </cell>
          <cell r="B103" t="str">
            <v>SUDESTE</v>
          </cell>
          <cell r="C103" t="str">
            <v>MD 2</v>
          </cell>
          <cell r="D103" t="str">
            <v>Vero</v>
          </cell>
          <cell r="E103" t="str">
            <v>850M+60GB=R$149,99 (C/ GLOBOPLAY, HBO, DISNEY+)</v>
          </cell>
          <cell r="F103" t="str">
            <v>Fibra</v>
          </cell>
          <cell r="G103">
            <v>850</v>
          </cell>
          <cell r="H103">
            <v>149.99</v>
          </cell>
          <cell r="I103" t="str">
            <v/>
          </cell>
          <cell r="J103" t="str">
            <v>GLOBOPLAY, HBO, DISNEY+</v>
          </cell>
          <cell r="L103">
            <v>3508603</v>
          </cell>
        </row>
        <row r="104">
          <cell r="A104" t="str">
            <v>CACHOEIRA PAULISTA</v>
          </cell>
          <cell r="B104" t="str">
            <v>SUDESTE</v>
          </cell>
          <cell r="C104" t="str">
            <v>MD 2</v>
          </cell>
          <cell r="D104" t="str">
            <v>Weclix</v>
          </cell>
          <cell r="E104" t="str">
            <v>1GB R$59,90 - 1ª MENSALIDADE, APÓS R$99,90</v>
          </cell>
          <cell r="F104" t="str">
            <v>Fibra</v>
          </cell>
          <cell r="G104">
            <v>1000</v>
          </cell>
          <cell r="H104">
            <v>99.9</v>
          </cell>
          <cell r="I104">
            <v>59.9</v>
          </cell>
          <cell r="J104">
            <v>0</v>
          </cell>
          <cell r="L104">
            <v>3508603</v>
          </cell>
        </row>
        <row r="105">
          <cell r="A105" t="str">
            <v>CAMPINAS</v>
          </cell>
          <cell r="B105" t="str">
            <v>CENTRAL</v>
          </cell>
          <cell r="C105" t="str">
            <v>PADRÃO</v>
          </cell>
          <cell r="D105" t="str">
            <v>Claro</v>
          </cell>
          <cell r="E105" t="str">
            <v>600M+100GB=R$159,90</v>
          </cell>
          <cell r="F105" t="str">
            <v>Fibra</v>
          </cell>
          <cell r="G105">
            <v>600</v>
          </cell>
          <cell r="H105">
            <v>159.9</v>
          </cell>
          <cell r="I105" t="str">
            <v/>
          </cell>
          <cell r="J105" t="str">
            <v>GLOBOPLAY</v>
          </cell>
          <cell r="L105">
            <v>3509502</v>
          </cell>
        </row>
        <row r="106">
          <cell r="A106" t="str">
            <v>CAMPINAS</v>
          </cell>
          <cell r="B106" t="str">
            <v>CENTRAL</v>
          </cell>
          <cell r="C106" t="str">
            <v>PADRÃO</v>
          </cell>
          <cell r="D106" t="str">
            <v>Vivo</v>
          </cell>
          <cell r="E106" t="str">
            <v>500M+70GB=R$160,00</v>
          </cell>
          <cell r="F106" t="str">
            <v>Fibra</v>
          </cell>
          <cell r="I106" t="str">
            <v/>
          </cell>
          <cell r="J106">
            <v>0</v>
          </cell>
          <cell r="L106">
            <v>3509502</v>
          </cell>
        </row>
        <row r="107">
          <cell r="A107" t="str">
            <v>CAMPINAS</v>
          </cell>
          <cell r="B107" t="str">
            <v>CENTRAL</v>
          </cell>
          <cell r="C107" t="str">
            <v>PADRÃO</v>
          </cell>
          <cell r="D107" t="str">
            <v>Desktop</v>
          </cell>
          <cell r="E107" t="str">
            <v>600M+15GB=R$129,99 - 6 MESES, APÓS R$139,99</v>
          </cell>
          <cell r="F107" t="str">
            <v>Fibra</v>
          </cell>
          <cell r="G107">
            <v>600</v>
          </cell>
          <cell r="H107">
            <v>139.99</v>
          </cell>
          <cell r="I107">
            <v>129.99</v>
          </cell>
          <cell r="J107">
            <v>0</v>
          </cell>
          <cell r="L107">
            <v>3509502</v>
          </cell>
        </row>
        <row r="108">
          <cell r="A108" t="str">
            <v>CAMPINAS</v>
          </cell>
          <cell r="B108" t="str">
            <v>CENTRAL</v>
          </cell>
          <cell r="C108" t="str">
            <v>PADRÃO</v>
          </cell>
          <cell r="D108" t="str">
            <v>ISP LOCAL</v>
          </cell>
          <cell r="E108" t="str">
            <v>G2G - 600M R$99,90</v>
          </cell>
          <cell r="F108" t="str">
            <v>Fibra</v>
          </cell>
          <cell r="H108">
            <v>99.9</v>
          </cell>
          <cell r="I108" t="str">
            <v/>
          </cell>
          <cell r="J108">
            <v>0</v>
          </cell>
          <cell r="L108">
            <v>3509502</v>
          </cell>
        </row>
        <row r="109">
          <cell r="A109" t="str">
            <v>CAMPOS DO JORDAO</v>
          </cell>
          <cell r="B109" t="str">
            <v>SUDESTE</v>
          </cell>
          <cell r="C109" t="str">
            <v>MD 2</v>
          </cell>
          <cell r="D109" t="str">
            <v>Claro</v>
          </cell>
          <cell r="E109" t="str">
            <v>600M+100GB=R$109,90 por 6M, após R$139,90</v>
          </cell>
          <cell r="F109" t="str">
            <v>Fibra</v>
          </cell>
          <cell r="G109">
            <v>600</v>
          </cell>
          <cell r="H109">
            <v>139.9</v>
          </cell>
          <cell r="I109">
            <v>109.9</v>
          </cell>
          <cell r="J109" t="str">
            <v>GLOBOPLAY</v>
          </cell>
          <cell r="L109">
            <v>3509700</v>
          </cell>
        </row>
        <row r="110">
          <cell r="A110" t="str">
            <v>CAMPOS DO JORDAO</v>
          </cell>
          <cell r="B110" t="str">
            <v>SUDESTE</v>
          </cell>
          <cell r="C110" t="str">
            <v>MD 2</v>
          </cell>
          <cell r="D110" t="str">
            <v>Vivo</v>
          </cell>
          <cell r="E110" t="str">
            <v>500M+70GB=R$160,00</v>
          </cell>
          <cell r="F110" t="str">
            <v>Fibra</v>
          </cell>
          <cell r="I110" t="str">
            <v/>
          </cell>
          <cell r="J110">
            <v>0</v>
          </cell>
          <cell r="L110">
            <v>3509700</v>
          </cell>
        </row>
        <row r="111">
          <cell r="A111" t="str">
            <v>CAMPOS DO JORDAO</v>
          </cell>
          <cell r="B111" t="str">
            <v>SUDESTE</v>
          </cell>
          <cell r="C111" t="str">
            <v>MD 2</v>
          </cell>
          <cell r="D111" t="str">
            <v>ISP LOCAL</v>
          </cell>
          <cell r="E111" t="str">
            <v>G6 - 700M R$99,90</v>
          </cell>
          <cell r="F111" t="str">
            <v>Fibra</v>
          </cell>
          <cell r="G111">
            <v>700</v>
          </cell>
          <cell r="H111">
            <v>99.9</v>
          </cell>
          <cell r="I111" t="str">
            <v/>
          </cell>
          <cell r="J111">
            <v>0</v>
          </cell>
          <cell r="L111">
            <v>3509700</v>
          </cell>
        </row>
        <row r="112">
          <cell r="A112" t="str">
            <v>CAPIVARI</v>
          </cell>
          <cell r="B112" t="str">
            <v>CENTRAL</v>
          </cell>
          <cell r="C112" t="str">
            <v>PADRÃO</v>
          </cell>
          <cell r="D112" t="str">
            <v>Claro</v>
          </cell>
          <cell r="E112" t="str">
            <v>600M+100GB=R$159,90</v>
          </cell>
          <cell r="F112" t="str">
            <v>Fibra</v>
          </cell>
          <cell r="G112">
            <v>600</v>
          </cell>
          <cell r="H112">
            <v>159.9</v>
          </cell>
          <cell r="I112" t="str">
            <v/>
          </cell>
          <cell r="J112" t="str">
            <v>GLOBOPLAY</v>
          </cell>
          <cell r="L112">
            <v>3510401</v>
          </cell>
        </row>
        <row r="113">
          <cell r="A113" t="str">
            <v>CAPIVARI</v>
          </cell>
          <cell r="B113" t="str">
            <v>CENTRAL</v>
          </cell>
          <cell r="C113" t="str">
            <v>PADRÃO</v>
          </cell>
          <cell r="D113" t="str">
            <v>Desktop</v>
          </cell>
          <cell r="E113" t="str">
            <v>600M+15GB=R$129,99 - 6 MESES, APÓS R$139,99</v>
          </cell>
          <cell r="F113" t="str">
            <v>Fibra</v>
          </cell>
          <cell r="G113">
            <v>600</v>
          </cell>
          <cell r="H113">
            <v>139.99</v>
          </cell>
          <cell r="I113">
            <v>129.99</v>
          </cell>
          <cell r="J113">
            <v>0</v>
          </cell>
          <cell r="L113">
            <v>3510401</v>
          </cell>
        </row>
        <row r="114">
          <cell r="A114" t="str">
            <v>CAPIVARI</v>
          </cell>
          <cell r="B114" t="str">
            <v>CENTRAL</v>
          </cell>
          <cell r="C114" t="str">
            <v>PADRÃO</v>
          </cell>
          <cell r="D114" t="str">
            <v>ISP LOCAL</v>
          </cell>
          <cell r="E114" t="str">
            <v>EAGLE - 700M R$99,90</v>
          </cell>
          <cell r="F114" t="str">
            <v>Fibra</v>
          </cell>
          <cell r="G114">
            <v>700</v>
          </cell>
          <cell r="H114">
            <v>99.9</v>
          </cell>
          <cell r="I114" t="str">
            <v/>
          </cell>
          <cell r="J114">
            <v>0</v>
          </cell>
          <cell r="L114">
            <v>3510401</v>
          </cell>
        </row>
        <row r="115">
          <cell r="A115" t="str">
            <v>CARAGUATATUBA</v>
          </cell>
          <cell r="B115" t="str">
            <v>LITORAL</v>
          </cell>
          <cell r="C115" t="str">
            <v>ESPECIAL</v>
          </cell>
          <cell r="D115" t="str">
            <v>Claro</v>
          </cell>
          <cell r="E115" t="str">
            <v>600M+100GB=R$119,90 por 3M, após R$159,90</v>
          </cell>
          <cell r="F115" t="str">
            <v>Fibra</v>
          </cell>
          <cell r="G115">
            <v>600</v>
          </cell>
          <cell r="H115">
            <v>159.9</v>
          </cell>
          <cell r="I115">
            <v>119.9</v>
          </cell>
          <cell r="J115" t="str">
            <v>GLOBOPLAY</v>
          </cell>
          <cell r="L115">
            <v>3510500</v>
          </cell>
        </row>
        <row r="116">
          <cell r="A116" t="str">
            <v>CARAGUATATUBA</v>
          </cell>
          <cell r="B116" t="str">
            <v>LITORAL</v>
          </cell>
          <cell r="C116" t="str">
            <v>ESPECIAL</v>
          </cell>
          <cell r="D116" t="str">
            <v>Vivo</v>
          </cell>
          <cell r="E116" t="str">
            <v>500M+70GB=R$160,00</v>
          </cell>
          <cell r="F116" t="str">
            <v>Fibra</v>
          </cell>
          <cell r="I116" t="str">
            <v/>
          </cell>
          <cell r="J116">
            <v>0</v>
          </cell>
          <cell r="L116">
            <v>3510500</v>
          </cell>
        </row>
        <row r="117">
          <cell r="A117" t="str">
            <v>CARAGUATATUBA</v>
          </cell>
          <cell r="B117" t="str">
            <v>LITORAL</v>
          </cell>
          <cell r="C117" t="str">
            <v>ESPECIAL</v>
          </cell>
          <cell r="D117" t="str">
            <v>ISP LOCAL</v>
          </cell>
          <cell r="E117" t="str">
            <v>ALLOHA - 600M + GLOBOPLAY R$109,99</v>
          </cell>
          <cell r="F117" t="str">
            <v>Fibra</v>
          </cell>
          <cell r="G117">
            <v>600</v>
          </cell>
          <cell r="H117">
            <v>109.99</v>
          </cell>
          <cell r="I117" t="str">
            <v/>
          </cell>
          <cell r="J117" t="str">
            <v>GLOBOPLAY</v>
          </cell>
          <cell r="L117">
            <v>3510500</v>
          </cell>
        </row>
        <row r="118">
          <cell r="A118" t="str">
            <v>CASA BRANCA</v>
          </cell>
          <cell r="B118" t="str">
            <v>SUDESTE</v>
          </cell>
          <cell r="C118" t="str">
            <v>MD 2</v>
          </cell>
          <cell r="D118" t="str">
            <v>Claro</v>
          </cell>
          <cell r="E118" t="str">
            <v>600M+100GB=R$109,90 por 6M, após R$139,90</v>
          </cell>
          <cell r="F118" t="str">
            <v>Fibra</v>
          </cell>
          <cell r="G118">
            <v>600</v>
          </cell>
          <cell r="H118">
            <v>139.9</v>
          </cell>
          <cell r="I118">
            <v>109.9</v>
          </cell>
          <cell r="J118" t="str">
            <v>GLOBOPLAY</v>
          </cell>
          <cell r="L118">
            <v>3510807</v>
          </cell>
        </row>
        <row r="119">
          <cell r="A119" t="str">
            <v>CASA BRANCA</v>
          </cell>
          <cell r="B119" t="str">
            <v>SUDESTE</v>
          </cell>
          <cell r="C119" t="str">
            <v>MD 2</v>
          </cell>
          <cell r="D119" t="str">
            <v>Desktop</v>
          </cell>
          <cell r="E119" t="str">
            <v>600M+15GB=R$129,99 - 6 MESES, APÓS R$139,99</v>
          </cell>
          <cell r="F119" t="str">
            <v>Fibra</v>
          </cell>
          <cell r="G119">
            <v>600</v>
          </cell>
          <cell r="H119">
            <v>139.99</v>
          </cell>
          <cell r="I119">
            <v>129.99</v>
          </cell>
          <cell r="J119">
            <v>0</v>
          </cell>
          <cell r="L119">
            <v>3510807</v>
          </cell>
        </row>
        <row r="120">
          <cell r="A120" t="str">
            <v>CASA BRANCA</v>
          </cell>
          <cell r="B120" t="str">
            <v>SUDESTE</v>
          </cell>
          <cell r="C120" t="str">
            <v>MD 2</v>
          </cell>
          <cell r="D120" t="str">
            <v>Alares</v>
          </cell>
          <cell r="E120" t="str">
            <v>1GB + GLOBOPLAY R$99,90</v>
          </cell>
          <cell r="F120" t="str">
            <v>Fibra</v>
          </cell>
          <cell r="G120">
            <v>1000</v>
          </cell>
          <cell r="H120">
            <v>99.9</v>
          </cell>
          <cell r="I120" t="str">
            <v/>
          </cell>
          <cell r="J120" t="str">
            <v>GLOBOPLAY</v>
          </cell>
          <cell r="L120">
            <v>3510807</v>
          </cell>
        </row>
        <row r="121">
          <cell r="A121" t="str">
            <v>CASA BRANCA</v>
          </cell>
          <cell r="B121" t="str">
            <v>SUDESTE</v>
          </cell>
          <cell r="C121" t="str">
            <v>MD 2</v>
          </cell>
          <cell r="D121" t="str">
            <v>ISP LOCAL</v>
          </cell>
          <cell r="E121" t="str">
            <v>TELECOM - 600M R$59,90, 3 MESES, APÓS R$119,00</v>
          </cell>
          <cell r="F121" t="str">
            <v>Fibra</v>
          </cell>
          <cell r="G121">
            <v>600</v>
          </cell>
          <cell r="H121">
            <v>119</v>
          </cell>
          <cell r="I121">
            <v>59.9</v>
          </cell>
          <cell r="J121">
            <v>0</v>
          </cell>
          <cell r="L121">
            <v>3510807</v>
          </cell>
        </row>
        <row r="122">
          <cell r="A122" t="str">
            <v>CATANDUVA</v>
          </cell>
          <cell r="B122" t="str">
            <v>NOROESTE</v>
          </cell>
          <cell r="C122" t="str">
            <v>MD 2</v>
          </cell>
          <cell r="D122" t="str">
            <v>Claro</v>
          </cell>
          <cell r="E122" t="str">
            <v>600M+100GB=R$109,90 por 6M, após R$139,90</v>
          </cell>
          <cell r="F122" t="str">
            <v>Fibra</v>
          </cell>
          <cell r="G122">
            <v>600</v>
          </cell>
          <cell r="H122">
            <v>139.9</v>
          </cell>
          <cell r="I122">
            <v>109.9</v>
          </cell>
          <cell r="J122" t="str">
            <v>GLOBOPLAY</v>
          </cell>
          <cell r="L122">
            <v>3511102</v>
          </cell>
        </row>
        <row r="123">
          <cell r="A123" t="str">
            <v>CATANDUVA</v>
          </cell>
          <cell r="B123" t="str">
            <v>NOROESTE</v>
          </cell>
          <cell r="C123" t="str">
            <v>MD 2</v>
          </cell>
          <cell r="D123" t="str">
            <v>Vivo</v>
          </cell>
          <cell r="E123" t="str">
            <v>500M+70GB=R$160,00</v>
          </cell>
          <cell r="F123" t="str">
            <v>Fibra</v>
          </cell>
          <cell r="I123" t="str">
            <v/>
          </cell>
          <cell r="J123">
            <v>0</v>
          </cell>
          <cell r="L123">
            <v>3511102</v>
          </cell>
        </row>
        <row r="124">
          <cell r="A124" t="str">
            <v>CATANDUVA</v>
          </cell>
          <cell r="B124" t="str">
            <v>NOROESTE</v>
          </cell>
          <cell r="C124" t="str">
            <v>MD 2</v>
          </cell>
          <cell r="D124" t="str">
            <v>Weclix</v>
          </cell>
          <cell r="E124" t="str">
            <v>1GB R$59,90 - 1ª MENSALIDADE, APÓS R$99,90</v>
          </cell>
          <cell r="F124" t="str">
            <v>Fibra</v>
          </cell>
          <cell r="G124">
            <v>1000</v>
          </cell>
          <cell r="H124">
            <v>99.9</v>
          </cell>
          <cell r="I124">
            <v>59.9</v>
          </cell>
          <cell r="J124">
            <v>0</v>
          </cell>
          <cell r="L124">
            <v>3511102</v>
          </cell>
        </row>
        <row r="125">
          <cell r="A125" t="str">
            <v>CATANDUVA</v>
          </cell>
          <cell r="B125" t="str">
            <v>NOROESTE</v>
          </cell>
          <cell r="C125" t="str">
            <v>MD 2</v>
          </cell>
          <cell r="D125" t="str">
            <v>ISP LOCAL</v>
          </cell>
          <cell r="E125" t="str">
            <v>NETFLEX - 1GB R$99,99</v>
          </cell>
          <cell r="F125" t="str">
            <v>Fibra</v>
          </cell>
          <cell r="G125">
            <v>1000</v>
          </cell>
          <cell r="H125">
            <v>99.99</v>
          </cell>
          <cell r="I125" t="str">
            <v/>
          </cell>
          <cell r="J125">
            <v>0</v>
          </cell>
          <cell r="L125">
            <v>3511102</v>
          </cell>
        </row>
        <row r="126">
          <cell r="A126" t="str">
            <v>CERQUILHO</v>
          </cell>
          <cell r="B126" t="str">
            <v>SUDESTE</v>
          </cell>
          <cell r="C126" t="str">
            <v>MD 2</v>
          </cell>
          <cell r="D126" t="str">
            <v>Claro</v>
          </cell>
          <cell r="E126" t="str">
            <v>600M+100GB=R$109,90 por 6M, após R$139,90</v>
          </cell>
          <cell r="F126" t="str">
            <v>Fibra</v>
          </cell>
          <cell r="G126">
            <v>600</v>
          </cell>
          <cell r="H126">
            <v>139.9</v>
          </cell>
          <cell r="I126">
            <v>109.9</v>
          </cell>
          <cell r="J126" t="str">
            <v>GLOBOPLAY</v>
          </cell>
          <cell r="L126">
            <v>3511508</v>
          </cell>
        </row>
        <row r="127">
          <cell r="A127" t="str">
            <v>CERQUILHO</v>
          </cell>
          <cell r="B127" t="str">
            <v>SUDESTE</v>
          </cell>
          <cell r="C127" t="str">
            <v>MD 2</v>
          </cell>
          <cell r="D127" t="str">
            <v>Desktop</v>
          </cell>
          <cell r="E127" t="str">
            <v>600M+15GB=R$129,99 - 6 MESES, APÓS R$139,99</v>
          </cell>
          <cell r="F127" t="str">
            <v>Fibra</v>
          </cell>
          <cell r="G127">
            <v>600</v>
          </cell>
          <cell r="H127">
            <v>139.99</v>
          </cell>
          <cell r="I127">
            <v>129.99</v>
          </cell>
          <cell r="J127">
            <v>0</v>
          </cell>
          <cell r="L127">
            <v>3511508</v>
          </cell>
        </row>
        <row r="128">
          <cell r="A128" t="str">
            <v>CERQUILHO</v>
          </cell>
          <cell r="B128" t="str">
            <v>SUDESTE</v>
          </cell>
          <cell r="C128" t="str">
            <v>MD 2</v>
          </cell>
          <cell r="D128" t="str">
            <v>ISP LOCAL</v>
          </cell>
          <cell r="E128" t="str">
            <v>ZAAZ - 600M R$99,90</v>
          </cell>
          <cell r="F128" t="str">
            <v>Fibra</v>
          </cell>
          <cell r="G128">
            <v>600</v>
          </cell>
          <cell r="H128">
            <v>99.9</v>
          </cell>
          <cell r="I128" t="str">
            <v/>
          </cell>
          <cell r="J128">
            <v>0</v>
          </cell>
          <cell r="L128">
            <v>3511508</v>
          </cell>
        </row>
        <row r="129">
          <cell r="A129" t="str">
            <v>CORDEIROPOLIS</v>
          </cell>
          <cell r="B129" t="str">
            <v>CENTRAL</v>
          </cell>
          <cell r="C129" t="str">
            <v>ESPECIAL</v>
          </cell>
          <cell r="D129" t="str">
            <v>Claro</v>
          </cell>
          <cell r="E129" t="str">
            <v>600M+100GB=R$119,90 por 3M, após R$159,90</v>
          </cell>
          <cell r="F129" t="str">
            <v>Fibra</v>
          </cell>
          <cell r="G129">
            <v>600</v>
          </cell>
          <cell r="H129">
            <v>159.9</v>
          </cell>
          <cell r="I129">
            <v>119.9</v>
          </cell>
          <cell r="J129" t="str">
            <v>GLOBOPLAY</v>
          </cell>
          <cell r="L129">
            <v>3512407</v>
          </cell>
        </row>
        <row r="130">
          <cell r="A130" t="str">
            <v>CORDEIROPOLIS</v>
          </cell>
          <cell r="B130" t="str">
            <v>CENTRAL</v>
          </cell>
          <cell r="C130" t="str">
            <v>ESPECIAL</v>
          </cell>
          <cell r="D130" t="str">
            <v>Desktop</v>
          </cell>
          <cell r="E130" t="str">
            <v>600M+15GB=R$129,99 - 6 MESES, APÓS R$139,99</v>
          </cell>
          <cell r="F130" t="str">
            <v>Fibra</v>
          </cell>
          <cell r="G130">
            <v>600</v>
          </cell>
          <cell r="H130">
            <v>139.99</v>
          </cell>
          <cell r="I130">
            <v>129.99</v>
          </cell>
          <cell r="J130">
            <v>0</v>
          </cell>
          <cell r="L130">
            <v>3512407</v>
          </cell>
        </row>
        <row r="131">
          <cell r="A131" t="str">
            <v>CORDEIROPOLIS</v>
          </cell>
          <cell r="B131" t="str">
            <v>CENTRAL</v>
          </cell>
          <cell r="C131" t="str">
            <v>ESPECIAL</v>
          </cell>
          <cell r="D131" t="str">
            <v>Vero</v>
          </cell>
          <cell r="E131" t="str">
            <v>850M+60GB=R$149,99 (C/ GLOBOPLAY, HBO, DISNEY+)</v>
          </cell>
          <cell r="F131" t="str">
            <v>Fibra</v>
          </cell>
          <cell r="G131">
            <v>850</v>
          </cell>
          <cell r="H131">
            <v>149.99</v>
          </cell>
          <cell r="I131" t="str">
            <v/>
          </cell>
          <cell r="J131" t="str">
            <v>GLOBOPLAY, HBO, DISNEY+</v>
          </cell>
          <cell r="L131">
            <v>3512407</v>
          </cell>
        </row>
        <row r="132">
          <cell r="A132" t="str">
            <v>CORDEIROPOLIS</v>
          </cell>
          <cell r="B132" t="str">
            <v>CENTRAL</v>
          </cell>
          <cell r="C132" t="str">
            <v>ESPECIAL</v>
          </cell>
          <cell r="D132" t="str">
            <v>ISP LOCAL</v>
          </cell>
          <cell r="E132" t="str">
            <v>TELECOM - 600M R$59,90, 3 MESES, APÓS R$119,00</v>
          </cell>
          <cell r="F132" t="str">
            <v>Fibra</v>
          </cell>
          <cell r="G132">
            <v>600</v>
          </cell>
          <cell r="H132">
            <v>119</v>
          </cell>
          <cell r="I132">
            <v>59.9</v>
          </cell>
          <cell r="J132">
            <v>0</v>
          </cell>
          <cell r="L132">
            <v>3512407</v>
          </cell>
        </row>
        <row r="133">
          <cell r="A133" t="str">
            <v>COSMOPOLIS</v>
          </cell>
          <cell r="B133" t="str">
            <v>CENTRAL</v>
          </cell>
          <cell r="C133" t="str">
            <v>PADRÃO</v>
          </cell>
          <cell r="D133" t="str">
            <v>Claro</v>
          </cell>
          <cell r="E133" t="str">
            <v>600M+100GB=R$159,90</v>
          </cell>
          <cell r="F133" t="str">
            <v>Fibra</v>
          </cell>
          <cell r="G133">
            <v>600</v>
          </cell>
          <cell r="H133">
            <v>159.9</v>
          </cell>
          <cell r="I133" t="str">
            <v/>
          </cell>
          <cell r="J133" t="str">
            <v>GLOBOPLAY</v>
          </cell>
          <cell r="L133">
            <v>3512803</v>
          </cell>
        </row>
        <row r="134">
          <cell r="A134" t="str">
            <v>COSMOPOLIS</v>
          </cell>
          <cell r="B134" t="str">
            <v>CENTRAL</v>
          </cell>
          <cell r="C134" t="str">
            <v>PADRÃO</v>
          </cell>
          <cell r="D134" t="str">
            <v>Vivo</v>
          </cell>
          <cell r="E134" t="str">
            <v>500M+70GB=R$160,00</v>
          </cell>
          <cell r="F134" t="str">
            <v>Fibra</v>
          </cell>
          <cell r="I134" t="str">
            <v/>
          </cell>
          <cell r="J134">
            <v>0</v>
          </cell>
          <cell r="L134">
            <v>3512803</v>
          </cell>
        </row>
        <row r="135">
          <cell r="A135" t="str">
            <v>COSMOPOLIS</v>
          </cell>
          <cell r="B135" t="str">
            <v>CENTRAL</v>
          </cell>
          <cell r="C135" t="str">
            <v>PADRÃO</v>
          </cell>
          <cell r="D135" t="str">
            <v>Desktop</v>
          </cell>
          <cell r="E135" t="str">
            <v>600M=R$49,99 por 2M, após R$89,99</v>
          </cell>
          <cell r="F135" t="str">
            <v>Fibra</v>
          </cell>
          <cell r="G135">
            <v>600</v>
          </cell>
          <cell r="H135">
            <v>89.99</v>
          </cell>
          <cell r="I135">
            <v>49.99</v>
          </cell>
          <cell r="J135">
            <v>0</v>
          </cell>
          <cell r="L135">
            <v>3512803</v>
          </cell>
        </row>
        <row r="136">
          <cell r="A136" t="str">
            <v>COSMOPOLIS</v>
          </cell>
          <cell r="B136" t="str">
            <v>CENTRAL</v>
          </cell>
          <cell r="C136" t="str">
            <v>PADRÃO</v>
          </cell>
          <cell r="D136" t="str">
            <v>Algar</v>
          </cell>
          <cell r="E136" t="str">
            <v>800M R$99,90</v>
          </cell>
          <cell r="F136" t="str">
            <v>Fibra</v>
          </cell>
          <cell r="G136">
            <v>800</v>
          </cell>
          <cell r="H136">
            <v>99.9</v>
          </cell>
          <cell r="I136" t="str">
            <v/>
          </cell>
          <cell r="J136">
            <v>0</v>
          </cell>
          <cell r="L136">
            <v>3512803</v>
          </cell>
        </row>
        <row r="137">
          <cell r="A137" t="str">
            <v>COSMOPOLIS</v>
          </cell>
          <cell r="B137" t="str">
            <v>CENTRAL</v>
          </cell>
          <cell r="C137" t="str">
            <v>PADRÃO</v>
          </cell>
          <cell r="D137" t="str">
            <v>ISP LOCAL</v>
          </cell>
          <cell r="E137" t="str">
            <v>NRT NZ - 300M R$99,90</v>
          </cell>
          <cell r="F137" t="str">
            <v>Fibra</v>
          </cell>
          <cell r="G137">
            <v>300</v>
          </cell>
          <cell r="H137">
            <v>99.9</v>
          </cell>
          <cell r="I137" t="str">
            <v/>
          </cell>
          <cell r="J137">
            <v>0</v>
          </cell>
          <cell r="L137">
            <v>3512803</v>
          </cell>
        </row>
        <row r="138">
          <cell r="A138" t="str">
            <v>CRAVINHOS</v>
          </cell>
          <cell r="B138" t="str">
            <v>NOROESTE</v>
          </cell>
          <cell r="C138" t="str">
            <v>MD 2</v>
          </cell>
          <cell r="D138" t="str">
            <v>Claro</v>
          </cell>
          <cell r="E138" t="str">
            <v>600M+100GB=R$109,90 por 6M, após R$139,90</v>
          </cell>
          <cell r="F138" t="str">
            <v>Fibra</v>
          </cell>
          <cell r="G138">
            <v>600</v>
          </cell>
          <cell r="H138">
            <v>139.9</v>
          </cell>
          <cell r="I138">
            <v>109.9</v>
          </cell>
          <cell r="J138" t="str">
            <v>GLOBOPLAY</v>
          </cell>
          <cell r="L138">
            <v>3513108</v>
          </cell>
        </row>
        <row r="139">
          <cell r="A139" t="str">
            <v>CRAVINHOS</v>
          </cell>
          <cell r="B139" t="str">
            <v>NOROESTE</v>
          </cell>
          <cell r="C139" t="str">
            <v>MD 2</v>
          </cell>
          <cell r="D139" t="str">
            <v>Desktop</v>
          </cell>
          <cell r="E139" t="str">
            <v>600M=R$49,99 por 2M, após R$89,99</v>
          </cell>
          <cell r="F139" t="str">
            <v>Fibra</v>
          </cell>
          <cell r="G139">
            <v>600</v>
          </cell>
          <cell r="H139">
            <v>89.99</v>
          </cell>
          <cell r="I139">
            <v>49.99</v>
          </cell>
          <cell r="J139">
            <v>0</v>
          </cell>
          <cell r="L139">
            <v>3513108</v>
          </cell>
        </row>
        <row r="140">
          <cell r="A140" t="str">
            <v>CRAVINHOS</v>
          </cell>
          <cell r="B140" t="str">
            <v>NOROESTE</v>
          </cell>
          <cell r="C140" t="str">
            <v>MD 2</v>
          </cell>
          <cell r="D140" t="str">
            <v>Algar</v>
          </cell>
          <cell r="E140" t="str">
            <v>800M R$99,90</v>
          </cell>
          <cell r="F140" t="str">
            <v>Fibra</v>
          </cell>
          <cell r="G140">
            <v>800</v>
          </cell>
          <cell r="H140">
            <v>99.9</v>
          </cell>
          <cell r="I140" t="str">
            <v/>
          </cell>
          <cell r="J140">
            <v>0</v>
          </cell>
          <cell r="L140">
            <v>3513108</v>
          </cell>
        </row>
        <row r="141">
          <cell r="A141" t="str">
            <v>CRAVINHOS</v>
          </cell>
          <cell r="B141" t="str">
            <v>NOROESTE</v>
          </cell>
          <cell r="C141" t="str">
            <v>MD 2</v>
          </cell>
          <cell r="D141" t="str">
            <v>ISP LOCAL</v>
          </cell>
          <cell r="E141" t="str">
            <v>NIC NET - 800M R$59,90 - 3 MESES, APÓS R$99,90</v>
          </cell>
          <cell r="F141" t="str">
            <v>Fibra</v>
          </cell>
          <cell r="G141">
            <v>800</v>
          </cell>
          <cell r="H141">
            <v>99.9</v>
          </cell>
          <cell r="I141">
            <v>59.9</v>
          </cell>
          <cell r="J141">
            <v>0</v>
          </cell>
          <cell r="L141">
            <v>3513108</v>
          </cell>
        </row>
        <row r="142">
          <cell r="A142" t="str">
            <v>CRUZEIRO</v>
          </cell>
          <cell r="B142" t="str">
            <v>SUDESTE</v>
          </cell>
          <cell r="C142" t="str">
            <v>MD 2</v>
          </cell>
          <cell r="D142" t="str">
            <v>Claro</v>
          </cell>
          <cell r="E142" t="str">
            <v>600M+100GB=R$109,90 por 6M, após R$139,90</v>
          </cell>
          <cell r="F142" t="str">
            <v>Fibra</v>
          </cell>
          <cell r="G142">
            <v>600</v>
          </cell>
          <cell r="H142">
            <v>139.9</v>
          </cell>
          <cell r="I142">
            <v>109.9</v>
          </cell>
          <cell r="J142" t="str">
            <v>GLOBOPLAY</v>
          </cell>
          <cell r="L142">
            <v>3513405</v>
          </cell>
        </row>
        <row r="143">
          <cell r="A143" t="str">
            <v>CRUZEIRO</v>
          </cell>
          <cell r="B143" t="str">
            <v>SUDESTE</v>
          </cell>
          <cell r="C143" t="str">
            <v>MD 2</v>
          </cell>
          <cell r="D143" t="str">
            <v>Vivo</v>
          </cell>
          <cell r="E143" t="str">
            <v>500M+70GB=R$160,00</v>
          </cell>
          <cell r="F143" t="str">
            <v>Fibra</v>
          </cell>
          <cell r="I143" t="str">
            <v/>
          </cell>
          <cell r="J143">
            <v>0</v>
          </cell>
          <cell r="L143">
            <v>3513405</v>
          </cell>
        </row>
        <row r="144">
          <cell r="A144" t="str">
            <v>CRUZEIRO</v>
          </cell>
          <cell r="B144" t="str">
            <v>SUDESTE</v>
          </cell>
          <cell r="C144" t="str">
            <v>MD 2</v>
          </cell>
          <cell r="D144" t="str">
            <v>Vero</v>
          </cell>
          <cell r="E144" t="str">
            <v>850M+60GB=R$149,99 (C/ GLOBOPLAY, HBO, DISNEY+)</v>
          </cell>
          <cell r="F144" t="str">
            <v>Fibra</v>
          </cell>
          <cell r="G144">
            <v>850</v>
          </cell>
          <cell r="H144">
            <v>149.99</v>
          </cell>
          <cell r="I144" t="str">
            <v/>
          </cell>
          <cell r="J144" t="str">
            <v>GLOBOPLAY, HBO, DISNEY+</v>
          </cell>
          <cell r="L144">
            <v>3513405</v>
          </cell>
        </row>
        <row r="145">
          <cell r="A145" t="str">
            <v>CRUZEIRO</v>
          </cell>
          <cell r="B145" t="str">
            <v>SUDESTE</v>
          </cell>
          <cell r="C145" t="str">
            <v>MD 2</v>
          </cell>
          <cell r="D145" t="str">
            <v>Weclix</v>
          </cell>
          <cell r="E145" t="str">
            <v>1GB R$59,90 - 1ª MENSALIDADE, APÓS R$99,90</v>
          </cell>
          <cell r="F145" t="str">
            <v>Fibra</v>
          </cell>
          <cell r="G145">
            <v>1000</v>
          </cell>
          <cell r="H145">
            <v>99.9</v>
          </cell>
          <cell r="I145">
            <v>59.9</v>
          </cell>
          <cell r="J145">
            <v>0</v>
          </cell>
          <cell r="L145">
            <v>3513405</v>
          </cell>
        </row>
        <row r="146">
          <cell r="A146" t="str">
            <v>CRUZEIRO</v>
          </cell>
          <cell r="B146" t="str">
            <v>SUDESTE</v>
          </cell>
          <cell r="C146" t="str">
            <v>MD 2</v>
          </cell>
          <cell r="D146" t="str">
            <v>ISP LOCAL</v>
          </cell>
          <cell r="E146" t="str">
            <v>DBNET - 600M R$99,90</v>
          </cell>
          <cell r="F146" t="str">
            <v>Fibra</v>
          </cell>
          <cell r="G146">
            <v>600</v>
          </cell>
          <cell r="H146">
            <v>99.9</v>
          </cell>
          <cell r="I146" t="str">
            <v/>
          </cell>
          <cell r="J146">
            <v>0</v>
          </cell>
          <cell r="L146">
            <v>3513405</v>
          </cell>
        </row>
        <row r="147">
          <cell r="A147" t="str">
            <v>CUBATAO</v>
          </cell>
          <cell r="B147" t="str">
            <v>LITORAL</v>
          </cell>
          <cell r="C147" t="str">
            <v>PADRÃO</v>
          </cell>
          <cell r="D147" t="str">
            <v>Claro</v>
          </cell>
          <cell r="E147" t="str">
            <v>600M+100GB=R$159,90</v>
          </cell>
          <cell r="F147" t="str">
            <v>Fibra</v>
          </cell>
          <cell r="G147">
            <v>600</v>
          </cell>
          <cell r="H147">
            <v>159.9</v>
          </cell>
          <cell r="I147" t="str">
            <v/>
          </cell>
          <cell r="J147" t="str">
            <v>GLOBOPLAY</v>
          </cell>
          <cell r="L147">
            <v>3513504</v>
          </cell>
        </row>
        <row r="148">
          <cell r="A148" t="str">
            <v>CUBATAO</v>
          </cell>
          <cell r="B148" t="str">
            <v>LITORAL</v>
          </cell>
          <cell r="C148" t="str">
            <v>PADRÃO</v>
          </cell>
          <cell r="D148" t="str">
            <v>Vivo</v>
          </cell>
          <cell r="E148" t="str">
            <v>500M+70GB=R$160,00</v>
          </cell>
          <cell r="F148" t="str">
            <v>Fibra</v>
          </cell>
          <cell r="I148" t="str">
            <v/>
          </cell>
          <cell r="J148">
            <v>0</v>
          </cell>
          <cell r="L148">
            <v>3513504</v>
          </cell>
        </row>
        <row r="149">
          <cell r="A149" t="str">
            <v>CUBATAO</v>
          </cell>
          <cell r="B149" t="str">
            <v>LITORAL</v>
          </cell>
          <cell r="C149" t="str">
            <v>PADRÃO</v>
          </cell>
          <cell r="D149" t="str">
            <v>Desktop</v>
          </cell>
          <cell r="E149" t="str">
            <v>600M+15GB=R$129,99 - 6 MESES, APÓS R$139,99</v>
          </cell>
          <cell r="F149" t="str">
            <v>Fibra</v>
          </cell>
          <cell r="G149">
            <v>600</v>
          </cell>
          <cell r="H149">
            <v>139.99</v>
          </cell>
          <cell r="I149">
            <v>129.99</v>
          </cell>
          <cell r="J149">
            <v>0</v>
          </cell>
          <cell r="L149">
            <v>3513504</v>
          </cell>
        </row>
        <row r="150">
          <cell r="A150" t="str">
            <v>CUBATAO</v>
          </cell>
          <cell r="B150" t="str">
            <v>LITORAL</v>
          </cell>
          <cell r="C150" t="str">
            <v>PADRÃO</v>
          </cell>
          <cell r="D150" t="str">
            <v>ISP LOCAL</v>
          </cell>
          <cell r="E150" t="str">
            <v>UPDOWN - 600M R$99,90</v>
          </cell>
          <cell r="F150" t="str">
            <v>Fibra</v>
          </cell>
          <cell r="G150">
            <v>600</v>
          </cell>
          <cell r="H150">
            <v>99.9</v>
          </cell>
          <cell r="I150" t="str">
            <v/>
          </cell>
          <cell r="J150">
            <v>0</v>
          </cell>
          <cell r="L150">
            <v>3513504</v>
          </cell>
        </row>
        <row r="151">
          <cell r="A151" t="str">
            <v>DESCALVADO</v>
          </cell>
          <cell r="B151" t="str">
            <v>SUDESTE</v>
          </cell>
          <cell r="C151" t="str">
            <v>MD 2</v>
          </cell>
          <cell r="D151" t="str">
            <v>Claro</v>
          </cell>
          <cell r="E151" t="str">
            <v>600M+100GB=R$109,90 por 6M, após R$139,90</v>
          </cell>
          <cell r="F151" t="str">
            <v>Fibra</v>
          </cell>
          <cell r="G151">
            <v>600</v>
          </cell>
          <cell r="H151">
            <v>139.9</v>
          </cell>
          <cell r="I151">
            <v>109.9</v>
          </cell>
          <cell r="J151" t="str">
            <v>GLOBOPLAY</v>
          </cell>
          <cell r="L151">
            <v>3513702</v>
          </cell>
        </row>
        <row r="152">
          <cell r="A152" t="str">
            <v>DESCALVADO</v>
          </cell>
          <cell r="B152" t="str">
            <v>SUDESTE</v>
          </cell>
          <cell r="C152" t="str">
            <v>MD 2</v>
          </cell>
          <cell r="D152" t="str">
            <v>Vivo</v>
          </cell>
          <cell r="E152" t="str">
            <v>500M+70GB=R$160,00</v>
          </cell>
          <cell r="F152" t="str">
            <v>Fibra</v>
          </cell>
          <cell r="I152" t="str">
            <v/>
          </cell>
          <cell r="J152">
            <v>0</v>
          </cell>
          <cell r="L152">
            <v>3513702</v>
          </cell>
        </row>
        <row r="153">
          <cell r="A153" t="str">
            <v>DESCALVADO</v>
          </cell>
          <cell r="B153" t="str">
            <v>SUDESTE</v>
          </cell>
          <cell r="C153" t="str">
            <v>MD 2</v>
          </cell>
          <cell r="D153" t="str">
            <v>Desktop</v>
          </cell>
          <cell r="E153" t="str">
            <v>600M+15GB=R$129,99 - 6 MESES, APÓS R$139,99</v>
          </cell>
          <cell r="F153" t="str">
            <v>Fibra</v>
          </cell>
          <cell r="G153">
            <v>600</v>
          </cell>
          <cell r="H153">
            <v>139.99</v>
          </cell>
          <cell r="I153">
            <v>129.99</v>
          </cell>
          <cell r="J153">
            <v>0</v>
          </cell>
          <cell r="L153">
            <v>3513702</v>
          </cell>
        </row>
        <row r="154">
          <cell r="A154" t="str">
            <v>DESCALVADO</v>
          </cell>
          <cell r="B154" t="str">
            <v>SUDESTE</v>
          </cell>
          <cell r="C154" t="str">
            <v>MD 2</v>
          </cell>
          <cell r="D154" t="str">
            <v>ISP LOCAL</v>
          </cell>
          <cell r="E154" t="str">
            <v>DESCALNET - 650M R$99,90</v>
          </cell>
          <cell r="F154" t="str">
            <v>Fibra</v>
          </cell>
          <cell r="G154">
            <v>650</v>
          </cell>
          <cell r="H154">
            <v>99.9</v>
          </cell>
          <cell r="I154" t="str">
            <v/>
          </cell>
          <cell r="J154">
            <v>0</v>
          </cell>
          <cell r="L154">
            <v>3513702</v>
          </cell>
        </row>
        <row r="155">
          <cell r="A155" t="str">
            <v>DRACENA</v>
          </cell>
          <cell r="B155" t="str">
            <v>NOROESTE</v>
          </cell>
          <cell r="C155" t="str">
            <v>MD 2</v>
          </cell>
          <cell r="D155" t="str">
            <v>Claro</v>
          </cell>
          <cell r="E155" t="str">
            <v>600M+100GB=R$109,90 por 6M, após R$139,90</v>
          </cell>
          <cell r="F155" t="str">
            <v>Fibra</v>
          </cell>
          <cell r="G155">
            <v>600</v>
          </cell>
          <cell r="H155">
            <v>139.9</v>
          </cell>
          <cell r="I155">
            <v>109.9</v>
          </cell>
          <cell r="J155" t="str">
            <v>GLOBOPLAY</v>
          </cell>
          <cell r="L155">
            <v>3514403</v>
          </cell>
        </row>
        <row r="156">
          <cell r="A156" t="str">
            <v>DRACENA</v>
          </cell>
          <cell r="B156" t="str">
            <v>NOROESTE</v>
          </cell>
          <cell r="C156" t="str">
            <v>MD 2</v>
          </cell>
          <cell r="D156" t="str">
            <v>Vivo</v>
          </cell>
          <cell r="E156" t="str">
            <v>500M+70GB=R$160,00</v>
          </cell>
          <cell r="F156" t="str">
            <v>Fibra</v>
          </cell>
          <cell r="I156" t="str">
            <v/>
          </cell>
          <cell r="J156">
            <v>0</v>
          </cell>
          <cell r="L156">
            <v>3514403</v>
          </cell>
        </row>
        <row r="157">
          <cell r="A157" t="str">
            <v>DRACENA</v>
          </cell>
          <cell r="B157" t="str">
            <v>NOROESTE</v>
          </cell>
          <cell r="C157" t="str">
            <v>MD 2</v>
          </cell>
          <cell r="D157" t="str">
            <v>ISP LOCAL</v>
          </cell>
          <cell r="E157" t="str">
            <v>CONNECTA - 600M R$99,90</v>
          </cell>
          <cell r="F157" t="str">
            <v>Fibra</v>
          </cell>
          <cell r="G157">
            <v>600</v>
          </cell>
          <cell r="H157">
            <v>99.9</v>
          </cell>
          <cell r="I157" t="str">
            <v/>
          </cell>
          <cell r="J157">
            <v>0</v>
          </cell>
          <cell r="L157">
            <v>3514403</v>
          </cell>
        </row>
        <row r="158">
          <cell r="A158" t="str">
            <v>ELIAS FAUSTO</v>
          </cell>
          <cell r="B158" t="str">
            <v>CENTRAL</v>
          </cell>
          <cell r="C158" t="str">
            <v>PADRÃO</v>
          </cell>
          <cell r="D158" t="str">
            <v>Claro</v>
          </cell>
          <cell r="E158" t="str">
            <v>600M+100GB=R$159,90</v>
          </cell>
          <cell r="F158" t="str">
            <v>Fibra</v>
          </cell>
          <cell r="G158">
            <v>600</v>
          </cell>
          <cell r="H158">
            <v>159.9</v>
          </cell>
          <cell r="I158" t="str">
            <v/>
          </cell>
          <cell r="J158" t="str">
            <v>GLOBOPLAY</v>
          </cell>
          <cell r="L158">
            <v>3514908</v>
          </cell>
        </row>
        <row r="159">
          <cell r="A159" t="str">
            <v>ELIAS FAUSTO</v>
          </cell>
          <cell r="B159" t="str">
            <v>CENTRAL</v>
          </cell>
          <cell r="C159" t="str">
            <v>PADRÃO</v>
          </cell>
          <cell r="D159" t="str">
            <v>Desktop</v>
          </cell>
          <cell r="E159" t="str">
            <v>600M+15GB=R$129,99 - 6 MESES, APÓS R$139,99</v>
          </cell>
          <cell r="F159" t="str">
            <v>Fibra</v>
          </cell>
          <cell r="G159">
            <v>600</v>
          </cell>
          <cell r="H159">
            <v>139.99</v>
          </cell>
          <cell r="I159">
            <v>129.99</v>
          </cell>
          <cell r="J159">
            <v>0</v>
          </cell>
          <cell r="L159">
            <v>3514908</v>
          </cell>
        </row>
        <row r="160">
          <cell r="A160" t="str">
            <v>ELIAS FAUSTO</v>
          </cell>
          <cell r="B160" t="str">
            <v>CENTRAL</v>
          </cell>
          <cell r="C160" t="str">
            <v>PADRÃO</v>
          </cell>
          <cell r="D160" t="str">
            <v>Alares</v>
          </cell>
          <cell r="E160" t="str">
            <v>1GB + GLOBOPLAY R$99,90</v>
          </cell>
          <cell r="F160" t="str">
            <v>Fibra</v>
          </cell>
          <cell r="G160">
            <v>1000</v>
          </cell>
          <cell r="H160">
            <v>99.9</v>
          </cell>
          <cell r="I160" t="str">
            <v/>
          </cell>
          <cell r="J160" t="str">
            <v>GLOBOPLAY</v>
          </cell>
          <cell r="L160">
            <v>3514908</v>
          </cell>
        </row>
        <row r="161">
          <cell r="A161" t="str">
            <v>ESPIRITO SANTO DO PINHAL</v>
          </cell>
          <cell r="B161" t="str">
            <v>SUDESTE</v>
          </cell>
          <cell r="C161" t="str">
            <v>MD 2</v>
          </cell>
          <cell r="D161" t="str">
            <v>Claro</v>
          </cell>
          <cell r="E161" t="str">
            <v>600M+100GB=R$109,90 por 6M, após R$139,90</v>
          </cell>
          <cell r="F161" t="str">
            <v>Fibra</v>
          </cell>
          <cell r="G161">
            <v>600</v>
          </cell>
          <cell r="H161">
            <v>139.9</v>
          </cell>
          <cell r="I161">
            <v>109.9</v>
          </cell>
          <cell r="J161" t="str">
            <v>GLOBOPLAY</v>
          </cell>
          <cell r="L161">
            <v>3515186</v>
          </cell>
        </row>
        <row r="162">
          <cell r="A162" t="str">
            <v>ESPIRITO SANTO DO PINHAL</v>
          </cell>
          <cell r="B162" t="str">
            <v>SUDESTE</v>
          </cell>
          <cell r="C162" t="str">
            <v>MD 2</v>
          </cell>
          <cell r="D162" t="str">
            <v>Vivo</v>
          </cell>
          <cell r="E162" t="str">
            <v>500M+70GB=R$160,00</v>
          </cell>
          <cell r="F162" t="str">
            <v>Fibra</v>
          </cell>
          <cell r="I162" t="str">
            <v/>
          </cell>
          <cell r="J162">
            <v>0</v>
          </cell>
          <cell r="L162">
            <v>3515186</v>
          </cell>
        </row>
        <row r="163">
          <cell r="A163" t="str">
            <v>ESPIRITO SANTO DO PINHAL</v>
          </cell>
          <cell r="B163" t="str">
            <v>SUDESTE</v>
          </cell>
          <cell r="C163" t="str">
            <v>MD 2</v>
          </cell>
          <cell r="D163" t="str">
            <v>Alares</v>
          </cell>
          <cell r="E163" t="str">
            <v>1GB + GLOBOPLAY R$99,90</v>
          </cell>
          <cell r="F163" t="str">
            <v>Fibra</v>
          </cell>
          <cell r="G163">
            <v>1000</v>
          </cell>
          <cell r="H163">
            <v>99.9</v>
          </cell>
          <cell r="I163" t="str">
            <v/>
          </cell>
          <cell r="J163" t="str">
            <v>GLOBOPLAY</v>
          </cell>
          <cell r="L163">
            <v>3515186</v>
          </cell>
        </row>
        <row r="164">
          <cell r="A164" t="str">
            <v>ESPIRITO SANTO DO PINHAL</v>
          </cell>
          <cell r="B164" t="str">
            <v>SUDESTE</v>
          </cell>
          <cell r="C164" t="str">
            <v>MD 2</v>
          </cell>
          <cell r="D164" t="str">
            <v>ISP LOCAL</v>
          </cell>
          <cell r="E164" t="str">
            <v>TELEMÍDIA - 800M R$109,90</v>
          </cell>
          <cell r="F164" t="str">
            <v>Fibra</v>
          </cell>
          <cell r="G164">
            <v>800</v>
          </cell>
          <cell r="H164">
            <v>109.9</v>
          </cell>
          <cell r="I164" t="str">
            <v/>
          </cell>
          <cell r="J164">
            <v>0</v>
          </cell>
          <cell r="L164">
            <v>3515186</v>
          </cell>
        </row>
        <row r="165">
          <cell r="A165" t="str">
            <v>FERNANDOPOLIS</v>
          </cell>
          <cell r="B165" t="str">
            <v>NOROESTE</v>
          </cell>
          <cell r="C165" t="str">
            <v>MD 2</v>
          </cell>
          <cell r="D165" t="str">
            <v>Claro</v>
          </cell>
          <cell r="E165" t="str">
            <v>600M+100GB=R$109,90 por 6M, após R$139,90</v>
          </cell>
          <cell r="F165" t="str">
            <v>Fibra</v>
          </cell>
          <cell r="G165">
            <v>600</v>
          </cell>
          <cell r="H165">
            <v>139.9</v>
          </cell>
          <cell r="I165">
            <v>109.9</v>
          </cell>
          <cell r="J165" t="str">
            <v>GLOBOPLAY</v>
          </cell>
          <cell r="L165">
            <v>3515509</v>
          </cell>
        </row>
        <row r="166">
          <cell r="A166" t="str">
            <v>FERNANDOPOLIS</v>
          </cell>
          <cell r="B166" t="str">
            <v>NOROESTE</v>
          </cell>
          <cell r="C166" t="str">
            <v>MD 2</v>
          </cell>
          <cell r="D166" t="str">
            <v>Vivo</v>
          </cell>
          <cell r="E166" t="str">
            <v>500M+70GB=R$160,00</v>
          </cell>
          <cell r="F166" t="str">
            <v>Fibra</v>
          </cell>
          <cell r="I166" t="str">
            <v/>
          </cell>
          <cell r="J166">
            <v>0</v>
          </cell>
          <cell r="L166">
            <v>3515509</v>
          </cell>
        </row>
        <row r="167">
          <cell r="A167" t="str">
            <v>FERNANDOPOLIS</v>
          </cell>
          <cell r="B167" t="str">
            <v>NOROESTE</v>
          </cell>
          <cell r="C167" t="str">
            <v>MD 2</v>
          </cell>
          <cell r="D167" t="str">
            <v>Vero</v>
          </cell>
          <cell r="E167" t="str">
            <v>850M+60GB=R$149,99 (C/ GLOBOPLAY, HBO, DISNEY+)</v>
          </cell>
          <cell r="F167" t="str">
            <v>Fibra</v>
          </cell>
          <cell r="G167">
            <v>850</v>
          </cell>
          <cell r="H167">
            <v>149.99</v>
          </cell>
          <cell r="I167" t="str">
            <v/>
          </cell>
          <cell r="J167" t="str">
            <v>GLOBOPLAY, HBO, DISNEY+</v>
          </cell>
          <cell r="L167">
            <v>3515509</v>
          </cell>
        </row>
        <row r="168">
          <cell r="A168" t="str">
            <v>FERNANDOPOLIS</v>
          </cell>
          <cell r="B168" t="str">
            <v>NOROESTE</v>
          </cell>
          <cell r="C168" t="str">
            <v>MD 2</v>
          </cell>
          <cell r="D168" t="str">
            <v>Weclix</v>
          </cell>
          <cell r="E168" t="str">
            <v>1GB R$59,90 - 1ª MENSALIDADE, APÓS R$99,90</v>
          </cell>
          <cell r="F168" t="str">
            <v>Fibra</v>
          </cell>
          <cell r="G168">
            <v>1000</v>
          </cell>
          <cell r="H168">
            <v>99.9</v>
          </cell>
          <cell r="I168">
            <v>59.9</v>
          </cell>
          <cell r="J168">
            <v>0</v>
          </cell>
          <cell r="L168">
            <v>3515509</v>
          </cell>
        </row>
        <row r="169">
          <cell r="A169" t="str">
            <v>FERNANDOPOLIS</v>
          </cell>
          <cell r="B169" t="str">
            <v>NOROESTE</v>
          </cell>
          <cell r="C169" t="str">
            <v>MD 2</v>
          </cell>
          <cell r="D169" t="str">
            <v>ISP LOCAL</v>
          </cell>
          <cell r="E169" t="str">
            <v>FLASH - 600M R$89,90 - 3 MESES, APÓS R$130,00</v>
          </cell>
          <cell r="F169" t="str">
            <v>Fibra</v>
          </cell>
          <cell r="G169">
            <v>600</v>
          </cell>
          <cell r="H169">
            <v>130</v>
          </cell>
          <cell r="I169">
            <v>89.9</v>
          </cell>
          <cell r="J169">
            <v>0</v>
          </cell>
          <cell r="L169">
            <v>3515509</v>
          </cell>
        </row>
        <row r="170">
          <cell r="A170" t="str">
            <v>FRANCA</v>
          </cell>
          <cell r="B170" t="str">
            <v>OESTE</v>
          </cell>
          <cell r="C170" t="str">
            <v>PADRÃO</v>
          </cell>
          <cell r="D170" t="str">
            <v>Claro</v>
          </cell>
          <cell r="E170" t="str">
            <v>600M+100GB=R$159,90</v>
          </cell>
          <cell r="F170" t="str">
            <v>Fibra</v>
          </cell>
          <cell r="G170">
            <v>600</v>
          </cell>
          <cell r="H170">
            <v>159.9</v>
          </cell>
          <cell r="I170" t="str">
            <v/>
          </cell>
          <cell r="J170" t="str">
            <v>GLOBOPLAY</v>
          </cell>
          <cell r="L170">
            <v>3516200</v>
          </cell>
        </row>
        <row r="171">
          <cell r="A171" t="str">
            <v>FRANCA</v>
          </cell>
          <cell r="B171" t="str">
            <v>OESTE</v>
          </cell>
          <cell r="C171" t="str">
            <v>PADRÃO</v>
          </cell>
          <cell r="D171" t="str">
            <v>Vivo</v>
          </cell>
          <cell r="E171" t="str">
            <v>500M+70GB=R$160,00</v>
          </cell>
          <cell r="F171" t="str">
            <v>Fibra</v>
          </cell>
          <cell r="I171" t="str">
            <v/>
          </cell>
          <cell r="J171">
            <v>0</v>
          </cell>
          <cell r="L171">
            <v>3516200</v>
          </cell>
        </row>
        <row r="172">
          <cell r="A172" t="str">
            <v>FRANCA</v>
          </cell>
          <cell r="B172" t="str">
            <v>OESTE</v>
          </cell>
          <cell r="C172" t="str">
            <v>PADRÃO</v>
          </cell>
          <cell r="D172" t="str">
            <v>Desktop</v>
          </cell>
          <cell r="E172" t="str">
            <v>600M+15GB=R$129,99 - 6 MESES, APÓS R$139,99</v>
          </cell>
          <cell r="F172" t="str">
            <v>Fibra</v>
          </cell>
          <cell r="G172">
            <v>600</v>
          </cell>
          <cell r="H172">
            <v>139.99</v>
          </cell>
          <cell r="I172">
            <v>129.99</v>
          </cell>
          <cell r="J172">
            <v>0</v>
          </cell>
          <cell r="L172">
            <v>3516200</v>
          </cell>
        </row>
        <row r="173">
          <cell r="A173" t="str">
            <v>FRANCA</v>
          </cell>
          <cell r="B173" t="str">
            <v>OESTE</v>
          </cell>
          <cell r="C173" t="str">
            <v>PADRÃO</v>
          </cell>
          <cell r="D173" t="str">
            <v>Algar</v>
          </cell>
          <cell r="E173" t="str">
            <v>800M R$99,90</v>
          </cell>
          <cell r="F173" t="str">
            <v>Fibra</v>
          </cell>
          <cell r="G173">
            <v>800</v>
          </cell>
          <cell r="H173">
            <v>99.9</v>
          </cell>
          <cell r="I173" t="str">
            <v/>
          </cell>
          <cell r="J173">
            <v>0</v>
          </cell>
          <cell r="L173">
            <v>3516200</v>
          </cell>
        </row>
        <row r="174">
          <cell r="A174" t="str">
            <v>FRANCA</v>
          </cell>
          <cell r="B174" t="str">
            <v>OESTE</v>
          </cell>
          <cell r="C174" t="str">
            <v>PADRÃO</v>
          </cell>
          <cell r="D174" t="str">
            <v>Weclix</v>
          </cell>
          <cell r="E174" t="str">
            <v>1GB R$59,90 - 1ª MENSALIDADE, APÓS R$99,90</v>
          </cell>
          <cell r="F174" t="str">
            <v>Fibra</v>
          </cell>
          <cell r="G174">
            <v>1000</v>
          </cell>
          <cell r="H174">
            <v>99.9</v>
          </cell>
          <cell r="I174">
            <v>59.9</v>
          </cell>
          <cell r="J174">
            <v>0</v>
          </cell>
          <cell r="L174">
            <v>3516200</v>
          </cell>
        </row>
        <row r="175">
          <cell r="A175" t="str">
            <v>FRANCA</v>
          </cell>
          <cell r="B175" t="str">
            <v>OESTE</v>
          </cell>
          <cell r="C175" t="str">
            <v>PADRÃO</v>
          </cell>
          <cell r="D175" t="str">
            <v>ISP LOCAL</v>
          </cell>
          <cell r="E175" t="str">
            <v>ALLOHA - 600M + GLOBOPLAY R$109,99</v>
          </cell>
          <cell r="F175" t="str">
            <v>Fibra</v>
          </cell>
          <cell r="G175">
            <v>600</v>
          </cell>
          <cell r="H175">
            <v>109.99</v>
          </cell>
          <cell r="I175" t="str">
            <v/>
          </cell>
          <cell r="J175" t="str">
            <v>GLOBOPLAY</v>
          </cell>
          <cell r="L175">
            <v>3516200</v>
          </cell>
        </row>
        <row r="176">
          <cell r="A176" t="str">
            <v>GARCA</v>
          </cell>
          <cell r="B176" t="str">
            <v>NOROESTE</v>
          </cell>
          <cell r="C176" t="str">
            <v>MD 2</v>
          </cell>
          <cell r="D176" t="str">
            <v>Claro</v>
          </cell>
          <cell r="E176" t="str">
            <v>600M+100GB=R$109,90 por 6M, após R$139,90</v>
          </cell>
          <cell r="F176" t="str">
            <v>Fibra</v>
          </cell>
          <cell r="G176">
            <v>600</v>
          </cell>
          <cell r="H176">
            <v>139.9</v>
          </cell>
          <cell r="I176">
            <v>109.9</v>
          </cell>
          <cell r="J176" t="str">
            <v>GLOBOPLAY</v>
          </cell>
          <cell r="L176">
            <v>3516705</v>
          </cell>
        </row>
        <row r="177">
          <cell r="A177" t="str">
            <v>GARCA</v>
          </cell>
          <cell r="B177" t="str">
            <v>NOROESTE</v>
          </cell>
          <cell r="C177" t="str">
            <v>MD 2</v>
          </cell>
          <cell r="D177" t="str">
            <v>Vivo</v>
          </cell>
          <cell r="E177" t="str">
            <v>500M+70GB=R$160,00</v>
          </cell>
          <cell r="F177" t="str">
            <v>Fibra</v>
          </cell>
          <cell r="I177" t="str">
            <v/>
          </cell>
          <cell r="J177">
            <v>0</v>
          </cell>
          <cell r="L177">
            <v>3516705</v>
          </cell>
        </row>
        <row r="178">
          <cell r="A178" t="str">
            <v>GARCA</v>
          </cell>
          <cell r="B178" t="str">
            <v>NOROESTE</v>
          </cell>
          <cell r="C178" t="str">
            <v>MD 2</v>
          </cell>
          <cell r="D178" t="str">
            <v>ISP LOCAL</v>
          </cell>
          <cell r="E178" t="str">
            <v>LIFE - 600M R$99,90</v>
          </cell>
          <cell r="F178" t="str">
            <v>Fibra</v>
          </cell>
          <cell r="G178">
            <v>600</v>
          </cell>
          <cell r="H178">
            <v>99.9</v>
          </cell>
          <cell r="I178" t="str">
            <v/>
          </cell>
          <cell r="J178">
            <v>0</v>
          </cell>
          <cell r="L178">
            <v>3516705</v>
          </cell>
        </row>
        <row r="179">
          <cell r="A179" t="str">
            <v>GUAIRA</v>
          </cell>
          <cell r="B179" t="str">
            <v>NOROESTE</v>
          </cell>
          <cell r="C179" t="str">
            <v>MD 1</v>
          </cell>
          <cell r="D179" t="str">
            <v>Claro</v>
          </cell>
          <cell r="E179" t="str">
            <v>600M+100GB=R$119,90 por 6M, após R$139,90</v>
          </cell>
          <cell r="F179" t="str">
            <v>Fibra</v>
          </cell>
          <cell r="G179">
            <v>600</v>
          </cell>
          <cell r="H179">
            <v>139.9</v>
          </cell>
          <cell r="I179">
            <v>119.9</v>
          </cell>
          <cell r="J179" t="str">
            <v>GLOBOPLAY</v>
          </cell>
          <cell r="L179">
            <v>3517406</v>
          </cell>
        </row>
        <row r="180">
          <cell r="A180" t="str">
            <v>GUAIRA</v>
          </cell>
          <cell r="B180" t="str">
            <v>NOROESTE</v>
          </cell>
          <cell r="C180" t="str">
            <v>MD 1</v>
          </cell>
          <cell r="D180" t="str">
            <v>Desktop</v>
          </cell>
          <cell r="E180" t="str">
            <v>600M+15GB=R$129,99 - 6 MESES, APÓS R$139,99</v>
          </cell>
          <cell r="F180" t="str">
            <v>Fibra</v>
          </cell>
          <cell r="G180">
            <v>600</v>
          </cell>
          <cell r="H180">
            <v>139.99</v>
          </cell>
          <cell r="I180">
            <v>129.99</v>
          </cell>
          <cell r="J180">
            <v>0</v>
          </cell>
          <cell r="L180">
            <v>3517406</v>
          </cell>
        </row>
        <row r="181">
          <cell r="A181" t="str">
            <v>GUAIRA</v>
          </cell>
          <cell r="B181" t="str">
            <v>NOROESTE</v>
          </cell>
          <cell r="C181" t="str">
            <v>MD 1</v>
          </cell>
          <cell r="D181" t="str">
            <v>Algar</v>
          </cell>
          <cell r="E181" t="str">
            <v>600M+45GB= R$114,80 R$99,90</v>
          </cell>
          <cell r="F181" t="str">
            <v>Fibra</v>
          </cell>
          <cell r="G181">
            <v>600</v>
          </cell>
          <cell r="H181">
            <v>114.8</v>
          </cell>
          <cell r="I181" t="str">
            <v/>
          </cell>
          <cell r="J181">
            <v>0</v>
          </cell>
          <cell r="L181">
            <v>3517406</v>
          </cell>
        </row>
        <row r="182">
          <cell r="A182" t="str">
            <v>GUAIRA</v>
          </cell>
          <cell r="B182" t="str">
            <v>NOROESTE</v>
          </cell>
          <cell r="C182" t="str">
            <v>MD 1</v>
          </cell>
          <cell r="D182" t="str">
            <v>ISP LOCAL</v>
          </cell>
          <cell r="E182" t="str">
            <v>NIC NET - 800M R$59,90 - 3 MESES, APÓS R$99,90</v>
          </cell>
          <cell r="F182" t="str">
            <v>Fibra</v>
          </cell>
          <cell r="G182">
            <v>800</v>
          </cell>
          <cell r="H182">
            <v>99.9</v>
          </cell>
          <cell r="I182">
            <v>59.9</v>
          </cell>
          <cell r="J182">
            <v>0</v>
          </cell>
          <cell r="L182">
            <v>3517406</v>
          </cell>
        </row>
        <row r="183">
          <cell r="A183" t="str">
            <v>GUAPIACU</v>
          </cell>
          <cell r="B183" t="str">
            <v>NOROESTE</v>
          </cell>
          <cell r="C183" t="str">
            <v>MD 2</v>
          </cell>
          <cell r="D183" t="str">
            <v>Claro</v>
          </cell>
          <cell r="E183" t="str">
            <v>600M+100GB=R$109,90 por 6M, após R$139,90</v>
          </cell>
          <cell r="F183" t="str">
            <v>Fibra</v>
          </cell>
          <cell r="G183">
            <v>600</v>
          </cell>
          <cell r="H183">
            <v>139.9</v>
          </cell>
          <cell r="I183">
            <v>109.9</v>
          </cell>
          <cell r="J183" t="str">
            <v>GLOBOPLAY</v>
          </cell>
          <cell r="L183">
            <v>3517505</v>
          </cell>
        </row>
        <row r="184">
          <cell r="A184" t="str">
            <v>GUAPIACU</v>
          </cell>
          <cell r="B184" t="str">
            <v>NOROESTE</v>
          </cell>
          <cell r="C184" t="str">
            <v>MD 2</v>
          </cell>
          <cell r="D184" t="str">
            <v>Desktop</v>
          </cell>
          <cell r="E184" t="str">
            <v>600M=R$49,99 por 2M, após R$89,99</v>
          </cell>
          <cell r="F184" t="str">
            <v>Fibra</v>
          </cell>
          <cell r="G184">
            <v>600</v>
          </cell>
          <cell r="H184">
            <v>89.99</v>
          </cell>
          <cell r="I184">
            <v>49.99</v>
          </cell>
          <cell r="J184">
            <v>0</v>
          </cell>
          <cell r="L184">
            <v>3517505</v>
          </cell>
        </row>
        <row r="185">
          <cell r="A185" t="str">
            <v>GUAPIACU</v>
          </cell>
          <cell r="B185" t="str">
            <v>NOROESTE</v>
          </cell>
          <cell r="C185" t="str">
            <v>MD 2</v>
          </cell>
          <cell r="D185" t="str">
            <v>ISP LOCAL</v>
          </cell>
          <cell r="E185" t="str">
            <v>NETONE - 1GB R$99,90</v>
          </cell>
          <cell r="F185" t="str">
            <v>Fibra</v>
          </cell>
          <cell r="G185">
            <v>1000</v>
          </cell>
          <cell r="H185">
            <v>99.9</v>
          </cell>
          <cell r="I185" t="str">
            <v/>
          </cell>
          <cell r="J185">
            <v>0</v>
          </cell>
          <cell r="L185">
            <v>3517505</v>
          </cell>
        </row>
        <row r="186">
          <cell r="A186" t="str">
            <v>GUARARAPES</v>
          </cell>
          <cell r="B186" t="str">
            <v>NOROESTE</v>
          </cell>
          <cell r="C186" t="str">
            <v>MD 2</v>
          </cell>
          <cell r="D186" t="str">
            <v>Claro</v>
          </cell>
          <cell r="E186" t="str">
            <v>600M+100GB=R$109,90 por 6M, após R$139,90</v>
          </cell>
          <cell r="F186" t="str">
            <v>Fibra</v>
          </cell>
          <cell r="G186">
            <v>600</v>
          </cell>
          <cell r="H186">
            <v>139.9</v>
          </cell>
          <cell r="I186">
            <v>109.9</v>
          </cell>
          <cell r="J186" t="str">
            <v>GLOBOPLAY</v>
          </cell>
          <cell r="L186">
            <v>3518206</v>
          </cell>
        </row>
        <row r="187">
          <cell r="A187" t="str">
            <v>GUARARAPES</v>
          </cell>
          <cell r="B187" t="str">
            <v>NOROESTE</v>
          </cell>
          <cell r="C187" t="str">
            <v>MD 2</v>
          </cell>
          <cell r="D187" t="str">
            <v>Vivo</v>
          </cell>
          <cell r="E187" t="str">
            <v>500M+70GB=R$160,00</v>
          </cell>
          <cell r="F187" t="str">
            <v>Fibra</v>
          </cell>
          <cell r="I187" t="str">
            <v/>
          </cell>
          <cell r="J187">
            <v>0</v>
          </cell>
          <cell r="L187">
            <v>3518206</v>
          </cell>
        </row>
        <row r="188">
          <cell r="A188" t="str">
            <v>GUARARAPES</v>
          </cell>
          <cell r="B188" t="str">
            <v>NOROESTE</v>
          </cell>
          <cell r="C188" t="str">
            <v>MD 2</v>
          </cell>
          <cell r="D188" t="str">
            <v>Vero</v>
          </cell>
          <cell r="E188" t="str">
            <v>850M+60GB=R$149,99 (C/ GLOBOPLAY, HBO, DISNEY+)</v>
          </cell>
          <cell r="F188" t="str">
            <v>Fibra</v>
          </cell>
          <cell r="G188">
            <v>850</v>
          </cell>
          <cell r="H188">
            <v>149.99</v>
          </cell>
          <cell r="I188" t="str">
            <v/>
          </cell>
          <cell r="J188" t="str">
            <v>GLOBOPLAY, HBO, DISNEY+</v>
          </cell>
          <cell r="L188">
            <v>3518206</v>
          </cell>
        </row>
        <row r="189">
          <cell r="A189" t="str">
            <v>GUARARAPES</v>
          </cell>
          <cell r="B189" t="str">
            <v>NOROESTE</v>
          </cell>
          <cell r="C189" t="str">
            <v>MD 2</v>
          </cell>
          <cell r="D189" t="str">
            <v>ISP LOCAL</v>
          </cell>
          <cell r="E189" t="str">
            <v>FLIP - 500M R$89,99</v>
          </cell>
          <cell r="F189" t="str">
            <v>Fibra</v>
          </cell>
          <cell r="G189">
            <v>500</v>
          </cell>
          <cell r="H189">
            <v>89.99</v>
          </cell>
          <cell r="I189" t="str">
            <v/>
          </cell>
          <cell r="J189">
            <v>0</v>
          </cell>
          <cell r="L189">
            <v>3518206</v>
          </cell>
        </row>
        <row r="190">
          <cell r="A190" t="str">
            <v>GUARATINGUETA</v>
          </cell>
          <cell r="B190" t="str">
            <v>SUDESTE</v>
          </cell>
          <cell r="C190" t="str">
            <v>MD 2</v>
          </cell>
          <cell r="D190" t="str">
            <v>Claro</v>
          </cell>
          <cell r="E190" t="str">
            <v>600M+100GB=R$109,90 por 6M, após R$139,90</v>
          </cell>
          <cell r="F190" t="str">
            <v>Fibra</v>
          </cell>
          <cell r="G190">
            <v>600</v>
          </cell>
          <cell r="H190">
            <v>139.9</v>
          </cell>
          <cell r="I190">
            <v>109.9</v>
          </cell>
          <cell r="J190" t="str">
            <v>GLOBOPLAY</v>
          </cell>
          <cell r="L190">
            <v>3518404</v>
          </cell>
        </row>
        <row r="191">
          <cell r="A191" t="str">
            <v>GUARATINGUETA</v>
          </cell>
          <cell r="B191" t="str">
            <v>SUDESTE</v>
          </cell>
          <cell r="C191" t="str">
            <v>MD 2</v>
          </cell>
          <cell r="D191" t="str">
            <v>Vivo</v>
          </cell>
          <cell r="E191" t="str">
            <v>500M+70GB=R$160,00</v>
          </cell>
          <cell r="F191" t="str">
            <v>Fibra</v>
          </cell>
          <cell r="I191" t="str">
            <v/>
          </cell>
          <cell r="J191">
            <v>0</v>
          </cell>
          <cell r="L191">
            <v>3518404</v>
          </cell>
        </row>
        <row r="192">
          <cell r="A192" t="str">
            <v>GUARATINGUETA</v>
          </cell>
          <cell r="B192" t="str">
            <v>SUDESTE</v>
          </cell>
          <cell r="C192" t="str">
            <v>MD 2</v>
          </cell>
          <cell r="D192" t="str">
            <v>ISP LOCAL</v>
          </cell>
          <cell r="E192" t="str">
            <v>PROVALE - 600M R$99,90</v>
          </cell>
          <cell r="F192" t="str">
            <v>Fibra</v>
          </cell>
          <cell r="G192">
            <v>600</v>
          </cell>
          <cell r="H192">
            <v>99.9</v>
          </cell>
          <cell r="I192" t="str">
            <v/>
          </cell>
          <cell r="J192">
            <v>0</v>
          </cell>
          <cell r="L192">
            <v>3518404</v>
          </cell>
        </row>
        <row r="193">
          <cell r="A193" t="str">
            <v>GUARUJA</v>
          </cell>
          <cell r="B193" t="str">
            <v>LITORAL</v>
          </cell>
          <cell r="C193" t="str">
            <v>PADRÃO</v>
          </cell>
          <cell r="D193" t="str">
            <v>Claro</v>
          </cell>
          <cell r="E193" t="str">
            <v>600M+100GB=R$159,90</v>
          </cell>
          <cell r="F193" t="str">
            <v>Fibra</v>
          </cell>
          <cell r="G193">
            <v>600</v>
          </cell>
          <cell r="H193">
            <v>159.9</v>
          </cell>
          <cell r="I193" t="str">
            <v/>
          </cell>
          <cell r="J193" t="str">
            <v>GLOBOPLAY</v>
          </cell>
          <cell r="L193">
            <v>3518701</v>
          </cell>
        </row>
        <row r="194">
          <cell r="A194" t="str">
            <v>GUARUJA</v>
          </cell>
          <cell r="B194" t="str">
            <v>LITORAL</v>
          </cell>
          <cell r="C194" t="str">
            <v>PADRÃO</v>
          </cell>
          <cell r="D194" t="str">
            <v>Vivo</v>
          </cell>
          <cell r="E194" t="str">
            <v>500M+70GB=R$160,00</v>
          </cell>
          <cell r="F194" t="str">
            <v>Fibra</v>
          </cell>
          <cell r="I194" t="str">
            <v/>
          </cell>
          <cell r="J194">
            <v>0</v>
          </cell>
          <cell r="L194">
            <v>3518701</v>
          </cell>
        </row>
        <row r="195">
          <cell r="A195" t="str">
            <v>GUARUJA</v>
          </cell>
          <cell r="B195" t="str">
            <v>LITORAL</v>
          </cell>
          <cell r="C195" t="str">
            <v>PADRÃO</v>
          </cell>
          <cell r="D195" t="str">
            <v>Desktop</v>
          </cell>
          <cell r="E195" t="str">
            <v>600M+15GB=R$129,99 - 6 MESES, APÓS R$139,99</v>
          </cell>
          <cell r="F195" t="str">
            <v>Fibra</v>
          </cell>
          <cell r="G195">
            <v>600</v>
          </cell>
          <cell r="H195">
            <v>139.99</v>
          </cell>
          <cell r="I195">
            <v>129.99</v>
          </cell>
          <cell r="J195">
            <v>0</v>
          </cell>
          <cell r="L195">
            <v>3518701</v>
          </cell>
        </row>
        <row r="196">
          <cell r="A196" t="str">
            <v>GUARUJA</v>
          </cell>
          <cell r="B196" t="str">
            <v>LITORAL</v>
          </cell>
          <cell r="C196" t="str">
            <v>PADRÃO</v>
          </cell>
          <cell r="D196" t="str">
            <v>ISP LOCAL</v>
          </cell>
          <cell r="E196" t="str">
            <v>ALLOHA - 600M + GLOBOPLAY R$109,99</v>
          </cell>
          <cell r="F196" t="str">
            <v>Fibra</v>
          </cell>
          <cell r="G196">
            <v>600</v>
          </cell>
          <cell r="H196">
            <v>109.99</v>
          </cell>
          <cell r="I196" t="str">
            <v/>
          </cell>
          <cell r="J196" t="str">
            <v>GLOBOPLAY</v>
          </cell>
          <cell r="L196">
            <v>3518701</v>
          </cell>
        </row>
        <row r="197">
          <cell r="A197" t="str">
            <v>HORTOLANDIA</v>
          </cell>
          <cell r="B197" t="str">
            <v>CENTRAL</v>
          </cell>
          <cell r="C197" t="str">
            <v>ESPECIAL</v>
          </cell>
          <cell r="D197" t="str">
            <v>Claro</v>
          </cell>
          <cell r="E197" t="str">
            <v>600M+100GB=R$119,90 por 3M, após R$159,90</v>
          </cell>
          <cell r="F197" t="str">
            <v>Fibra</v>
          </cell>
          <cell r="G197">
            <v>600</v>
          </cell>
          <cell r="H197">
            <v>159.9</v>
          </cell>
          <cell r="I197">
            <v>119.9</v>
          </cell>
          <cell r="J197" t="str">
            <v>GLOBOPLAY</v>
          </cell>
          <cell r="L197">
            <v>3519071</v>
          </cell>
        </row>
        <row r="198">
          <cell r="A198" t="str">
            <v>HORTOLANDIA</v>
          </cell>
          <cell r="B198" t="str">
            <v>CENTRAL</v>
          </cell>
          <cell r="C198" t="str">
            <v>ESPECIAL</v>
          </cell>
          <cell r="D198" t="str">
            <v>Vivo</v>
          </cell>
          <cell r="E198" t="str">
            <v>500M+70GB=R$160,00</v>
          </cell>
          <cell r="F198" t="str">
            <v>Fibra</v>
          </cell>
          <cell r="I198" t="str">
            <v/>
          </cell>
          <cell r="J198">
            <v>0</v>
          </cell>
          <cell r="L198">
            <v>3519071</v>
          </cell>
        </row>
        <row r="199">
          <cell r="A199" t="str">
            <v>HORTOLANDIA</v>
          </cell>
          <cell r="B199" t="str">
            <v>CENTRAL</v>
          </cell>
          <cell r="C199" t="str">
            <v>ESPECIAL</v>
          </cell>
          <cell r="D199" t="str">
            <v>Desktop</v>
          </cell>
          <cell r="E199" t="str">
            <v>600M+15GB=R$129,99 - 6 MESES, APÓS R$139,99</v>
          </cell>
          <cell r="F199" t="str">
            <v>Fibra</v>
          </cell>
          <cell r="G199">
            <v>600</v>
          </cell>
          <cell r="H199">
            <v>139.99</v>
          </cell>
          <cell r="I199">
            <v>129.99</v>
          </cell>
          <cell r="J199">
            <v>0</v>
          </cell>
          <cell r="L199">
            <v>3519071</v>
          </cell>
        </row>
        <row r="200">
          <cell r="A200" t="str">
            <v>HORTOLANDIA</v>
          </cell>
          <cell r="B200" t="str">
            <v>CENTRAL</v>
          </cell>
          <cell r="C200" t="str">
            <v>ESPECIAL</v>
          </cell>
          <cell r="D200" t="str">
            <v>ISP LOCAL</v>
          </cell>
          <cell r="E200" t="str">
            <v>CLICKNET - 700M R$99,99</v>
          </cell>
          <cell r="F200" t="str">
            <v>Fibra</v>
          </cell>
          <cell r="G200">
            <v>700</v>
          </cell>
          <cell r="H200">
            <v>99.99</v>
          </cell>
          <cell r="I200" t="str">
            <v/>
          </cell>
          <cell r="J200">
            <v>0</v>
          </cell>
          <cell r="L200">
            <v>3519071</v>
          </cell>
        </row>
        <row r="201">
          <cell r="A201" t="str">
            <v>IBATE</v>
          </cell>
          <cell r="B201" t="str">
            <v>NOROESTE</v>
          </cell>
          <cell r="C201" t="str">
            <v>MD 2</v>
          </cell>
          <cell r="D201" t="str">
            <v>Claro</v>
          </cell>
          <cell r="E201" t="str">
            <v>600M+100GB=R$109,90 por 6M, após R$139,90</v>
          </cell>
          <cell r="F201" t="str">
            <v>Fibra</v>
          </cell>
          <cell r="G201">
            <v>600</v>
          </cell>
          <cell r="H201">
            <v>139.9</v>
          </cell>
          <cell r="I201">
            <v>109.9</v>
          </cell>
          <cell r="J201" t="str">
            <v>GLOBOPLAY</v>
          </cell>
          <cell r="L201">
            <v>3519303</v>
          </cell>
        </row>
        <row r="202">
          <cell r="A202" t="str">
            <v>IBATE</v>
          </cell>
          <cell r="B202" t="str">
            <v>NOROESTE</v>
          </cell>
          <cell r="C202" t="str">
            <v>MD 2</v>
          </cell>
          <cell r="D202" t="str">
            <v>Desktop</v>
          </cell>
          <cell r="E202" t="str">
            <v>600M+15GB=R$129,99 - 6 MESES, APÓS R$139,99</v>
          </cell>
          <cell r="F202" t="str">
            <v>Fibra</v>
          </cell>
          <cell r="G202">
            <v>600</v>
          </cell>
          <cell r="H202">
            <v>139.99</v>
          </cell>
          <cell r="I202">
            <v>129.99</v>
          </cell>
          <cell r="J202">
            <v>0</v>
          </cell>
          <cell r="L202">
            <v>3519303</v>
          </cell>
        </row>
        <row r="203">
          <cell r="A203" t="str">
            <v>IBATE</v>
          </cell>
          <cell r="B203" t="str">
            <v>NOROESTE</v>
          </cell>
          <cell r="C203" t="str">
            <v>MD 2</v>
          </cell>
          <cell r="D203" t="str">
            <v>ISP LOCAL</v>
          </cell>
          <cell r="E203" t="str">
            <v>AGUIA NET - 500M R$99,00</v>
          </cell>
          <cell r="F203" t="str">
            <v>Fibra</v>
          </cell>
          <cell r="G203">
            <v>500</v>
          </cell>
          <cell r="H203">
            <v>99</v>
          </cell>
          <cell r="I203" t="str">
            <v/>
          </cell>
          <cell r="J203">
            <v>0</v>
          </cell>
          <cell r="L203">
            <v>3519303</v>
          </cell>
        </row>
        <row r="204">
          <cell r="A204" t="str">
            <v>IBIUNA</v>
          </cell>
          <cell r="B204" t="str">
            <v>SUDESTE</v>
          </cell>
          <cell r="C204" t="str">
            <v>MD 2</v>
          </cell>
          <cell r="D204" t="str">
            <v>Claro</v>
          </cell>
          <cell r="E204" t="str">
            <v>600M+100GB=R$109,90 por 6M, após R$139,90</v>
          </cell>
          <cell r="F204" t="str">
            <v>Fibra</v>
          </cell>
          <cell r="G204">
            <v>600</v>
          </cell>
          <cell r="H204">
            <v>139.9</v>
          </cell>
          <cell r="I204">
            <v>109.9</v>
          </cell>
          <cell r="J204" t="str">
            <v>GLOBOPLAY</v>
          </cell>
          <cell r="L204">
            <v>3519709</v>
          </cell>
        </row>
        <row r="205">
          <cell r="A205" t="str">
            <v>IBIUNA</v>
          </cell>
          <cell r="B205" t="str">
            <v>SUDESTE</v>
          </cell>
          <cell r="C205" t="str">
            <v>MD 2</v>
          </cell>
          <cell r="D205" t="str">
            <v>Alares</v>
          </cell>
          <cell r="E205" t="str">
            <v>1GB + GLOBOPLAY R$99,90</v>
          </cell>
          <cell r="F205" t="str">
            <v>Fibra</v>
          </cell>
          <cell r="G205">
            <v>1000</v>
          </cell>
          <cell r="H205">
            <v>99.9</v>
          </cell>
          <cell r="I205" t="str">
            <v/>
          </cell>
          <cell r="J205" t="str">
            <v>GLOBOPLAY</v>
          </cell>
          <cell r="L205">
            <v>3519709</v>
          </cell>
        </row>
        <row r="206">
          <cell r="A206" t="str">
            <v>IBIUNA</v>
          </cell>
          <cell r="B206" t="str">
            <v>SUDESTE</v>
          </cell>
          <cell r="C206" t="str">
            <v>MD 2</v>
          </cell>
          <cell r="D206" t="str">
            <v>ISP LOCAL</v>
          </cell>
          <cell r="E206" t="str">
            <v>AGT NET - 600M R$99,90</v>
          </cell>
          <cell r="F206" t="str">
            <v>Fibra</v>
          </cell>
          <cell r="G206">
            <v>600</v>
          </cell>
          <cell r="H206">
            <v>99.9</v>
          </cell>
          <cell r="I206" t="str">
            <v/>
          </cell>
          <cell r="J206">
            <v>0</v>
          </cell>
          <cell r="L206">
            <v>3519709</v>
          </cell>
        </row>
        <row r="207">
          <cell r="A207" t="str">
            <v>INDAIATUBA</v>
          </cell>
          <cell r="B207" t="str">
            <v>CENTRAL</v>
          </cell>
          <cell r="C207" t="str">
            <v>PADRÃO</v>
          </cell>
          <cell r="D207" t="str">
            <v>Claro</v>
          </cell>
          <cell r="E207" t="str">
            <v>600M+100GB=R$159,90</v>
          </cell>
          <cell r="F207" t="str">
            <v>Fibra</v>
          </cell>
          <cell r="G207">
            <v>600</v>
          </cell>
          <cell r="H207">
            <v>159.9</v>
          </cell>
          <cell r="I207" t="str">
            <v/>
          </cell>
          <cell r="J207" t="str">
            <v>GLOBOPLAY</v>
          </cell>
          <cell r="L207">
            <v>3520509</v>
          </cell>
        </row>
        <row r="208">
          <cell r="A208" t="str">
            <v>INDAIATUBA</v>
          </cell>
          <cell r="B208" t="str">
            <v>CENTRAL</v>
          </cell>
          <cell r="C208" t="str">
            <v>PADRÃO</v>
          </cell>
          <cell r="D208" t="str">
            <v>Vivo</v>
          </cell>
          <cell r="E208" t="str">
            <v>500M+70GB=R$160,00</v>
          </cell>
          <cell r="F208" t="str">
            <v>Fibra</v>
          </cell>
          <cell r="I208" t="str">
            <v/>
          </cell>
          <cell r="J208">
            <v>0</v>
          </cell>
          <cell r="L208">
            <v>3520509</v>
          </cell>
        </row>
        <row r="209">
          <cell r="A209" t="str">
            <v>INDAIATUBA</v>
          </cell>
          <cell r="B209" t="str">
            <v>CENTRAL</v>
          </cell>
          <cell r="C209" t="str">
            <v>PADRÃO</v>
          </cell>
          <cell r="D209" t="str">
            <v>Desktop</v>
          </cell>
          <cell r="E209" t="str">
            <v>600M+15GB=R$129,99 - 6 MESES, APÓS R$139,99</v>
          </cell>
          <cell r="F209" t="str">
            <v>Fibra</v>
          </cell>
          <cell r="G209">
            <v>600</v>
          </cell>
          <cell r="H209">
            <v>139.99</v>
          </cell>
          <cell r="I209">
            <v>129.99</v>
          </cell>
          <cell r="J209">
            <v>0</v>
          </cell>
          <cell r="L209">
            <v>3520509</v>
          </cell>
        </row>
        <row r="210">
          <cell r="A210" t="str">
            <v>INDAIATUBA</v>
          </cell>
          <cell r="B210" t="str">
            <v>CENTRAL</v>
          </cell>
          <cell r="C210" t="str">
            <v>PADRÃO</v>
          </cell>
          <cell r="D210" t="str">
            <v>Alares</v>
          </cell>
          <cell r="E210" t="str">
            <v>1GB + GLOBOPLAY R$99,90</v>
          </cell>
          <cell r="F210" t="str">
            <v>Fibra</v>
          </cell>
          <cell r="G210">
            <v>1000</v>
          </cell>
          <cell r="H210">
            <v>99.9</v>
          </cell>
          <cell r="I210" t="str">
            <v/>
          </cell>
          <cell r="J210" t="str">
            <v>GLOBOPLAY</v>
          </cell>
          <cell r="L210">
            <v>3520509</v>
          </cell>
        </row>
        <row r="211">
          <cell r="A211" t="str">
            <v>INDAIATUBA</v>
          </cell>
          <cell r="B211" t="str">
            <v>CENTRAL</v>
          </cell>
          <cell r="C211" t="str">
            <v>PADRÃO</v>
          </cell>
          <cell r="D211" t="str">
            <v>ISP LOCAL</v>
          </cell>
          <cell r="E211" t="str">
            <v>INDAIA FIBRA - 300M R$99,90</v>
          </cell>
          <cell r="F211" t="str">
            <v>Fibra</v>
          </cell>
          <cell r="G211">
            <v>300</v>
          </cell>
          <cell r="H211">
            <v>99.9</v>
          </cell>
          <cell r="I211" t="str">
            <v/>
          </cell>
          <cell r="J211">
            <v>0</v>
          </cell>
          <cell r="L211">
            <v>3520509</v>
          </cell>
        </row>
        <row r="212">
          <cell r="A212" t="str">
            <v>IPERO</v>
          </cell>
          <cell r="B212" t="str">
            <v>SUDESTE</v>
          </cell>
          <cell r="C212" t="str">
            <v>MD 2</v>
          </cell>
          <cell r="D212" t="str">
            <v>Claro</v>
          </cell>
          <cell r="E212" t="str">
            <v>600M+100GB=R$109,90 por 6M, após R$139,90</v>
          </cell>
          <cell r="F212" t="str">
            <v>Fibra</v>
          </cell>
          <cell r="G212">
            <v>600</v>
          </cell>
          <cell r="H212">
            <v>139.9</v>
          </cell>
          <cell r="I212">
            <v>109.9</v>
          </cell>
          <cell r="J212" t="str">
            <v>GLOBOPLAY</v>
          </cell>
          <cell r="L212">
            <v>3521002</v>
          </cell>
        </row>
        <row r="213">
          <cell r="A213" t="str">
            <v>IPERO</v>
          </cell>
          <cell r="B213" t="str">
            <v>SUDESTE</v>
          </cell>
          <cell r="C213" t="str">
            <v>MD 2</v>
          </cell>
          <cell r="D213" t="str">
            <v>Desktop</v>
          </cell>
          <cell r="E213" t="str">
            <v>600M+15GB=R$129,99 - 6 MESES, APÓS R$139,99</v>
          </cell>
          <cell r="F213" t="str">
            <v>Fibra</v>
          </cell>
          <cell r="G213">
            <v>600</v>
          </cell>
          <cell r="H213">
            <v>139.99</v>
          </cell>
          <cell r="I213">
            <v>129.99</v>
          </cell>
          <cell r="J213">
            <v>0</v>
          </cell>
          <cell r="L213">
            <v>3521002</v>
          </cell>
        </row>
        <row r="214">
          <cell r="A214" t="str">
            <v>IPERO</v>
          </cell>
          <cell r="B214" t="str">
            <v>SUDESTE</v>
          </cell>
          <cell r="C214" t="str">
            <v>MD 2</v>
          </cell>
          <cell r="D214" t="str">
            <v>Vero</v>
          </cell>
          <cell r="E214" t="str">
            <v>850M+60GB=R$149,99 (C/ GLOBOPLAY, HBO, DISNEY+)</v>
          </cell>
          <cell r="F214" t="str">
            <v>Fibra</v>
          </cell>
          <cell r="G214">
            <v>850</v>
          </cell>
          <cell r="H214">
            <v>149.99</v>
          </cell>
          <cell r="I214" t="str">
            <v/>
          </cell>
          <cell r="J214" t="str">
            <v>GLOBOPLAY, HBO, DISNEY+</v>
          </cell>
          <cell r="L214">
            <v>3521002</v>
          </cell>
        </row>
        <row r="215">
          <cell r="A215" t="str">
            <v>IPERO</v>
          </cell>
          <cell r="B215" t="str">
            <v>SUDESTE</v>
          </cell>
          <cell r="C215" t="str">
            <v>MD 2</v>
          </cell>
          <cell r="D215" t="str">
            <v>ISP LOCAL</v>
          </cell>
          <cell r="E215" t="str">
            <v>ZAAZ - 600M R$99,90</v>
          </cell>
          <cell r="F215" t="str">
            <v>Fibra</v>
          </cell>
          <cell r="G215">
            <v>600</v>
          </cell>
          <cell r="H215">
            <v>99.9</v>
          </cell>
          <cell r="I215" t="str">
            <v/>
          </cell>
          <cell r="J215">
            <v>0</v>
          </cell>
          <cell r="L215">
            <v>3521002</v>
          </cell>
        </row>
        <row r="216">
          <cell r="A216" t="str">
            <v>ITANHAEM</v>
          </cell>
          <cell r="B216" t="str">
            <v>LITORAL</v>
          </cell>
          <cell r="C216" t="str">
            <v>ESPECIAL</v>
          </cell>
          <cell r="D216" t="str">
            <v>Claro</v>
          </cell>
          <cell r="E216" t="str">
            <v>600M+100GB=R$119,90 por 3M, após R$159,90</v>
          </cell>
          <cell r="F216" t="str">
            <v>Fibra</v>
          </cell>
          <cell r="G216">
            <v>600</v>
          </cell>
          <cell r="H216">
            <v>159.9</v>
          </cell>
          <cell r="I216">
            <v>119.9</v>
          </cell>
          <cell r="J216" t="str">
            <v>GLOBOPLAY</v>
          </cell>
          <cell r="L216">
            <v>3522109</v>
          </cell>
        </row>
        <row r="217">
          <cell r="A217" t="str">
            <v>ITANHAEM</v>
          </cell>
          <cell r="B217" t="str">
            <v>LITORAL</v>
          </cell>
          <cell r="C217" t="str">
            <v>ESPECIAL</v>
          </cell>
          <cell r="D217" t="str">
            <v>Vivo</v>
          </cell>
          <cell r="E217" t="str">
            <v>500M+70GB=R$160,00</v>
          </cell>
          <cell r="F217" t="str">
            <v>Fibra</v>
          </cell>
          <cell r="I217" t="str">
            <v/>
          </cell>
          <cell r="J217">
            <v>0</v>
          </cell>
          <cell r="L217">
            <v>3522109</v>
          </cell>
        </row>
        <row r="218">
          <cell r="A218" t="str">
            <v>ITANHAEM</v>
          </cell>
          <cell r="B218" t="str">
            <v>LITORAL</v>
          </cell>
          <cell r="C218" t="str">
            <v>ESPECIAL</v>
          </cell>
          <cell r="D218" t="str">
            <v>Desktop</v>
          </cell>
          <cell r="E218" t="str">
            <v>600M=R$49,99 por 2M, após R$89,99</v>
          </cell>
          <cell r="F218" t="str">
            <v>Fibra</v>
          </cell>
          <cell r="G218">
            <v>600</v>
          </cell>
          <cell r="H218">
            <v>89.99</v>
          </cell>
          <cell r="I218">
            <v>49.99</v>
          </cell>
          <cell r="J218">
            <v>0</v>
          </cell>
          <cell r="L218">
            <v>3522109</v>
          </cell>
        </row>
        <row r="219">
          <cell r="A219" t="str">
            <v>ITANHAEM</v>
          </cell>
          <cell r="B219" t="str">
            <v>LITORAL</v>
          </cell>
          <cell r="C219" t="str">
            <v>ESPECIAL</v>
          </cell>
          <cell r="D219" t="str">
            <v>ISP LOCAL</v>
          </cell>
          <cell r="E219" t="str">
            <v>ETECCNET - 600M R$109,90</v>
          </cell>
          <cell r="F219" t="str">
            <v>Fibra</v>
          </cell>
          <cell r="G219">
            <v>600</v>
          </cell>
          <cell r="H219">
            <v>109.9</v>
          </cell>
          <cell r="I219" t="str">
            <v/>
          </cell>
          <cell r="J219">
            <v>0</v>
          </cell>
          <cell r="L219">
            <v>3522109</v>
          </cell>
        </row>
        <row r="220">
          <cell r="A220" t="str">
            <v>ITAPETININGA</v>
          </cell>
          <cell r="B220" t="str">
            <v>SUDESTE</v>
          </cell>
          <cell r="C220" t="str">
            <v>MD 2</v>
          </cell>
          <cell r="D220" t="str">
            <v>Claro</v>
          </cell>
          <cell r="E220" t="str">
            <v>600M+100GB=R$109,90 por 6M, após R$139,90</v>
          </cell>
          <cell r="F220" t="str">
            <v>Fibra</v>
          </cell>
          <cell r="G220">
            <v>600</v>
          </cell>
          <cell r="H220">
            <v>139.9</v>
          </cell>
          <cell r="I220">
            <v>109.9</v>
          </cell>
          <cell r="J220" t="str">
            <v>GLOBOPLAY</v>
          </cell>
          <cell r="L220">
            <v>3522307</v>
          </cell>
        </row>
        <row r="221">
          <cell r="A221" t="str">
            <v>ITAPETININGA</v>
          </cell>
          <cell r="B221" t="str">
            <v>SUDESTE</v>
          </cell>
          <cell r="C221" t="str">
            <v>MD 2</v>
          </cell>
          <cell r="D221" t="str">
            <v>Vivo</v>
          </cell>
          <cell r="E221" t="str">
            <v>500M+70GB=R$160,00</v>
          </cell>
          <cell r="F221" t="str">
            <v>Fibra</v>
          </cell>
          <cell r="I221" t="str">
            <v/>
          </cell>
          <cell r="J221">
            <v>0</v>
          </cell>
          <cell r="L221">
            <v>3522307</v>
          </cell>
        </row>
        <row r="222">
          <cell r="A222" t="str">
            <v>ITAPETININGA</v>
          </cell>
          <cell r="B222" t="str">
            <v>SUDESTE</v>
          </cell>
          <cell r="C222" t="str">
            <v>MD 2</v>
          </cell>
          <cell r="D222" t="str">
            <v>Desktop</v>
          </cell>
          <cell r="E222" t="str">
            <v>600M=R$49,99 por 2M, após R$89,99</v>
          </cell>
          <cell r="F222" t="str">
            <v>Fibra</v>
          </cell>
          <cell r="G222">
            <v>600</v>
          </cell>
          <cell r="H222">
            <v>89.99</v>
          </cell>
          <cell r="I222">
            <v>49.99</v>
          </cell>
          <cell r="J222">
            <v>0</v>
          </cell>
          <cell r="L222">
            <v>3522307</v>
          </cell>
        </row>
        <row r="223">
          <cell r="A223" t="str">
            <v>ITAPETININGA</v>
          </cell>
          <cell r="B223" t="str">
            <v>SUDESTE</v>
          </cell>
          <cell r="C223" t="str">
            <v>MD 2</v>
          </cell>
          <cell r="D223" t="str">
            <v>Alares</v>
          </cell>
          <cell r="E223" t="str">
            <v>1GB + GLOBOPLAY R$99,90</v>
          </cell>
          <cell r="F223" t="str">
            <v>Fibra</v>
          </cell>
          <cell r="G223">
            <v>1000</v>
          </cell>
          <cell r="H223">
            <v>99.9</v>
          </cell>
          <cell r="I223" t="str">
            <v/>
          </cell>
          <cell r="J223" t="str">
            <v>GLOBOPLAY</v>
          </cell>
          <cell r="L223">
            <v>3522307</v>
          </cell>
        </row>
        <row r="224">
          <cell r="A224" t="str">
            <v>ITAPETININGA</v>
          </cell>
          <cell r="B224" t="str">
            <v>SUDESTE</v>
          </cell>
          <cell r="C224" t="str">
            <v>MD 2</v>
          </cell>
          <cell r="D224" t="str">
            <v>ISP LOCAL</v>
          </cell>
          <cell r="E224" t="str">
            <v>MHNET - 500M R$99,90</v>
          </cell>
          <cell r="F224" t="str">
            <v>Fibra</v>
          </cell>
          <cell r="G224">
            <v>500</v>
          </cell>
          <cell r="H224">
            <v>99.9</v>
          </cell>
          <cell r="I224" t="str">
            <v/>
          </cell>
          <cell r="J224">
            <v>0</v>
          </cell>
          <cell r="L224">
            <v>3522307</v>
          </cell>
        </row>
        <row r="225">
          <cell r="A225" t="str">
            <v>ITAPEVA</v>
          </cell>
          <cell r="B225" t="str">
            <v>SUDESTE</v>
          </cell>
          <cell r="C225" t="str">
            <v>MD 2</v>
          </cell>
          <cell r="D225" t="str">
            <v>Claro</v>
          </cell>
          <cell r="E225" t="str">
            <v>600M+100GB=R$109,90 por 6M, após R$139,90</v>
          </cell>
          <cell r="F225" t="str">
            <v>Fibra</v>
          </cell>
          <cell r="G225">
            <v>600</v>
          </cell>
          <cell r="H225">
            <v>139.9</v>
          </cell>
          <cell r="I225">
            <v>109.9</v>
          </cell>
          <cell r="J225" t="str">
            <v>GLOBOPLAY</v>
          </cell>
          <cell r="L225">
            <v>3522406</v>
          </cell>
        </row>
        <row r="226">
          <cell r="A226" t="str">
            <v>ITAPEVA</v>
          </cell>
          <cell r="B226" t="str">
            <v>SUDESTE</v>
          </cell>
          <cell r="C226" t="str">
            <v>MD 2</v>
          </cell>
          <cell r="D226" t="str">
            <v>Vivo</v>
          </cell>
          <cell r="E226" t="str">
            <v>500M+70GB=R$160,00</v>
          </cell>
          <cell r="F226" t="str">
            <v>Fibra</v>
          </cell>
          <cell r="I226" t="str">
            <v/>
          </cell>
          <cell r="J226">
            <v>0</v>
          </cell>
          <cell r="L226">
            <v>3522406</v>
          </cell>
        </row>
        <row r="227">
          <cell r="A227" t="str">
            <v>ITAPEVA</v>
          </cell>
          <cell r="B227" t="str">
            <v>SUDESTE</v>
          </cell>
          <cell r="C227" t="str">
            <v>MD 2</v>
          </cell>
          <cell r="D227" t="str">
            <v>ISP LOCAL</v>
          </cell>
          <cell r="E227" t="str">
            <v>ZAAZ - 600M R$99,90</v>
          </cell>
          <cell r="F227" t="str">
            <v>Fibra</v>
          </cell>
          <cell r="G227">
            <v>600</v>
          </cell>
          <cell r="H227">
            <v>99.9</v>
          </cell>
          <cell r="I227" t="str">
            <v/>
          </cell>
          <cell r="J227">
            <v>0</v>
          </cell>
          <cell r="L227">
            <v>3522406</v>
          </cell>
        </row>
        <row r="228">
          <cell r="A228" t="str">
            <v>ITAPIRA</v>
          </cell>
          <cell r="B228" t="str">
            <v>SUDESTE</v>
          </cell>
          <cell r="C228" t="str">
            <v>MD 2</v>
          </cell>
          <cell r="D228" t="str">
            <v>Claro</v>
          </cell>
          <cell r="E228" t="str">
            <v>600M+100GB=R$109,90 por 6M, após R$139,90</v>
          </cell>
          <cell r="F228" t="str">
            <v>Fibra</v>
          </cell>
          <cell r="G228">
            <v>600</v>
          </cell>
          <cell r="H228">
            <v>139.9</v>
          </cell>
          <cell r="I228">
            <v>109.9</v>
          </cell>
          <cell r="J228" t="str">
            <v>GLOBOPLAY</v>
          </cell>
          <cell r="L228">
            <v>3522604</v>
          </cell>
        </row>
        <row r="229">
          <cell r="A229" t="str">
            <v>ITAPIRA</v>
          </cell>
          <cell r="B229" t="str">
            <v>SUDESTE</v>
          </cell>
          <cell r="C229" t="str">
            <v>MD 2</v>
          </cell>
          <cell r="D229" t="str">
            <v>Vivo</v>
          </cell>
          <cell r="E229" t="str">
            <v>500M+70GB=R$160,00</v>
          </cell>
          <cell r="F229" t="str">
            <v>Fibra</v>
          </cell>
          <cell r="I229" t="str">
            <v/>
          </cell>
          <cell r="J229">
            <v>0</v>
          </cell>
          <cell r="L229">
            <v>3522604</v>
          </cell>
        </row>
        <row r="230">
          <cell r="A230" t="str">
            <v>ITAPIRA</v>
          </cell>
          <cell r="B230" t="str">
            <v>SUDESTE</v>
          </cell>
          <cell r="C230" t="str">
            <v>MD 2</v>
          </cell>
          <cell r="D230" t="str">
            <v>Weclix</v>
          </cell>
          <cell r="E230" t="str">
            <v>1GB R$59,90 - 1ª MENSALIDADE, APÓS R$99,90</v>
          </cell>
          <cell r="F230" t="str">
            <v>Fibra</v>
          </cell>
          <cell r="G230">
            <v>1000</v>
          </cell>
          <cell r="H230">
            <v>99.9</v>
          </cell>
          <cell r="I230">
            <v>59.9</v>
          </cell>
          <cell r="J230">
            <v>0</v>
          </cell>
          <cell r="L230">
            <v>3522604</v>
          </cell>
        </row>
        <row r="231">
          <cell r="A231" t="str">
            <v>ITAPIRA</v>
          </cell>
          <cell r="B231" t="str">
            <v>SUDESTE</v>
          </cell>
          <cell r="C231" t="str">
            <v>MD 2</v>
          </cell>
          <cell r="D231" t="str">
            <v>ISP LOCAL</v>
          </cell>
          <cell r="E231" t="str">
            <v>BS CONECT - 600M R$99,90</v>
          </cell>
          <cell r="F231" t="str">
            <v>Fibra</v>
          </cell>
          <cell r="G231">
            <v>600</v>
          </cell>
          <cell r="H231">
            <v>99.9</v>
          </cell>
          <cell r="I231" t="str">
            <v/>
          </cell>
          <cell r="J231">
            <v>0</v>
          </cell>
          <cell r="L231">
            <v>3522604</v>
          </cell>
        </row>
        <row r="232">
          <cell r="A232" t="str">
            <v>ITUVERAVA</v>
          </cell>
          <cell r="B232" t="str">
            <v>NOROESTE</v>
          </cell>
          <cell r="C232" t="str">
            <v>MD 2</v>
          </cell>
          <cell r="D232" t="str">
            <v>Claro</v>
          </cell>
          <cell r="E232" t="str">
            <v>600M+100GB=R$109,90 por 6M, após R$139,90</v>
          </cell>
          <cell r="F232" t="str">
            <v>Fibra</v>
          </cell>
          <cell r="G232">
            <v>600</v>
          </cell>
          <cell r="H232">
            <v>139.9</v>
          </cell>
          <cell r="I232">
            <v>109.9</v>
          </cell>
          <cell r="J232" t="str">
            <v>GLOBOPLAY</v>
          </cell>
          <cell r="L232">
            <v>3524105</v>
          </cell>
        </row>
        <row r="233">
          <cell r="A233" t="str">
            <v>ITUVERAVA</v>
          </cell>
          <cell r="B233" t="str">
            <v>NOROESTE</v>
          </cell>
          <cell r="C233" t="str">
            <v>MD 2</v>
          </cell>
          <cell r="D233" t="str">
            <v>Algar</v>
          </cell>
          <cell r="E233" t="str">
            <v>800M R$99,90</v>
          </cell>
          <cell r="F233" t="str">
            <v>Fibra</v>
          </cell>
          <cell r="G233">
            <v>800</v>
          </cell>
          <cell r="H233">
            <v>99.9</v>
          </cell>
          <cell r="I233" t="str">
            <v/>
          </cell>
          <cell r="J233">
            <v>0</v>
          </cell>
          <cell r="L233">
            <v>3524105</v>
          </cell>
        </row>
        <row r="234">
          <cell r="A234" t="str">
            <v>ITUVERAVA</v>
          </cell>
          <cell r="B234" t="str">
            <v>NOROESTE</v>
          </cell>
          <cell r="C234" t="str">
            <v>MD 2</v>
          </cell>
          <cell r="D234" t="str">
            <v>ISP LOCAL</v>
          </cell>
          <cell r="E234" t="str">
            <v>WEB ROUTE - 600M R$99,90</v>
          </cell>
          <cell r="F234" t="str">
            <v>Fibra</v>
          </cell>
          <cell r="G234">
            <v>600</v>
          </cell>
          <cell r="H234">
            <v>99.9</v>
          </cell>
          <cell r="I234" t="str">
            <v/>
          </cell>
          <cell r="J234">
            <v>0</v>
          </cell>
          <cell r="L234">
            <v>3524105</v>
          </cell>
        </row>
        <row r="235">
          <cell r="A235" t="str">
            <v>JABOTICABAL</v>
          </cell>
          <cell r="B235" t="str">
            <v>NOROESTE</v>
          </cell>
          <cell r="C235" t="str">
            <v>MD 2</v>
          </cell>
          <cell r="D235" t="str">
            <v>Claro</v>
          </cell>
          <cell r="E235" t="str">
            <v>600M+100GB=R$109,90 por 6M, após R$139,90</v>
          </cell>
          <cell r="F235" t="str">
            <v>Fibra</v>
          </cell>
          <cell r="G235">
            <v>600</v>
          </cell>
          <cell r="H235">
            <v>139.9</v>
          </cell>
          <cell r="I235">
            <v>109.9</v>
          </cell>
          <cell r="J235" t="str">
            <v>GLOBOPLAY</v>
          </cell>
          <cell r="L235">
            <v>3524303</v>
          </cell>
        </row>
        <row r="236">
          <cell r="A236" t="str">
            <v>JABOTICABAL</v>
          </cell>
          <cell r="B236" t="str">
            <v>NOROESTE</v>
          </cell>
          <cell r="C236" t="str">
            <v>MD 2</v>
          </cell>
          <cell r="D236" t="str">
            <v>Vivo</v>
          </cell>
          <cell r="E236" t="str">
            <v>500M+70GB=R$160,00</v>
          </cell>
          <cell r="F236" t="str">
            <v>Fibra</v>
          </cell>
          <cell r="I236" t="str">
            <v/>
          </cell>
          <cell r="J236">
            <v>0</v>
          </cell>
          <cell r="L236">
            <v>3524303</v>
          </cell>
        </row>
        <row r="237">
          <cell r="A237" t="str">
            <v>JABOTICABAL</v>
          </cell>
          <cell r="B237" t="str">
            <v>NOROESTE</v>
          </cell>
          <cell r="C237" t="str">
            <v>MD 2</v>
          </cell>
          <cell r="D237" t="str">
            <v>Desktop</v>
          </cell>
          <cell r="E237" t="str">
            <v>600M+15GB=R$129,99 - 6 MESES, APÓS R$139,99</v>
          </cell>
          <cell r="F237" t="str">
            <v>Fibra</v>
          </cell>
          <cell r="G237">
            <v>600</v>
          </cell>
          <cell r="H237">
            <v>139.99</v>
          </cell>
          <cell r="I237">
            <v>129.99</v>
          </cell>
          <cell r="J237">
            <v>0</v>
          </cell>
          <cell r="L237">
            <v>3524303</v>
          </cell>
        </row>
        <row r="238">
          <cell r="A238" t="str">
            <v>JABOTICABAL</v>
          </cell>
          <cell r="B238" t="str">
            <v>NOROESTE</v>
          </cell>
          <cell r="C238" t="str">
            <v>MD 2</v>
          </cell>
          <cell r="D238" t="str">
            <v>Algar</v>
          </cell>
          <cell r="E238" t="str">
            <v>800M R$99,90</v>
          </cell>
          <cell r="F238" t="str">
            <v>Fibra</v>
          </cell>
          <cell r="G238">
            <v>800</v>
          </cell>
          <cell r="H238">
            <v>99.9</v>
          </cell>
          <cell r="I238" t="str">
            <v/>
          </cell>
          <cell r="J238">
            <v>0</v>
          </cell>
          <cell r="L238">
            <v>3524303</v>
          </cell>
        </row>
        <row r="239">
          <cell r="A239" t="str">
            <v>JABOTICABAL</v>
          </cell>
          <cell r="B239" t="str">
            <v>NOROESTE</v>
          </cell>
          <cell r="C239" t="str">
            <v>MD 2</v>
          </cell>
          <cell r="D239" t="str">
            <v>Weclix</v>
          </cell>
          <cell r="E239" t="str">
            <v>1GB R$59,90 - 1ª MENSALIDADE, APÓS R$99,90</v>
          </cell>
          <cell r="F239" t="str">
            <v>Fibra</v>
          </cell>
          <cell r="G239">
            <v>1000</v>
          </cell>
          <cell r="H239">
            <v>99.9</v>
          </cell>
          <cell r="I239">
            <v>59.9</v>
          </cell>
          <cell r="J239">
            <v>0</v>
          </cell>
          <cell r="L239">
            <v>3524303</v>
          </cell>
        </row>
        <row r="240">
          <cell r="A240" t="str">
            <v>JABOTICABAL</v>
          </cell>
          <cell r="B240" t="str">
            <v>NOROESTE</v>
          </cell>
          <cell r="C240" t="str">
            <v>MD 2</v>
          </cell>
          <cell r="D240" t="str">
            <v>ISP LOCAL</v>
          </cell>
          <cell r="E240" t="str">
            <v>ALCANS - 1GB R$109,00</v>
          </cell>
          <cell r="F240" t="str">
            <v>Fibra</v>
          </cell>
          <cell r="G240">
            <v>1000</v>
          </cell>
          <cell r="H240">
            <v>109</v>
          </cell>
          <cell r="I240" t="str">
            <v/>
          </cell>
          <cell r="J240">
            <v>0</v>
          </cell>
          <cell r="L240">
            <v>3524303</v>
          </cell>
        </row>
        <row r="241">
          <cell r="A241" t="str">
            <v>JACAREI</v>
          </cell>
          <cell r="B241" t="str">
            <v>LITORAL</v>
          </cell>
          <cell r="C241" t="str">
            <v>PADRÃO</v>
          </cell>
          <cell r="D241" t="str">
            <v>Claro</v>
          </cell>
          <cell r="E241" t="str">
            <v>600M+100GB=R$159,90</v>
          </cell>
          <cell r="F241" t="str">
            <v>Fibra</v>
          </cell>
          <cell r="G241">
            <v>600</v>
          </cell>
          <cell r="H241">
            <v>159.9</v>
          </cell>
          <cell r="I241" t="str">
            <v/>
          </cell>
          <cell r="J241" t="str">
            <v>GLOBOPLAY</v>
          </cell>
          <cell r="L241">
            <v>3524402</v>
          </cell>
        </row>
        <row r="242">
          <cell r="A242" t="str">
            <v>JACAREI</v>
          </cell>
          <cell r="B242" t="str">
            <v>LITORAL</v>
          </cell>
          <cell r="C242" t="str">
            <v>PADRÃO</v>
          </cell>
          <cell r="D242" t="str">
            <v>Vivo</v>
          </cell>
          <cell r="E242" t="str">
            <v>500M+70GB=R$160,00</v>
          </cell>
          <cell r="F242" t="str">
            <v>Fibra</v>
          </cell>
          <cell r="I242" t="str">
            <v/>
          </cell>
          <cell r="J242">
            <v>0</v>
          </cell>
          <cell r="L242">
            <v>3524402</v>
          </cell>
        </row>
        <row r="243">
          <cell r="A243" t="str">
            <v>JACAREI</v>
          </cell>
          <cell r="B243" t="str">
            <v>LITORAL</v>
          </cell>
          <cell r="C243" t="str">
            <v>PADRÃO</v>
          </cell>
          <cell r="D243" t="str">
            <v>Desktop</v>
          </cell>
          <cell r="E243" t="str">
            <v>600M+15GB=R$129,99 - 6 MESES, APÓS R$139,99</v>
          </cell>
          <cell r="F243" t="str">
            <v>Fibra</v>
          </cell>
          <cell r="G243">
            <v>600</v>
          </cell>
          <cell r="H243">
            <v>139.99</v>
          </cell>
          <cell r="I243">
            <v>129.99</v>
          </cell>
          <cell r="J243">
            <v>0</v>
          </cell>
          <cell r="L243">
            <v>3524402</v>
          </cell>
        </row>
        <row r="244">
          <cell r="A244" t="str">
            <v>JACAREI</v>
          </cell>
          <cell r="B244" t="str">
            <v>LITORAL</v>
          </cell>
          <cell r="C244" t="str">
            <v>PADRÃO</v>
          </cell>
          <cell r="D244" t="str">
            <v>ISP LOCAL</v>
          </cell>
          <cell r="E244" t="str">
            <v>NETJACAREÍ - 600M R$109,90</v>
          </cell>
          <cell r="F244" t="str">
            <v>Fibra</v>
          </cell>
          <cell r="G244">
            <v>600</v>
          </cell>
          <cell r="H244">
            <v>109.9</v>
          </cell>
          <cell r="I244" t="str">
            <v/>
          </cell>
          <cell r="J244">
            <v>0</v>
          </cell>
          <cell r="L244">
            <v>3524402</v>
          </cell>
        </row>
        <row r="245">
          <cell r="A245" t="str">
            <v>JAGUARIUNA</v>
          </cell>
          <cell r="B245" t="str">
            <v>CENTRAL</v>
          </cell>
          <cell r="C245" t="str">
            <v>ESPECIAL</v>
          </cell>
          <cell r="D245" t="str">
            <v>Claro</v>
          </cell>
          <cell r="E245" t="str">
            <v>600M+100GB=R$119,90 por 3M, após R$159,90</v>
          </cell>
          <cell r="F245" t="str">
            <v>Fibra</v>
          </cell>
          <cell r="G245">
            <v>600</v>
          </cell>
          <cell r="H245">
            <v>159.9</v>
          </cell>
          <cell r="I245">
            <v>119.9</v>
          </cell>
          <cell r="J245" t="str">
            <v>GLOBOPLAY</v>
          </cell>
          <cell r="L245">
            <v>3524709</v>
          </cell>
        </row>
        <row r="246">
          <cell r="A246" t="str">
            <v>JAGUARIUNA</v>
          </cell>
          <cell r="B246" t="str">
            <v>CENTRAL</v>
          </cell>
          <cell r="C246" t="str">
            <v>ESPECIAL</v>
          </cell>
          <cell r="D246" t="str">
            <v>Vivo</v>
          </cell>
          <cell r="E246" t="str">
            <v>500M+70GB=R$160,00</v>
          </cell>
          <cell r="F246" t="str">
            <v>Fibra</v>
          </cell>
          <cell r="I246" t="str">
            <v/>
          </cell>
          <cell r="J246">
            <v>0</v>
          </cell>
          <cell r="L246">
            <v>3524709</v>
          </cell>
        </row>
        <row r="247">
          <cell r="A247" t="str">
            <v>JAGUARIUNA</v>
          </cell>
          <cell r="B247" t="str">
            <v>CENTRAL</v>
          </cell>
          <cell r="C247" t="str">
            <v>ESPECIAL</v>
          </cell>
          <cell r="D247" t="str">
            <v>Desktop</v>
          </cell>
          <cell r="E247" t="str">
            <v>600M+15GB=R$129,99 - 6 MESES, APÓS R$139,99</v>
          </cell>
          <cell r="F247" t="str">
            <v>Fibra</v>
          </cell>
          <cell r="G247">
            <v>600</v>
          </cell>
          <cell r="H247">
            <v>139.99</v>
          </cell>
          <cell r="I247">
            <v>129.99</v>
          </cell>
          <cell r="J247">
            <v>0</v>
          </cell>
          <cell r="L247">
            <v>3524709</v>
          </cell>
        </row>
        <row r="248">
          <cell r="A248" t="str">
            <v>JAGUARIUNA</v>
          </cell>
          <cell r="B248" t="str">
            <v>CENTRAL</v>
          </cell>
          <cell r="C248" t="str">
            <v>ESPECIAL</v>
          </cell>
          <cell r="D248" t="str">
            <v>ISP LOCAL</v>
          </cell>
          <cell r="E248" t="str">
            <v>TELESON - 500M R$159,90</v>
          </cell>
          <cell r="F248" t="str">
            <v>Fibra</v>
          </cell>
          <cell r="G248">
            <v>500</v>
          </cell>
          <cell r="H248">
            <v>159.9</v>
          </cell>
          <cell r="I248" t="str">
            <v/>
          </cell>
          <cell r="J248">
            <v>0</v>
          </cell>
          <cell r="L248">
            <v>3524709</v>
          </cell>
        </row>
        <row r="249">
          <cell r="A249" t="str">
            <v>JALES</v>
          </cell>
          <cell r="B249" t="str">
            <v>NOROESTE</v>
          </cell>
          <cell r="C249" t="str">
            <v>MD 2</v>
          </cell>
          <cell r="D249" t="str">
            <v>Claro</v>
          </cell>
          <cell r="E249" t="str">
            <v>600M+100GB=R$109,90 por 6M, após R$139,90</v>
          </cell>
          <cell r="F249" t="str">
            <v>Fibra</v>
          </cell>
          <cell r="G249">
            <v>600</v>
          </cell>
          <cell r="H249">
            <v>139.9</v>
          </cell>
          <cell r="I249">
            <v>109.9</v>
          </cell>
          <cell r="J249" t="str">
            <v>GLOBOPLAY</v>
          </cell>
          <cell r="L249">
            <v>3524808</v>
          </cell>
        </row>
        <row r="250">
          <cell r="A250" t="str">
            <v>JALES</v>
          </cell>
          <cell r="B250" t="str">
            <v>NOROESTE</v>
          </cell>
          <cell r="C250" t="str">
            <v>MD 2</v>
          </cell>
          <cell r="D250" t="str">
            <v>Vivo</v>
          </cell>
          <cell r="E250" t="str">
            <v>500M+70GB=R$160,00</v>
          </cell>
          <cell r="F250" t="str">
            <v>Fibra</v>
          </cell>
          <cell r="I250" t="str">
            <v/>
          </cell>
          <cell r="J250">
            <v>0</v>
          </cell>
          <cell r="L250">
            <v>3524808</v>
          </cell>
        </row>
        <row r="251">
          <cell r="A251" t="str">
            <v>JALES</v>
          </cell>
          <cell r="B251" t="str">
            <v>NOROESTE</v>
          </cell>
          <cell r="C251" t="str">
            <v>MD 2</v>
          </cell>
          <cell r="D251" t="str">
            <v>Vero</v>
          </cell>
          <cell r="E251" t="str">
            <v>850M+60GB=R$149,99 (C/ GLOBOPLAY, HBO, DISNEY+)</v>
          </cell>
          <cell r="F251" t="str">
            <v>Fibra</v>
          </cell>
          <cell r="G251">
            <v>850</v>
          </cell>
          <cell r="H251">
            <v>149.99</v>
          </cell>
          <cell r="I251" t="str">
            <v/>
          </cell>
          <cell r="J251" t="str">
            <v>GLOBOPLAY, HBO, DISNEY+</v>
          </cell>
          <cell r="L251">
            <v>3524808</v>
          </cell>
        </row>
        <row r="252">
          <cell r="A252" t="str">
            <v>JALES</v>
          </cell>
          <cell r="B252" t="str">
            <v>NOROESTE</v>
          </cell>
          <cell r="C252" t="str">
            <v>MD 2</v>
          </cell>
          <cell r="D252" t="str">
            <v>ISP LOCAL</v>
          </cell>
          <cell r="E252" t="str">
            <v>MELFINET - 400 R$99,39</v>
          </cell>
          <cell r="F252" t="str">
            <v>Fibra</v>
          </cell>
          <cell r="G252" t="str">
            <v/>
          </cell>
          <cell r="H252">
            <v>99.39</v>
          </cell>
          <cell r="I252" t="str">
            <v/>
          </cell>
          <cell r="J252">
            <v>0</v>
          </cell>
          <cell r="L252">
            <v>3524808</v>
          </cell>
        </row>
        <row r="253">
          <cell r="A253" t="str">
            <v>JARDINOPOLIS</v>
          </cell>
          <cell r="B253" t="str">
            <v>NOROESTE</v>
          </cell>
          <cell r="C253" t="str">
            <v>MD 2</v>
          </cell>
          <cell r="D253" t="str">
            <v>Claro</v>
          </cell>
          <cell r="E253" t="str">
            <v>600M+100GB=R$109,90 por 6M, após R$139,90</v>
          </cell>
          <cell r="F253" t="str">
            <v>Fibra</v>
          </cell>
          <cell r="G253">
            <v>600</v>
          </cell>
          <cell r="H253">
            <v>139.9</v>
          </cell>
          <cell r="I253">
            <v>109.9</v>
          </cell>
          <cell r="J253" t="str">
            <v>GLOBOPLAY</v>
          </cell>
          <cell r="L253">
            <v>3525102</v>
          </cell>
        </row>
        <row r="254">
          <cell r="A254" t="str">
            <v>JARDINOPOLIS</v>
          </cell>
          <cell r="B254" t="str">
            <v>NOROESTE</v>
          </cell>
          <cell r="C254" t="str">
            <v>MD 2</v>
          </cell>
          <cell r="D254" t="str">
            <v>Algar</v>
          </cell>
          <cell r="E254" t="str">
            <v>800M R$99,90</v>
          </cell>
          <cell r="F254" t="str">
            <v>Fibra</v>
          </cell>
          <cell r="G254">
            <v>800</v>
          </cell>
          <cell r="H254">
            <v>99.9</v>
          </cell>
          <cell r="I254" t="str">
            <v/>
          </cell>
          <cell r="J254">
            <v>0</v>
          </cell>
          <cell r="L254">
            <v>3525102</v>
          </cell>
        </row>
        <row r="255">
          <cell r="A255" t="str">
            <v>JARDINOPOLIS</v>
          </cell>
          <cell r="B255" t="str">
            <v>NOROESTE</v>
          </cell>
          <cell r="C255" t="str">
            <v>MD 2</v>
          </cell>
          <cell r="D255" t="str">
            <v>Weclix</v>
          </cell>
          <cell r="E255" t="str">
            <v>1GB R$59,90 - 1ª MENSALIDADE, APÓS R$99,90</v>
          </cell>
          <cell r="F255" t="str">
            <v>Fibra</v>
          </cell>
          <cell r="G255">
            <v>1000</v>
          </cell>
          <cell r="H255">
            <v>99.9</v>
          </cell>
          <cell r="I255">
            <v>59.9</v>
          </cell>
          <cell r="J255">
            <v>0</v>
          </cell>
          <cell r="L255">
            <v>3525102</v>
          </cell>
        </row>
        <row r="256">
          <cell r="A256" t="str">
            <v>JARDINOPOLIS</v>
          </cell>
          <cell r="B256" t="str">
            <v>NOROESTE</v>
          </cell>
          <cell r="C256" t="str">
            <v>MD 2</v>
          </cell>
          <cell r="D256" t="str">
            <v>ISP LOCAL</v>
          </cell>
          <cell r="E256" t="str">
            <v>ALCANS - 1GB R$109,00</v>
          </cell>
          <cell r="F256" t="str">
            <v>Fibra</v>
          </cell>
          <cell r="G256">
            <v>1000</v>
          </cell>
          <cell r="H256">
            <v>109</v>
          </cell>
          <cell r="I256" t="str">
            <v/>
          </cell>
          <cell r="J256">
            <v>0</v>
          </cell>
          <cell r="L256">
            <v>3525102</v>
          </cell>
        </row>
        <row r="257">
          <cell r="A257" t="str">
            <v>JAU</v>
          </cell>
          <cell r="B257" t="str">
            <v>OESTE</v>
          </cell>
          <cell r="C257" t="str">
            <v>RUBI</v>
          </cell>
          <cell r="D257" t="str">
            <v>Claro</v>
          </cell>
          <cell r="E257" t="str">
            <v>1GB+100GB = R$99,90</v>
          </cell>
          <cell r="F257" t="str">
            <v>Fibra</v>
          </cell>
          <cell r="G257">
            <v>1000</v>
          </cell>
          <cell r="H257">
            <v>99.9</v>
          </cell>
          <cell r="I257" t="str">
            <v/>
          </cell>
          <cell r="J257" t="str">
            <v>GLOBOPLAY</v>
          </cell>
          <cell r="L257">
            <v>3525300</v>
          </cell>
        </row>
        <row r="258">
          <cell r="A258" t="str">
            <v>JAU</v>
          </cell>
          <cell r="B258" t="str">
            <v>OESTE</v>
          </cell>
          <cell r="C258" t="str">
            <v>RUBI</v>
          </cell>
          <cell r="D258" t="str">
            <v>Vivo</v>
          </cell>
          <cell r="E258" t="str">
            <v>500M+70GB=R$160,00</v>
          </cell>
          <cell r="F258" t="str">
            <v>Fibra</v>
          </cell>
          <cell r="I258" t="str">
            <v/>
          </cell>
          <cell r="J258">
            <v>0</v>
          </cell>
          <cell r="L258">
            <v>3525300</v>
          </cell>
        </row>
        <row r="259">
          <cell r="A259" t="str">
            <v>JAU</v>
          </cell>
          <cell r="B259" t="str">
            <v>OESTE</v>
          </cell>
          <cell r="C259" t="str">
            <v>RUBI</v>
          </cell>
          <cell r="D259" t="str">
            <v>Desktop</v>
          </cell>
          <cell r="E259" t="str">
            <v>600M+15GB=R$129,99 - 6 MESES, APÓS R$139,99</v>
          </cell>
          <cell r="F259" t="str">
            <v>Fibra</v>
          </cell>
          <cell r="G259">
            <v>600</v>
          </cell>
          <cell r="H259">
            <v>139.99</v>
          </cell>
          <cell r="I259">
            <v>129.99</v>
          </cell>
          <cell r="J259">
            <v>0</v>
          </cell>
          <cell r="L259">
            <v>3525300</v>
          </cell>
        </row>
        <row r="260">
          <cell r="A260" t="str">
            <v>JAU</v>
          </cell>
          <cell r="B260" t="str">
            <v>OESTE</v>
          </cell>
          <cell r="C260" t="str">
            <v>RUBI</v>
          </cell>
          <cell r="D260" t="str">
            <v>Vero</v>
          </cell>
          <cell r="E260" t="str">
            <v>850M+60GB=R$149,99 (C/ GLOBOPLAY, HBO, DISNEY+)</v>
          </cell>
          <cell r="F260" t="str">
            <v>Fibra</v>
          </cell>
          <cell r="G260">
            <v>850</v>
          </cell>
          <cell r="H260">
            <v>149.99</v>
          </cell>
          <cell r="I260" t="str">
            <v/>
          </cell>
          <cell r="J260" t="str">
            <v>GLOBOPLAY, HBO, DISNEY+</v>
          </cell>
          <cell r="L260">
            <v>3525300</v>
          </cell>
        </row>
        <row r="261">
          <cell r="A261" t="str">
            <v>JAU</v>
          </cell>
          <cell r="B261" t="str">
            <v>OESTE</v>
          </cell>
          <cell r="C261" t="str">
            <v>RUBI</v>
          </cell>
          <cell r="D261" t="str">
            <v>ISP LOCAL</v>
          </cell>
          <cell r="E261" t="str">
            <v>INNOVA - 600M R$99,90</v>
          </cell>
          <cell r="F261" t="str">
            <v>Fibra</v>
          </cell>
          <cell r="G261">
            <v>600</v>
          </cell>
          <cell r="H261">
            <v>99.9</v>
          </cell>
          <cell r="I261" t="str">
            <v/>
          </cell>
          <cell r="J261">
            <v>0</v>
          </cell>
          <cell r="L261">
            <v>3525300</v>
          </cell>
        </row>
        <row r="262">
          <cell r="A262" t="str">
            <v>JOSE BONIFACIO</v>
          </cell>
          <cell r="B262" t="str">
            <v>NOROESTE</v>
          </cell>
          <cell r="C262" t="str">
            <v>MD 2</v>
          </cell>
          <cell r="D262" t="str">
            <v>Claro</v>
          </cell>
          <cell r="E262" t="str">
            <v>600M+100GB=R$109,90 por 6M, após R$139,90</v>
          </cell>
          <cell r="F262" t="str">
            <v>Fibra</v>
          </cell>
          <cell r="G262">
            <v>600</v>
          </cell>
          <cell r="H262">
            <v>139.9</v>
          </cell>
          <cell r="I262">
            <v>109.9</v>
          </cell>
          <cell r="J262" t="str">
            <v>GLOBOPLAY</v>
          </cell>
          <cell r="L262">
            <v>3525706</v>
          </cell>
        </row>
        <row r="263">
          <cell r="A263" t="str">
            <v>JOSE BONIFACIO</v>
          </cell>
          <cell r="B263" t="str">
            <v>NOROESTE</v>
          </cell>
          <cell r="C263" t="str">
            <v>MD 2</v>
          </cell>
          <cell r="D263" t="str">
            <v>ISP LOCAL</v>
          </cell>
          <cell r="E263" t="str">
            <v>OQUEI - 600M R$49,90 - 3 MESES, APÓS R$99,90</v>
          </cell>
          <cell r="F263" t="str">
            <v>Fibra</v>
          </cell>
          <cell r="G263">
            <v>600</v>
          </cell>
          <cell r="H263">
            <v>99.9</v>
          </cell>
          <cell r="I263">
            <v>49.9</v>
          </cell>
          <cell r="J263">
            <v>0</v>
          </cell>
          <cell r="L263">
            <v>3525706</v>
          </cell>
        </row>
        <row r="264">
          <cell r="A264" t="str">
            <v>LARANJAL PAULISTA</v>
          </cell>
          <cell r="B264" t="str">
            <v>NOROESTE</v>
          </cell>
          <cell r="C264" t="str">
            <v>MD 2</v>
          </cell>
          <cell r="D264" t="str">
            <v>Claro</v>
          </cell>
          <cell r="E264" t="str">
            <v>600M+100GB=R$109,90 por 6M, após R$139,90</v>
          </cell>
          <cell r="F264" t="str">
            <v>Fibra</v>
          </cell>
          <cell r="G264">
            <v>600</v>
          </cell>
          <cell r="H264">
            <v>139.9</v>
          </cell>
          <cell r="I264">
            <v>109.9</v>
          </cell>
          <cell r="J264" t="str">
            <v>GLOBOPLAY</v>
          </cell>
          <cell r="L264">
            <v>3526407</v>
          </cell>
        </row>
        <row r="265">
          <cell r="A265" t="str">
            <v>LARANJAL PAULISTA</v>
          </cell>
          <cell r="B265" t="str">
            <v>NOROESTE</v>
          </cell>
          <cell r="C265" t="str">
            <v>MD 2</v>
          </cell>
          <cell r="D265" t="str">
            <v>Desktop</v>
          </cell>
          <cell r="E265" t="str">
            <v>600M+15GB=R$129,99 - 6 MESES, APÓS R$139,99</v>
          </cell>
          <cell r="F265" t="str">
            <v>Fibra</v>
          </cell>
          <cell r="G265">
            <v>600</v>
          </cell>
          <cell r="H265">
            <v>139.99</v>
          </cell>
          <cell r="I265">
            <v>129.99</v>
          </cell>
          <cell r="J265">
            <v>0</v>
          </cell>
          <cell r="L265">
            <v>3526407</v>
          </cell>
        </row>
        <row r="266">
          <cell r="A266" t="str">
            <v>LARANJAL PAULISTA</v>
          </cell>
          <cell r="B266" t="str">
            <v>NOROESTE</v>
          </cell>
          <cell r="C266" t="str">
            <v>MD 2</v>
          </cell>
          <cell r="D266" t="str">
            <v>ISP LOCAL</v>
          </cell>
          <cell r="E266" t="str">
            <v>ZAAZ - 600M R$99,90</v>
          </cell>
          <cell r="F266" t="str">
            <v>Fibra</v>
          </cell>
          <cell r="G266">
            <v>600</v>
          </cell>
          <cell r="H266">
            <v>99.9</v>
          </cell>
          <cell r="I266" t="str">
            <v/>
          </cell>
          <cell r="J266">
            <v>0</v>
          </cell>
          <cell r="L266">
            <v>3526407</v>
          </cell>
        </row>
        <row r="267">
          <cell r="A267" t="str">
            <v>LEME</v>
          </cell>
          <cell r="B267" t="str">
            <v>SUDESTE</v>
          </cell>
          <cell r="C267" t="str">
            <v>MD 2</v>
          </cell>
          <cell r="D267" t="str">
            <v>Claro</v>
          </cell>
          <cell r="E267" t="str">
            <v>600M+100GB=R$109,90 por 6M, após R$139,90</v>
          </cell>
          <cell r="F267" t="str">
            <v>Fibra</v>
          </cell>
          <cell r="G267">
            <v>600</v>
          </cell>
          <cell r="H267">
            <v>139.9</v>
          </cell>
          <cell r="I267">
            <v>109.9</v>
          </cell>
          <cell r="J267" t="str">
            <v>GLOBOPLAY</v>
          </cell>
          <cell r="L267">
            <v>3526704</v>
          </cell>
        </row>
        <row r="268">
          <cell r="A268" t="str">
            <v>LEME</v>
          </cell>
          <cell r="B268" t="str">
            <v>SUDESTE</v>
          </cell>
          <cell r="C268" t="str">
            <v>MD 2</v>
          </cell>
          <cell r="D268" t="str">
            <v>Vivo</v>
          </cell>
          <cell r="E268" t="str">
            <v>500M+70GB=R$160,00</v>
          </cell>
          <cell r="F268" t="str">
            <v>Fibra</v>
          </cell>
          <cell r="I268" t="str">
            <v/>
          </cell>
          <cell r="J268">
            <v>0</v>
          </cell>
          <cell r="L268">
            <v>3526704</v>
          </cell>
        </row>
        <row r="269">
          <cell r="A269" t="str">
            <v>LEME</v>
          </cell>
          <cell r="B269" t="str">
            <v>SUDESTE</v>
          </cell>
          <cell r="C269" t="str">
            <v>MD 2</v>
          </cell>
          <cell r="D269" t="str">
            <v>Desktop</v>
          </cell>
          <cell r="E269" t="str">
            <v>600M=R$49,99 por 2M, após R$89,99</v>
          </cell>
          <cell r="F269" t="str">
            <v>Fibra</v>
          </cell>
          <cell r="G269">
            <v>600</v>
          </cell>
          <cell r="H269">
            <v>89.99</v>
          </cell>
          <cell r="I269">
            <v>49.99</v>
          </cell>
          <cell r="J269">
            <v>0</v>
          </cell>
          <cell r="L269">
            <v>3526704</v>
          </cell>
        </row>
        <row r="270">
          <cell r="A270" t="str">
            <v>LEME</v>
          </cell>
          <cell r="B270" t="str">
            <v>SUDESTE</v>
          </cell>
          <cell r="C270" t="str">
            <v>MD 2</v>
          </cell>
          <cell r="D270" t="str">
            <v>Vero</v>
          </cell>
          <cell r="E270" t="str">
            <v>850M+60GB=R$149,99 (C/ GLOBOPLAY, HBO, DISNEY+)</v>
          </cell>
          <cell r="F270" t="str">
            <v>Fibra</v>
          </cell>
          <cell r="G270">
            <v>850</v>
          </cell>
          <cell r="H270">
            <v>149.99</v>
          </cell>
          <cell r="I270" t="str">
            <v/>
          </cell>
          <cell r="J270" t="str">
            <v>GLOBOPLAY, HBO, DISNEY+</v>
          </cell>
          <cell r="L270">
            <v>3526704</v>
          </cell>
        </row>
        <row r="271">
          <cell r="A271" t="str">
            <v>LEME</v>
          </cell>
          <cell r="B271" t="str">
            <v>SUDESTE</v>
          </cell>
          <cell r="C271" t="str">
            <v>MD 2</v>
          </cell>
          <cell r="D271" t="str">
            <v>ISP LOCAL</v>
          </cell>
          <cell r="E271" t="str">
            <v>XTURBO - 600M R$99,90</v>
          </cell>
          <cell r="F271" t="str">
            <v>Fibra</v>
          </cell>
          <cell r="G271">
            <v>600</v>
          </cell>
          <cell r="H271">
            <v>99.9</v>
          </cell>
          <cell r="I271" t="str">
            <v/>
          </cell>
          <cell r="J271">
            <v>0</v>
          </cell>
          <cell r="L271">
            <v>3526704</v>
          </cell>
        </row>
        <row r="272">
          <cell r="A272" t="str">
            <v>LENCOIS PAULISTA</v>
          </cell>
          <cell r="B272" t="str">
            <v>SUDESTE</v>
          </cell>
          <cell r="C272" t="str">
            <v>MD 2</v>
          </cell>
          <cell r="D272" t="str">
            <v>Claro</v>
          </cell>
          <cell r="E272" t="str">
            <v>600M+100GB=R$109,90 por 6M, após R$139,90</v>
          </cell>
          <cell r="F272" t="str">
            <v>Fibra</v>
          </cell>
          <cell r="G272">
            <v>600</v>
          </cell>
          <cell r="H272">
            <v>139.9</v>
          </cell>
          <cell r="I272">
            <v>109.9</v>
          </cell>
          <cell r="J272" t="str">
            <v>GLOBOPLAY</v>
          </cell>
          <cell r="L272">
            <v>3526803</v>
          </cell>
        </row>
        <row r="273">
          <cell r="A273" t="str">
            <v>LENCOIS PAULISTA</v>
          </cell>
          <cell r="B273" t="str">
            <v>SUDESTE</v>
          </cell>
          <cell r="C273" t="str">
            <v>MD 2</v>
          </cell>
          <cell r="D273" t="str">
            <v>Vivo</v>
          </cell>
          <cell r="E273" t="str">
            <v>500M+70GB=R$160,00</v>
          </cell>
          <cell r="F273" t="str">
            <v>Fibra</v>
          </cell>
          <cell r="I273" t="str">
            <v/>
          </cell>
          <cell r="J273">
            <v>0</v>
          </cell>
          <cell r="L273">
            <v>3526803</v>
          </cell>
        </row>
        <row r="274">
          <cell r="A274" t="str">
            <v>LENCOIS PAULISTA</v>
          </cell>
          <cell r="B274" t="str">
            <v>SUDESTE</v>
          </cell>
          <cell r="C274" t="str">
            <v>MD 2</v>
          </cell>
          <cell r="D274" t="str">
            <v>Desktop</v>
          </cell>
          <cell r="E274" t="str">
            <v>600M+15GB=R$129,99 - 6 MESES, APÓS R$139,99</v>
          </cell>
          <cell r="F274" t="str">
            <v>Fibra</v>
          </cell>
          <cell r="G274">
            <v>600</v>
          </cell>
          <cell r="H274">
            <v>139.99</v>
          </cell>
          <cell r="I274">
            <v>129.99</v>
          </cell>
          <cell r="J274">
            <v>0</v>
          </cell>
          <cell r="L274">
            <v>3526803</v>
          </cell>
        </row>
        <row r="275">
          <cell r="A275" t="str">
            <v>LENCOIS PAULISTA</v>
          </cell>
          <cell r="B275" t="str">
            <v>SUDESTE</v>
          </cell>
          <cell r="C275" t="str">
            <v>MD 2</v>
          </cell>
          <cell r="D275" t="str">
            <v>ISP LOCAL</v>
          </cell>
          <cell r="E275" t="str">
            <v>DAVOI - 600M R$99,90</v>
          </cell>
          <cell r="F275" t="str">
            <v>Fibra</v>
          </cell>
          <cell r="G275">
            <v>600</v>
          </cell>
          <cell r="H275">
            <v>99.9</v>
          </cell>
          <cell r="I275" t="str">
            <v/>
          </cell>
          <cell r="J275">
            <v>0</v>
          </cell>
          <cell r="L275">
            <v>3526803</v>
          </cell>
        </row>
        <row r="276">
          <cell r="A276" t="str">
            <v>LIMEIRA</v>
          </cell>
          <cell r="B276" t="str">
            <v>CENTRAL</v>
          </cell>
          <cell r="C276" t="str">
            <v>ESPECIAL</v>
          </cell>
          <cell r="D276" t="str">
            <v>Claro</v>
          </cell>
          <cell r="E276" t="str">
            <v>600M+100GB=R$119,90 por 3M, após R$159,90</v>
          </cell>
          <cell r="F276" t="str">
            <v>Fibra</v>
          </cell>
          <cell r="G276">
            <v>600</v>
          </cell>
          <cell r="H276">
            <v>159.9</v>
          </cell>
          <cell r="I276">
            <v>119.9</v>
          </cell>
          <cell r="J276" t="str">
            <v>GLOBOPLAY</v>
          </cell>
          <cell r="L276">
            <v>3526902</v>
          </cell>
        </row>
        <row r="277">
          <cell r="A277" t="str">
            <v>LIMEIRA</v>
          </cell>
          <cell r="B277" t="str">
            <v>CENTRAL</v>
          </cell>
          <cell r="C277" t="str">
            <v>ESPECIAL</v>
          </cell>
          <cell r="D277" t="str">
            <v>Vivo</v>
          </cell>
          <cell r="E277" t="str">
            <v>500M+70GB=R$160,00</v>
          </cell>
          <cell r="F277" t="str">
            <v>Fibra</v>
          </cell>
          <cell r="I277" t="str">
            <v/>
          </cell>
          <cell r="J277">
            <v>0</v>
          </cell>
          <cell r="L277">
            <v>3526902</v>
          </cell>
        </row>
        <row r="278">
          <cell r="A278" t="str">
            <v>LIMEIRA</v>
          </cell>
          <cell r="B278" t="str">
            <v>CENTRAL</v>
          </cell>
          <cell r="C278" t="str">
            <v>ESPECIAL</v>
          </cell>
          <cell r="D278" t="str">
            <v>Desktop</v>
          </cell>
          <cell r="E278" t="str">
            <v>600M=R$49,99 por 2M, após R$89,99</v>
          </cell>
          <cell r="F278" t="str">
            <v>Fibra</v>
          </cell>
          <cell r="G278">
            <v>600</v>
          </cell>
          <cell r="H278">
            <v>89.99</v>
          </cell>
          <cell r="I278">
            <v>49.99</v>
          </cell>
          <cell r="J278">
            <v>0</v>
          </cell>
          <cell r="L278">
            <v>3526902</v>
          </cell>
        </row>
        <row r="279">
          <cell r="A279" t="str">
            <v>LIMEIRA</v>
          </cell>
          <cell r="B279" t="str">
            <v>CENTRAL</v>
          </cell>
          <cell r="C279" t="str">
            <v>ESPECIAL</v>
          </cell>
          <cell r="D279" t="str">
            <v>Alares</v>
          </cell>
          <cell r="E279" t="str">
            <v>1GB + GLOBOPLAY R$99,90</v>
          </cell>
          <cell r="F279" t="str">
            <v>Fibra</v>
          </cell>
          <cell r="G279">
            <v>1000</v>
          </cell>
          <cell r="H279">
            <v>99.9</v>
          </cell>
          <cell r="I279" t="str">
            <v/>
          </cell>
          <cell r="J279" t="str">
            <v>GLOBOPLAY</v>
          </cell>
          <cell r="L279">
            <v>3526902</v>
          </cell>
        </row>
        <row r="280">
          <cell r="A280" t="str">
            <v>LIMEIRA</v>
          </cell>
          <cell r="B280" t="str">
            <v>CENTRAL</v>
          </cell>
          <cell r="C280" t="str">
            <v>ESPECIAL</v>
          </cell>
          <cell r="D280" t="str">
            <v>Vero</v>
          </cell>
          <cell r="E280" t="str">
            <v>850M+60GB=R$149,99 (C/ GLOBOPLAY, HBO, DISNEY+)</v>
          </cell>
          <cell r="F280" t="str">
            <v>Fibra</v>
          </cell>
          <cell r="G280">
            <v>850</v>
          </cell>
          <cell r="H280">
            <v>149.99</v>
          </cell>
          <cell r="I280" t="str">
            <v/>
          </cell>
          <cell r="J280" t="str">
            <v>GLOBOPLAY, HBO, DISNEY+</v>
          </cell>
          <cell r="L280">
            <v>3526902</v>
          </cell>
        </row>
        <row r="281">
          <cell r="A281" t="str">
            <v>LINS</v>
          </cell>
          <cell r="B281" t="str">
            <v>NOROESTE</v>
          </cell>
          <cell r="C281" t="str">
            <v>MD 2</v>
          </cell>
          <cell r="D281" t="str">
            <v>Claro</v>
          </cell>
          <cell r="E281" t="str">
            <v>600M+100GB=R$109,90 por 6M, após R$139,90</v>
          </cell>
          <cell r="F281" t="str">
            <v>Fibra</v>
          </cell>
          <cell r="G281">
            <v>600</v>
          </cell>
          <cell r="H281">
            <v>139.9</v>
          </cell>
          <cell r="I281">
            <v>109.9</v>
          </cell>
          <cell r="J281" t="str">
            <v>GLOBOPLAY</v>
          </cell>
          <cell r="L281">
            <v>3527108</v>
          </cell>
        </row>
        <row r="282">
          <cell r="A282" t="str">
            <v>LINS</v>
          </cell>
          <cell r="B282" t="str">
            <v>NOROESTE</v>
          </cell>
          <cell r="C282" t="str">
            <v>MD 2</v>
          </cell>
          <cell r="D282" t="str">
            <v>Vivo</v>
          </cell>
          <cell r="E282" t="str">
            <v>500M+70GB=R$160,00</v>
          </cell>
          <cell r="F282" t="str">
            <v>Fibra</v>
          </cell>
          <cell r="I282" t="str">
            <v/>
          </cell>
          <cell r="J282">
            <v>0</v>
          </cell>
          <cell r="L282">
            <v>3527108</v>
          </cell>
        </row>
        <row r="283">
          <cell r="A283" t="str">
            <v>LINS</v>
          </cell>
          <cell r="B283" t="str">
            <v>NOROESTE</v>
          </cell>
          <cell r="C283" t="str">
            <v>MD 2</v>
          </cell>
          <cell r="D283" t="str">
            <v>Desktop</v>
          </cell>
          <cell r="E283" t="str">
            <v>600M=R$49,99 por 2M, após R$89,99</v>
          </cell>
          <cell r="F283" t="str">
            <v>Fibra</v>
          </cell>
          <cell r="G283">
            <v>600</v>
          </cell>
          <cell r="H283">
            <v>89.99</v>
          </cell>
          <cell r="I283">
            <v>49.99</v>
          </cell>
          <cell r="J283">
            <v>0</v>
          </cell>
          <cell r="L283">
            <v>3527108</v>
          </cell>
        </row>
        <row r="284">
          <cell r="A284" t="str">
            <v>LINS</v>
          </cell>
          <cell r="B284" t="str">
            <v>NOROESTE</v>
          </cell>
          <cell r="C284" t="str">
            <v>MD 2</v>
          </cell>
          <cell r="D284" t="str">
            <v>Vero</v>
          </cell>
          <cell r="E284" t="str">
            <v>850M+60GB=R$149,99 (C/ GLOBOPLAY, HBO, DISNEY+)</v>
          </cell>
          <cell r="F284" t="str">
            <v>Fibra</v>
          </cell>
          <cell r="G284">
            <v>850</v>
          </cell>
          <cell r="H284">
            <v>149.99</v>
          </cell>
          <cell r="I284" t="str">
            <v/>
          </cell>
          <cell r="J284" t="str">
            <v>GLOBOPLAY, HBO, DISNEY+</v>
          </cell>
          <cell r="L284">
            <v>3527108</v>
          </cell>
        </row>
        <row r="285">
          <cell r="A285" t="str">
            <v>LINS</v>
          </cell>
          <cell r="B285" t="str">
            <v>NOROESTE</v>
          </cell>
          <cell r="C285" t="str">
            <v>MD 2</v>
          </cell>
          <cell r="D285" t="str">
            <v>ISP LOCAL</v>
          </cell>
          <cell r="E285" t="str">
            <v>CABONNET - 600M R$49,95 - 3 MESES, APÓS R$99,90</v>
          </cell>
          <cell r="F285" t="str">
            <v>Fibra</v>
          </cell>
          <cell r="G285">
            <v>600</v>
          </cell>
          <cell r="H285">
            <v>99.9</v>
          </cell>
          <cell r="I285">
            <v>49.95</v>
          </cell>
          <cell r="J285">
            <v>0</v>
          </cell>
          <cell r="L285">
            <v>3527108</v>
          </cell>
        </row>
        <row r="286">
          <cell r="A286" t="str">
            <v>LORENA</v>
          </cell>
          <cell r="B286" t="str">
            <v>SUDESTE</v>
          </cell>
          <cell r="C286" t="str">
            <v>MD 2</v>
          </cell>
          <cell r="D286" t="str">
            <v>Claro</v>
          </cell>
          <cell r="E286" t="str">
            <v>600M+100GB=R$109,90 por 6M, após R$139,90</v>
          </cell>
          <cell r="F286" t="str">
            <v>Fibra</v>
          </cell>
          <cell r="G286">
            <v>600</v>
          </cell>
          <cell r="H286">
            <v>139.9</v>
          </cell>
          <cell r="I286">
            <v>109.9</v>
          </cell>
          <cell r="J286" t="str">
            <v>GLOBOPLAY</v>
          </cell>
          <cell r="L286">
            <v>3527207</v>
          </cell>
        </row>
        <row r="287">
          <cell r="A287" t="str">
            <v>LORENA</v>
          </cell>
          <cell r="B287" t="str">
            <v>SUDESTE</v>
          </cell>
          <cell r="C287" t="str">
            <v>MD 2</v>
          </cell>
          <cell r="D287" t="str">
            <v>Vivo</v>
          </cell>
          <cell r="E287" t="str">
            <v>500M+70GB=R$160,00</v>
          </cell>
          <cell r="F287" t="str">
            <v>Fibra</v>
          </cell>
          <cell r="I287" t="str">
            <v/>
          </cell>
          <cell r="J287">
            <v>0</v>
          </cell>
          <cell r="L287">
            <v>3527207</v>
          </cell>
        </row>
        <row r="288">
          <cell r="A288" t="str">
            <v>LORENA</v>
          </cell>
          <cell r="B288" t="str">
            <v>SUDESTE</v>
          </cell>
          <cell r="C288" t="str">
            <v>MD 2</v>
          </cell>
          <cell r="D288" t="str">
            <v>Vero</v>
          </cell>
          <cell r="E288" t="str">
            <v>850M+60GB=R$149,99 (C/ GLOBOPLAY, HBO, DISNEY+)</v>
          </cell>
          <cell r="F288" t="str">
            <v>Fibra</v>
          </cell>
          <cell r="G288">
            <v>850</v>
          </cell>
          <cell r="H288">
            <v>149.99</v>
          </cell>
          <cell r="I288" t="str">
            <v/>
          </cell>
          <cell r="J288" t="str">
            <v>GLOBOPLAY, HBO, DISNEY+</v>
          </cell>
          <cell r="L288">
            <v>3527207</v>
          </cell>
        </row>
        <row r="289">
          <cell r="A289" t="str">
            <v>LORENA</v>
          </cell>
          <cell r="B289" t="str">
            <v>SUDESTE</v>
          </cell>
          <cell r="C289" t="str">
            <v>MD 2</v>
          </cell>
          <cell r="D289" t="str">
            <v>ISP LOCAL</v>
          </cell>
          <cell r="E289" t="str">
            <v>VELLOZNET - 600M R$99,90</v>
          </cell>
          <cell r="F289" t="str">
            <v>Fibra</v>
          </cell>
          <cell r="G289">
            <v>600</v>
          </cell>
          <cell r="H289">
            <v>99.9</v>
          </cell>
          <cell r="I289" t="str">
            <v/>
          </cell>
          <cell r="J289">
            <v>0</v>
          </cell>
          <cell r="L289">
            <v>3527207</v>
          </cell>
        </row>
        <row r="290">
          <cell r="A290" t="str">
            <v>LOUVEIRA</v>
          </cell>
          <cell r="B290" t="str">
            <v>SUDESTE</v>
          </cell>
          <cell r="C290" t="str">
            <v>MD 1</v>
          </cell>
          <cell r="D290" t="str">
            <v>Claro</v>
          </cell>
          <cell r="E290" t="str">
            <v>600M+100GB=R$119,90 por 6M, após R$139,90</v>
          </cell>
          <cell r="F290" t="str">
            <v>Fibra</v>
          </cell>
          <cell r="G290">
            <v>600</v>
          </cell>
          <cell r="H290">
            <v>139.9</v>
          </cell>
          <cell r="I290">
            <v>119.9</v>
          </cell>
          <cell r="J290" t="str">
            <v>GLOBOPLAY</v>
          </cell>
          <cell r="L290">
            <v>3527306</v>
          </cell>
        </row>
        <row r="291">
          <cell r="A291" t="str">
            <v>LOUVEIRA</v>
          </cell>
          <cell r="B291" t="str">
            <v>SUDESTE</v>
          </cell>
          <cell r="C291" t="str">
            <v>MD 1</v>
          </cell>
          <cell r="D291" t="str">
            <v>Vivo</v>
          </cell>
          <cell r="E291" t="str">
            <v>500M+70GB=R$160,00</v>
          </cell>
          <cell r="F291" t="str">
            <v>Fibra</v>
          </cell>
          <cell r="I291" t="str">
            <v/>
          </cell>
          <cell r="J291">
            <v>0</v>
          </cell>
          <cell r="L291">
            <v>3527306</v>
          </cell>
        </row>
        <row r="292">
          <cell r="A292" t="str">
            <v>LOUVEIRA</v>
          </cell>
          <cell r="B292" t="str">
            <v>SUDESTE</v>
          </cell>
          <cell r="C292" t="str">
            <v>MD 1</v>
          </cell>
          <cell r="D292" t="str">
            <v>Desktop</v>
          </cell>
          <cell r="E292" t="str">
            <v>600M+15GB=R$129,99 - 6 MESES, APÓS R$139,99</v>
          </cell>
          <cell r="F292" t="str">
            <v>Fibra</v>
          </cell>
          <cell r="G292">
            <v>600</v>
          </cell>
          <cell r="H292">
            <v>139.99</v>
          </cell>
          <cell r="I292">
            <v>129.99</v>
          </cell>
          <cell r="J292">
            <v>0</v>
          </cell>
          <cell r="L292">
            <v>3527306</v>
          </cell>
        </row>
        <row r="293">
          <cell r="A293" t="str">
            <v>LOUVEIRA</v>
          </cell>
          <cell r="B293" t="str">
            <v>SUDESTE</v>
          </cell>
          <cell r="C293" t="str">
            <v>MD 1</v>
          </cell>
          <cell r="D293" t="str">
            <v>Alares</v>
          </cell>
          <cell r="E293" t="str">
            <v>1GB + GLOBOPLAY R$99,90</v>
          </cell>
          <cell r="F293" t="str">
            <v>Fibra</v>
          </cell>
          <cell r="G293">
            <v>1000</v>
          </cell>
          <cell r="H293">
            <v>99.9</v>
          </cell>
          <cell r="I293" t="str">
            <v/>
          </cell>
          <cell r="J293" t="str">
            <v>GLOBOPLAY</v>
          </cell>
          <cell r="L293">
            <v>3527306</v>
          </cell>
        </row>
        <row r="294">
          <cell r="A294" t="str">
            <v>LOUVEIRA</v>
          </cell>
          <cell r="B294" t="str">
            <v>SUDESTE</v>
          </cell>
          <cell r="C294" t="str">
            <v>MD 1</v>
          </cell>
          <cell r="D294" t="str">
            <v>ISP LOCAL</v>
          </cell>
          <cell r="E294" t="str">
            <v>EXON - 600M R$99,90</v>
          </cell>
          <cell r="F294" t="str">
            <v>Fibra</v>
          </cell>
          <cell r="G294">
            <v>600</v>
          </cell>
          <cell r="H294">
            <v>99.9</v>
          </cell>
          <cell r="I294" t="str">
            <v/>
          </cell>
          <cell r="J294">
            <v>0</v>
          </cell>
          <cell r="L294">
            <v>3527306</v>
          </cell>
        </row>
        <row r="295">
          <cell r="A295" t="str">
            <v>MARILIA</v>
          </cell>
          <cell r="B295" t="str">
            <v>NOROESTE</v>
          </cell>
          <cell r="C295" t="str">
            <v>MD 2</v>
          </cell>
          <cell r="D295" t="str">
            <v>Claro</v>
          </cell>
          <cell r="E295" t="str">
            <v>600M+100GB=R$109,90 por 6M, após R$139,90</v>
          </cell>
          <cell r="F295" t="str">
            <v>Fibra</v>
          </cell>
          <cell r="G295">
            <v>600</v>
          </cell>
          <cell r="H295">
            <v>139.9</v>
          </cell>
          <cell r="I295">
            <v>109.9</v>
          </cell>
          <cell r="J295" t="str">
            <v>GLOBOPLAY</v>
          </cell>
          <cell r="L295">
            <v>3529005</v>
          </cell>
        </row>
        <row r="296">
          <cell r="A296" t="str">
            <v>MARILIA</v>
          </cell>
          <cell r="B296" t="str">
            <v>NOROESTE</v>
          </cell>
          <cell r="C296" t="str">
            <v>MD 2</v>
          </cell>
          <cell r="D296" t="str">
            <v>Vivo</v>
          </cell>
          <cell r="E296" t="str">
            <v>500M+70GB=R$160,00</v>
          </cell>
          <cell r="F296" t="str">
            <v>Fibra</v>
          </cell>
          <cell r="I296" t="str">
            <v/>
          </cell>
          <cell r="J296">
            <v>0</v>
          </cell>
          <cell r="L296">
            <v>3529005</v>
          </cell>
        </row>
        <row r="297">
          <cell r="A297" t="str">
            <v>MARILIA</v>
          </cell>
          <cell r="B297" t="str">
            <v>NOROESTE</v>
          </cell>
          <cell r="C297" t="str">
            <v>MD 2</v>
          </cell>
          <cell r="D297" t="str">
            <v>Alares</v>
          </cell>
          <cell r="E297" t="str">
            <v>1GB + GLOBOPLAY R$99,90</v>
          </cell>
          <cell r="F297" t="str">
            <v>Fibra</v>
          </cell>
          <cell r="G297">
            <v>1000</v>
          </cell>
          <cell r="H297">
            <v>99.9</v>
          </cell>
          <cell r="I297" t="str">
            <v/>
          </cell>
          <cell r="J297" t="str">
            <v>GLOBOPLAY</v>
          </cell>
          <cell r="L297">
            <v>3529005</v>
          </cell>
        </row>
        <row r="298">
          <cell r="A298" t="str">
            <v>MARILIA</v>
          </cell>
          <cell r="B298" t="str">
            <v>NOROESTE</v>
          </cell>
          <cell r="C298" t="str">
            <v>MD 2</v>
          </cell>
          <cell r="D298" t="str">
            <v>ISP LOCAL</v>
          </cell>
          <cell r="E298" t="str">
            <v>LIFE - 600M R$99,90</v>
          </cell>
          <cell r="F298" t="str">
            <v>Fibra</v>
          </cell>
          <cell r="G298">
            <v>600</v>
          </cell>
          <cell r="H298">
            <v>99.9</v>
          </cell>
          <cell r="I298" t="str">
            <v/>
          </cell>
          <cell r="J298">
            <v>0</v>
          </cell>
          <cell r="L298">
            <v>3529005</v>
          </cell>
        </row>
        <row r="299">
          <cell r="A299" t="str">
            <v>MATAO</v>
          </cell>
          <cell r="B299" t="str">
            <v>NOROESTE</v>
          </cell>
          <cell r="C299" t="str">
            <v>MD 2</v>
          </cell>
          <cell r="D299" t="str">
            <v>Claro</v>
          </cell>
          <cell r="E299" t="str">
            <v>600M+100GB=R$109,90 por 6M, após R$139,90</v>
          </cell>
          <cell r="F299" t="str">
            <v>Fibra</v>
          </cell>
          <cell r="G299">
            <v>600</v>
          </cell>
          <cell r="H299">
            <v>139.9</v>
          </cell>
          <cell r="I299">
            <v>109.9</v>
          </cell>
          <cell r="J299" t="str">
            <v>GLOBOPLAY</v>
          </cell>
          <cell r="L299">
            <v>3529302</v>
          </cell>
        </row>
        <row r="300">
          <cell r="A300" t="str">
            <v>MATAO</v>
          </cell>
          <cell r="B300" t="str">
            <v>NOROESTE</v>
          </cell>
          <cell r="C300" t="str">
            <v>MD 2</v>
          </cell>
          <cell r="D300" t="str">
            <v>Vivo</v>
          </cell>
          <cell r="E300" t="str">
            <v>500M+70GB=R$160,00</v>
          </cell>
          <cell r="F300" t="str">
            <v>Fibra</v>
          </cell>
          <cell r="I300" t="str">
            <v/>
          </cell>
          <cell r="J300">
            <v>0</v>
          </cell>
          <cell r="L300">
            <v>3529302</v>
          </cell>
        </row>
        <row r="301">
          <cell r="A301" t="str">
            <v>MATAO</v>
          </cell>
          <cell r="B301" t="str">
            <v>NOROESTE</v>
          </cell>
          <cell r="C301" t="str">
            <v>MD 2</v>
          </cell>
          <cell r="D301" t="str">
            <v>Desktop</v>
          </cell>
          <cell r="E301" t="str">
            <v>600M+15GB=R$129,99 - 6 MESES, APÓS R$139,99</v>
          </cell>
          <cell r="F301" t="str">
            <v>Fibra</v>
          </cell>
          <cell r="G301">
            <v>600</v>
          </cell>
          <cell r="H301">
            <v>139.99</v>
          </cell>
          <cell r="I301">
            <v>129.99</v>
          </cell>
          <cell r="J301">
            <v>0</v>
          </cell>
          <cell r="L301">
            <v>3529302</v>
          </cell>
        </row>
        <row r="302">
          <cell r="A302" t="str">
            <v>MATAO</v>
          </cell>
          <cell r="B302" t="str">
            <v>NOROESTE</v>
          </cell>
          <cell r="C302" t="str">
            <v>MD 2</v>
          </cell>
          <cell r="D302" t="str">
            <v>Algar</v>
          </cell>
          <cell r="E302" t="str">
            <v>800M R$99,90</v>
          </cell>
          <cell r="F302" t="str">
            <v>Fibra</v>
          </cell>
          <cell r="G302">
            <v>800</v>
          </cell>
          <cell r="H302">
            <v>99.9</v>
          </cell>
          <cell r="I302" t="str">
            <v/>
          </cell>
          <cell r="J302">
            <v>0</v>
          </cell>
          <cell r="L302">
            <v>3529302</v>
          </cell>
        </row>
        <row r="303">
          <cell r="A303" t="str">
            <v>MATAO</v>
          </cell>
          <cell r="B303" t="str">
            <v>NOROESTE</v>
          </cell>
          <cell r="C303" t="str">
            <v>MD 2</v>
          </cell>
          <cell r="D303" t="str">
            <v>Weclix</v>
          </cell>
          <cell r="E303" t="str">
            <v>1GB R$59,90 - 1ª MENSALIDADE, APÓS R$99,90</v>
          </cell>
          <cell r="F303" t="str">
            <v>Fibra</v>
          </cell>
          <cell r="G303">
            <v>1000</v>
          </cell>
          <cell r="H303">
            <v>99.9</v>
          </cell>
          <cell r="I303">
            <v>59.9</v>
          </cell>
          <cell r="J303">
            <v>0</v>
          </cell>
          <cell r="L303">
            <v>3529302</v>
          </cell>
        </row>
        <row r="304">
          <cell r="A304" t="str">
            <v>MATAO</v>
          </cell>
          <cell r="B304" t="str">
            <v>NOROESTE</v>
          </cell>
          <cell r="C304" t="str">
            <v>MD 2</v>
          </cell>
          <cell r="D304" t="str">
            <v>ISP LOCAL</v>
          </cell>
          <cell r="E304" t="str">
            <v>PROCESS - 500M R$109,90</v>
          </cell>
          <cell r="F304" t="str">
            <v>Fibra</v>
          </cell>
          <cell r="G304">
            <v>500</v>
          </cell>
          <cell r="H304">
            <v>109.9</v>
          </cell>
          <cell r="I304" t="str">
            <v/>
          </cell>
          <cell r="J304">
            <v>0</v>
          </cell>
          <cell r="L304">
            <v>3529302</v>
          </cell>
        </row>
        <row r="305">
          <cell r="A305" t="str">
            <v>MIRANDOPOLIS</v>
          </cell>
          <cell r="B305" t="str">
            <v>NOROESTE</v>
          </cell>
          <cell r="C305" t="str">
            <v>MD 2</v>
          </cell>
          <cell r="D305" t="str">
            <v>Claro</v>
          </cell>
          <cell r="E305" t="str">
            <v>600M+100GB=R$109,90 por 6M, após R$139,90</v>
          </cell>
          <cell r="F305" t="str">
            <v>Fibra</v>
          </cell>
          <cell r="G305">
            <v>600</v>
          </cell>
          <cell r="H305">
            <v>139.9</v>
          </cell>
          <cell r="I305">
            <v>109.9</v>
          </cell>
          <cell r="J305" t="str">
            <v>GLOBOPLAY</v>
          </cell>
          <cell r="L305">
            <v>3530102</v>
          </cell>
        </row>
        <row r="306">
          <cell r="A306" t="str">
            <v>MIRANDOPOLIS</v>
          </cell>
          <cell r="B306" t="str">
            <v>NOROESTE</v>
          </cell>
          <cell r="C306" t="str">
            <v>MD 2</v>
          </cell>
          <cell r="D306" t="str">
            <v>Vero</v>
          </cell>
          <cell r="E306" t="str">
            <v>850M+60GB=R$149,99 (C/ GLOBOPLAY, HBO, DISNEY+)</v>
          </cell>
          <cell r="F306" t="str">
            <v>Fibra</v>
          </cell>
          <cell r="G306">
            <v>850</v>
          </cell>
          <cell r="H306">
            <v>149.99</v>
          </cell>
          <cell r="I306" t="str">
            <v/>
          </cell>
          <cell r="J306" t="str">
            <v>GLOBOPLAY, HBO, DISNEY+</v>
          </cell>
          <cell r="L306">
            <v>3530102</v>
          </cell>
        </row>
        <row r="307">
          <cell r="A307" t="str">
            <v>MIRANDOPOLIS</v>
          </cell>
          <cell r="B307" t="str">
            <v>NOROESTE</v>
          </cell>
          <cell r="C307" t="str">
            <v>MD 2</v>
          </cell>
          <cell r="D307" t="str">
            <v>ISP LOCAL</v>
          </cell>
          <cell r="E307" t="str">
            <v>INSIDESIGN - 800M R$59,90 - 3 MESES, APÓS R$99,90</v>
          </cell>
          <cell r="F307" t="str">
            <v>Fibra</v>
          </cell>
          <cell r="G307">
            <v>800</v>
          </cell>
          <cell r="H307">
            <v>99.9</v>
          </cell>
          <cell r="I307">
            <v>59.9</v>
          </cell>
          <cell r="J307">
            <v>0</v>
          </cell>
          <cell r="L307">
            <v>3530102</v>
          </cell>
        </row>
        <row r="308">
          <cell r="A308" t="str">
            <v>MIRASSOL</v>
          </cell>
          <cell r="B308" t="str">
            <v>OESTE</v>
          </cell>
          <cell r="C308" t="str">
            <v>ESPECIAL</v>
          </cell>
          <cell r="D308" t="str">
            <v>Claro</v>
          </cell>
          <cell r="E308" t="str">
            <v>600M+100GB=R$119,90 por 3M, após R$159,90</v>
          </cell>
          <cell r="F308" t="str">
            <v>Fibra</v>
          </cell>
          <cell r="G308">
            <v>600</v>
          </cell>
          <cell r="H308">
            <v>159.9</v>
          </cell>
          <cell r="I308">
            <v>119.9</v>
          </cell>
          <cell r="J308" t="str">
            <v>GLOBOPLAY</v>
          </cell>
          <cell r="L308">
            <v>3530300</v>
          </cell>
        </row>
        <row r="309">
          <cell r="A309" t="str">
            <v>MIRASSOL</v>
          </cell>
          <cell r="B309" t="str">
            <v>OESTE</v>
          </cell>
          <cell r="C309" t="str">
            <v>ESPECIAL</v>
          </cell>
          <cell r="D309" t="str">
            <v>Vivo</v>
          </cell>
          <cell r="E309" t="str">
            <v>500M+70GB=R$160,00</v>
          </cell>
          <cell r="F309" t="str">
            <v>Fibra</v>
          </cell>
          <cell r="I309" t="str">
            <v/>
          </cell>
          <cell r="J309">
            <v>0</v>
          </cell>
          <cell r="L309">
            <v>3530300</v>
          </cell>
        </row>
        <row r="310">
          <cell r="A310" t="str">
            <v>MIRASSOL</v>
          </cell>
          <cell r="B310" t="str">
            <v>OESTE</v>
          </cell>
          <cell r="C310" t="str">
            <v>ESPECIAL</v>
          </cell>
          <cell r="D310" t="str">
            <v>Desktop</v>
          </cell>
          <cell r="E310" t="str">
            <v>600M=R$49,99 por 2M, após R$89,99</v>
          </cell>
          <cell r="F310" t="str">
            <v>Fibra</v>
          </cell>
          <cell r="G310">
            <v>600</v>
          </cell>
          <cell r="H310">
            <v>89.99</v>
          </cell>
          <cell r="I310">
            <v>49.99</v>
          </cell>
          <cell r="J310">
            <v>0</v>
          </cell>
          <cell r="L310">
            <v>3530300</v>
          </cell>
        </row>
        <row r="311">
          <cell r="A311" t="str">
            <v>MIRASSOL</v>
          </cell>
          <cell r="B311" t="str">
            <v>OESTE</v>
          </cell>
          <cell r="C311" t="str">
            <v>ESPECIAL</v>
          </cell>
          <cell r="D311" t="str">
            <v>ISP LOCAL</v>
          </cell>
          <cell r="E311" t="str">
            <v>EASY - 600M R$145,00</v>
          </cell>
          <cell r="F311" t="str">
            <v>Fibra</v>
          </cell>
          <cell r="G311">
            <v>600</v>
          </cell>
          <cell r="H311">
            <v>145</v>
          </cell>
          <cell r="I311" t="str">
            <v/>
          </cell>
          <cell r="J311">
            <v>0</v>
          </cell>
          <cell r="L311">
            <v>3530300</v>
          </cell>
        </row>
        <row r="312">
          <cell r="A312" t="str">
            <v>MOCOCA</v>
          </cell>
          <cell r="B312" t="str">
            <v>SUDESTE</v>
          </cell>
          <cell r="C312" t="str">
            <v>MD 2</v>
          </cell>
          <cell r="D312" t="str">
            <v>Claro</v>
          </cell>
          <cell r="E312" t="str">
            <v>600M+100GB=R$109,90 por 6M, após R$139,90</v>
          </cell>
          <cell r="F312" t="str">
            <v>Fibra</v>
          </cell>
          <cell r="G312">
            <v>600</v>
          </cell>
          <cell r="H312">
            <v>139.9</v>
          </cell>
          <cell r="I312">
            <v>109.9</v>
          </cell>
          <cell r="J312" t="str">
            <v>GLOBOPLAY</v>
          </cell>
          <cell r="L312">
            <v>3530508</v>
          </cell>
        </row>
        <row r="313">
          <cell r="A313" t="str">
            <v>MOCOCA</v>
          </cell>
          <cell r="B313" t="str">
            <v>SUDESTE</v>
          </cell>
          <cell r="C313" t="str">
            <v>MD 2</v>
          </cell>
          <cell r="D313" t="str">
            <v>Vivo</v>
          </cell>
          <cell r="E313" t="str">
            <v>500M+70GB=R$160,00</v>
          </cell>
          <cell r="F313" t="str">
            <v>Fibra</v>
          </cell>
          <cell r="I313" t="str">
            <v/>
          </cell>
          <cell r="J313">
            <v>0</v>
          </cell>
          <cell r="L313">
            <v>3530508</v>
          </cell>
        </row>
        <row r="314">
          <cell r="A314" t="str">
            <v>MOCOCA</v>
          </cell>
          <cell r="B314" t="str">
            <v>SUDESTE</v>
          </cell>
          <cell r="C314" t="str">
            <v>MD 2</v>
          </cell>
          <cell r="D314" t="str">
            <v>Alares</v>
          </cell>
          <cell r="E314" t="str">
            <v>1GB + GLOBOPLAY R$99,90</v>
          </cell>
          <cell r="F314" t="str">
            <v>Fibra</v>
          </cell>
          <cell r="G314">
            <v>1000</v>
          </cell>
          <cell r="H314">
            <v>99.9</v>
          </cell>
          <cell r="I314" t="str">
            <v/>
          </cell>
          <cell r="J314" t="str">
            <v>GLOBOPLAY</v>
          </cell>
          <cell r="L314">
            <v>3530508</v>
          </cell>
        </row>
        <row r="315">
          <cell r="A315" t="str">
            <v>MOCOCA</v>
          </cell>
          <cell r="B315" t="str">
            <v>SUDESTE</v>
          </cell>
          <cell r="C315" t="str">
            <v>MD 2</v>
          </cell>
          <cell r="D315" t="str">
            <v>ISP LOCAL</v>
          </cell>
          <cell r="E315" t="str">
            <v>TELECOM - 600M R$59,90, 3 MESES, APÓS R$119,00</v>
          </cell>
          <cell r="F315" t="str">
            <v>Fibra</v>
          </cell>
          <cell r="G315">
            <v>600</v>
          </cell>
          <cell r="H315">
            <v>119</v>
          </cell>
          <cell r="I315">
            <v>59.9</v>
          </cell>
          <cell r="J315">
            <v>0</v>
          </cell>
          <cell r="L315">
            <v>3530508</v>
          </cell>
        </row>
        <row r="316">
          <cell r="A316" t="str">
            <v>MOGI GUACU</v>
          </cell>
          <cell r="B316" t="str">
            <v>CENTRAL</v>
          </cell>
          <cell r="C316" t="str">
            <v>PADRÃO</v>
          </cell>
          <cell r="D316" t="str">
            <v>Claro</v>
          </cell>
          <cell r="E316" t="str">
            <v>600M+100GB=R$159,90</v>
          </cell>
          <cell r="F316" t="str">
            <v>Fibra</v>
          </cell>
          <cell r="G316">
            <v>600</v>
          </cell>
          <cell r="H316">
            <v>159.9</v>
          </cell>
          <cell r="I316" t="str">
            <v/>
          </cell>
          <cell r="J316" t="str">
            <v>GLOBOPLAY</v>
          </cell>
          <cell r="L316">
            <v>3530706</v>
          </cell>
        </row>
        <row r="317">
          <cell r="A317" t="str">
            <v>MOGI GUACU</v>
          </cell>
          <cell r="B317" t="str">
            <v>CENTRAL</v>
          </cell>
          <cell r="C317" t="str">
            <v>PADRÃO</v>
          </cell>
          <cell r="D317" t="str">
            <v>Vivo</v>
          </cell>
          <cell r="E317" t="str">
            <v>500M+70GB=R$160,00</v>
          </cell>
          <cell r="F317" t="str">
            <v>Fibra</v>
          </cell>
          <cell r="I317" t="str">
            <v/>
          </cell>
          <cell r="J317">
            <v>0</v>
          </cell>
          <cell r="L317">
            <v>3530706</v>
          </cell>
        </row>
        <row r="318">
          <cell r="A318" t="str">
            <v>MOGI GUACU</v>
          </cell>
          <cell r="B318" t="str">
            <v>CENTRAL</v>
          </cell>
          <cell r="C318" t="str">
            <v>PADRÃO</v>
          </cell>
          <cell r="D318" t="str">
            <v>Desktop</v>
          </cell>
          <cell r="E318" t="str">
            <v>600M=R$49,99 por 2M, após R$89,99</v>
          </cell>
          <cell r="F318" t="str">
            <v>Fibra</v>
          </cell>
          <cell r="G318">
            <v>600</v>
          </cell>
          <cell r="H318">
            <v>89.99</v>
          </cell>
          <cell r="I318">
            <v>49.99</v>
          </cell>
          <cell r="J318">
            <v>0</v>
          </cell>
          <cell r="L318">
            <v>3530706</v>
          </cell>
        </row>
        <row r="319">
          <cell r="A319" t="str">
            <v>MOGI GUACU</v>
          </cell>
          <cell r="B319" t="str">
            <v>CENTRAL</v>
          </cell>
          <cell r="C319" t="str">
            <v>PADRÃO</v>
          </cell>
          <cell r="D319" t="str">
            <v>Alares</v>
          </cell>
          <cell r="E319" t="str">
            <v>1GB + GLOBOPLAY R$99,90</v>
          </cell>
          <cell r="F319" t="str">
            <v>Fibra</v>
          </cell>
          <cell r="G319">
            <v>1000</v>
          </cell>
          <cell r="H319">
            <v>99.9</v>
          </cell>
          <cell r="I319" t="str">
            <v/>
          </cell>
          <cell r="J319" t="str">
            <v>GLOBOPLAY</v>
          </cell>
          <cell r="L319">
            <v>3530706</v>
          </cell>
        </row>
        <row r="320">
          <cell r="A320" t="str">
            <v>MOGI GUACU</v>
          </cell>
          <cell r="B320" t="str">
            <v>CENTRAL</v>
          </cell>
          <cell r="C320" t="str">
            <v>PADRÃO</v>
          </cell>
          <cell r="D320" t="str">
            <v>ISP LOCAL</v>
          </cell>
          <cell r="E320" t="str">
            <v>NR CONEXÕES - 550M R$99,90</v>
          </cell>
          <cell r="F320" t="str">
            <v>Fibra</v>
          </cell>
          <cell r="G320">
            <v>550</v>
          </cell>
          <cell r="H320">
            <v>99.9</v>
          </cell>
          <cell r="I320" t="str">
            <v/>
          </cell>
          <cell r="J320">
            <v>0</v>
          </cell>
          <cell r="L320">
            <v>3530706</v>
          </cell>
        </row>
        <row r="321">
          <cell r="A321" t="str">
            <v>MOGI MIRIM</v>
          </cell>
          <cell r="B321" t="str">
            <v>CENTRAL</v>
          </cell>
          <cell r="C321" t="str">
            <v>PADRÃO</v>
          </cell>
          <cell r="D321" t="str">
            <v>Claro</v>
          </cell>
          <cell r="E321" t="str">
            <v>600M+100GB=R$159,90</v>
          </cell>
          <cell r="F321" t="str">
            <v>Fibra</v>
          </cell>
          <cell r="G321">
            <v>600</v>
          </cell>
          <cell r="H321">
            <v>159.9</v>
          </cell>
          <cell r="I321" t="str">
            <v/>
          </cell>
          <cell r="J321" t="str">
            <v>GLOBOPLAY</v>
          </cell>
          <cell r="L321">
            <v>3530805</v>
          </cell>
        </row>
        <row r="322">
          <cell r="A322" t="str">
            <v>MOGI MIRIM</v>
          </cell>
          <cell r="B322" t="str">
            <v>CENTRAL</v>
          </cell>
          <cell r="C322" t="str">
            <v>PADRÃO</v>
          </cell>
          <cell r="D322" t="str">
            <v>Vivo</v>
          </cell>
          <cell r="E322" t="str">
            <v>500M+70GB=R$160,00</v>
          </cell>
          <cell r="F322" t="str">
            <v>Fibra</v>
          </cell>
          <cell r="I322" t="str">
            <v/>
          </cell>
          <cell r="J322">
            <v>0</v>
          </cell>
          <cell r="L322">
            <v>3530805</v>
          </cell>
        </row>
        <row r="323">
          <cell r="A323" t="str">
            <v>MOGI MIRIM</v>
          </cell>
          <cell r="B323" t="str">
            <v>CENTRAL</v>
          </cell>
          <cell r="C323" t="str">
            <v>PADRÃO</v>
          </cell>
          <cell r="D323" t="str">
            <v>Desktop</v>
          </cell>
          <cell r="E323" t="str">
            <v>600M=R$49,99 por 2M, após R$89,99</v>
          </cell>
          <cell r="F323" t="str">
            <v>Fibra</v>
          </cell>
          <cell r="G323">
            <v>600</v>
          </cell>
          <cell r="H323">
            <v>89.99</v>
          </cell>
          <cell r="I323">
            <v>49.99</v>
          </cell>
          <cell r="J323">
            <v>0</v>
          </cell>
          <cell r="L323">
            <v>3530805</v>
          </cell>
        </row>
        <row r="324">
          <cell r="A324" t="str">
            <v>MOGI MIRIM</v>
          </cell>
          <cell r="B324" t="str">
            <v>CENTRAL</v>
          </cell>
          <cell r="C324" t="str">
            <v>PADRÃO</v>
          </cell>
          <cell r="D324" t="str">
            <v>Alares</v>
          </cell>
          <cell r="E324" t="str">
            <v>1GB + GLOBOPLAY R$99,90</v>
          </cell>
          <cell r="F324" t="str">
            <v>Fibra</v>
          </cell>
          <cell r="G324">
            <v>1000</v>
          </cell>
          <cell r="H324">
            <v>99.9</v>
          </cell>
          <cell r="I324" t="str">
            <v/>
          </cell>
          <cell r="J324" t="str">
            <v>GLOBOPLAY</v>
          </cell>
          <cell r="L324">
            <v>3530805</v>
          </cell>
        </row>
        <row r="325">
          <cell r="A325" t="str">
            <v>MOGI MIRIM</v>
          </cell>
          <cell r="B325" t="str">
            <v>CENTRAL</v>
          </cell>
          <cell r="C325" t="str">
            <v>PADRÃO</v>
          </cell>
          <cell r="D325" t="str">
            <v>ISP LOCAL</v>
          </cell>
          <cell r="E325" t="str">
            <v>NEOLINK - 600M R$59,90, 2 MESES, APÓS R$99,90</v>
          </cell>
          <cell r="F325" t="str">
            <v>Fibra</v>
          </cell>
          <cell r="G325">
            <v>600</v>
          </cell>
          <cell r="H325">
            <v>99.9</v>
          </cell>
          <cell r="I325">
            <v>59.9</v>
          </cell>
          <cell r="J325">
            <v>0</v>
          </cell>
          <cell r="L325">
            <v>3530805</v>
          </cell>
        </row>
        <row r="326">
          <cell r="A326" t="str">
            <v>MONGAGUA</v>
          </cell>
          <cell r="B326" t="str">
            <v>LITORAL</v>
          </cell>
          <cell r="C326" t="str">
            <v>ESPECIAL</v>
          </cell>
          <cell r="D326" t="str">
            <v>Claro</v>
          </cell>
          <cell r="E326" t="str">
            <v>600M+100GB=R$119,90 por 3M, após R$159,90</v>
          </cell>
          <cell r="F326" t="str">
            <v>Fibra</v>
          </cell>
          <cell r="G326">
            <v>600</v>
          </cell>
          <cell r="H326">
            <v>159.9</v>
          </cell>
          <cell r="I326">
            <v>119.9</v>
          </cell>
          <cell r="J326" t="str">
            <v>GLOBOPLAY</v>
          </cell>
          <cell r="L326">
            <v>3531100</v>
          </cell>
        </row>
        <row r="327">
          <cell r="A327" t="str">
            <v>MONGAGUA</v>
          </cell>
          <cell r="B327" t="str">
            <v>LITORAL</v>
          </cell>
          <cell r="C327" t="str">
            <v>ESPECIAL</v>
          </cell>
          <cell r="D327" t="str">
            <v>Desktop</v>
          </cell>
          <cell r="E327" t="str">
            <v>600M=R$49,99 por 2M, após R$89,99</v>
          </cell>
          <cell r="F327" t="str">
            <v>Fibra</v>
          </cell>
          <cell r="G327">
            <v>600</v>
          </cell>
          <cell r="H327">
            <v>89.99</v>
          </cell>
          <cell r="I327">
            <v>49.99</v>
          </cell>
          <cell r="J327">
            <v>0</v>
          </cell>
          <cell r="L327">
            <v>3531100</v>
          </cell>
        </row>
        <row r="328">
          <cell r="A328" t="str">
            <v>MONGAGUA</v>
          </cell>
          <cell r="B328" t="str">
            <v>LITORAL</v>
          </cell>
          <cell r="C328" t="str">
            <v>ESPECIAL</v>
          </cell>
          <cell r="D328" t="str">
            <v>ISP LOCAL</v>
          </cell>
          <cell r="E328" t="str">
            <v>ETECCNET - 600M R$109,90</v>
          </cell>
          <cell r="F328" t="str">
            <v>Fibra</v>
          </cell>
          <cell r="G328">
            <v>600</v>
          </cell>
          <cell r="H328">
            <v>109.9</v>
          </cell>
          <cell r="I328" t="str">
            <v/>
          </cell>
          <cell r="J328">
            <v>0</v>
          </cell>
          <cell r="L328">
            <v>3531100</v>
          </cell>
        </row>
        <row r="329">
          <cell r="A329" t="str">
            <v>MONTE ALTO</v>
          </cell>
          <cell r="B329" t="str">
            <v>NOROESTE</v>
          </cell>
          <cell r="C329" t="str">
            <v>MD 2</v>
          </cell>
          <cell r="D329" t="str">
            <v>Claro</v>
          </cell>
          <cell r="E329" t="str">
            <v>600M+100GB=R$109,90 por 6M, após R$139,90</v>
          </cell>
          <cell r="F329" t="str">
            <v>Fibra</v>
          </cell>
          <cell r="G329">
            <v>600</v>
          </cell>
          <cell r="H329">
            <v>139.9</v>
          </cell>
          <cell r="I329">
            <v>109.9</v>
          </cell>
          <cell r="J329" t="str">
            <v>GLOBOPLAY</v>
          </cell>
          <cell r="L329">
            <v>3531308</v>
          </cell>
        </row>
        <row r="330">
          <cell r="A330" t="str">
            <v>MONTE ALTO</v>
          </cell>
          <cell r="B330" t="str">
            <v>NOROESTE</v>
          </cell>
          <cell r="C330" t="str">
            <v>MD 2</v>
          </cell>
          <cell r="D330" t="str">
            <v>Desktop</v>
          </cell>
          <cell r="E330" t="str">
            <v>600M+15GB=R$129,99 - 6 MESES, APÓS R$139,99</v>
          </cell>
          <cell r="F330" t="str">
            <v>Fibra</v>
          </cell>
          <cell r="G330">
            <v>600</v>
          </cell>
          <cell r="H330">
            <v>139.99</v>
          </cell>
          <cell r="I330">
            <v>129.99</v>
          </cell>
          <cell r="J330">
            <v>0</v>
          </cell>
          <cell r="L330">
            <v>3531308</v>
          </cell>
        </row>
        <row r="331">
          <cell r="A331" t="str">
            <v>MONTE ALTO</v>
          </cell>
          <cell r="B331" t="str">
            <v>NOROESTE</v>
          </cell>
          <cell r="C331" t="str">
            <v>MD 2</v>
          </cell>
          <cell r="D331" t="str">
            <v>Weclix</v>
          </cell>
          <cell r="E331" t="str">
            <v>1GB R$59,90 - 1ª MENSALIDADE, APÓS R$99,90</v>
          </cell>
          <cell r="F331" t="str">
            <v>Fibra</v>
          </cell>
          <cell r="G331">
            <v>1000</v>
          </cell>
          <cell r="H331">
            <v>99.9</v>
          </cell>
          <cell r="I331">
            <v>59.9</v>
          </cell>
          <cell r="J331">
            <v>0</v>
          </cell>
          <cell r="L331">
            <v>3531308</v>
          </cell>
        </row>
        <row r="332">
          <cell r="A332" t="str">
            <v>MONTE ALTO</v>
          </cell>
          <cell r="B332" t="str">
            <v>NOROESTE</v>
          </cell>
          <cell r="C332" t="str">
            <v>MD 2</v>
          </cell>
          <cell r="D332" t="str">
            <v>ISP LOCAL</v>
          </cell>
          <cell r="E332" t="str">
            <v>MONTE ALTONET - 400M R$99,90</v>
          </cell>
          <cell r="F332" t="str">
            <v>Fibra</v>
          </cell>
          <cell r="G332">
            <v>400</v>
          </cell>
          <cell r="H332">
            <v>99.9</v>
          </cell>
          <cell r="I332" t="str">
            <v/>
          </cell>
          <cell r="J332">
            <v>0</v>
          </cell>
          <cell r="L332">
            <v>3531308</v>
          </cell>
        </row>
        <row r="333">
          <cell r="A333" t="str">
            <v>MONTE MOR</v>
          </cell>
          <cell r="B333" t="str">
            <v>CENTRAL</v>
          </cell>
          <cell r="C333" t="str">
            <v>PADRÃO</v>
          </cell>
          <cell r="D333" t="str">
            <v>Claro</v>
          </cell>
          <cell r="E333" t="str">
            <v>600M+100GB=R$159,90</v>
          </cell>
          <cell r="F333" t="str">
            <v>Fibra</v>
          </cell>
          <cell r="G333">
            <v>600</v>
          </cell>
          <cell r="H333">
            <v>159.9</v>
          </cell>
          <cell r="I333" t="str">
            <v/>
          </cell>
          <cell r="J333" t="str">
            <v>GLOBOPLAY</v>
          </cell>
          <cell r="L333">
            <v>3531803</v>
          </cell>
        </row>
        <row r="334">
          <cell r="A334" t="str">
            <v>MONTE MOR</v>
          </cell>
          <cell r="B334" t="str">
            <v>CENTRAL</v>
          </cell>
          <cell r="C334" t="str">
            <v>PADRÃO</v>
          </cell>
          <cell r="D334" t="str">
            <v>Desktop</v>
          </cell>
          <cell r="E334" t="str">
            <v>600M+15GB=R$129,99 - 6 MESES, APÓS R$139,99</v>
          </cell>
          <cell r="F334" t="str">
            <v>Fibra</v>
          </cell>
          <cell r="G334">
            <v>600</v>
          </cell>
          <cell r="H334">
            <v>139.99</v>
          </cell>
          <cell r="I334">
            <v>129.99</v>
          </cell>
          <cell r="J334">
            <v>0</v>
          </cell>
          <cell r="L334">
            <v>3531803</v>
          </cell>
        </row>
        <row r="335">
          <cell r="A335" t="str">
            <v>MONTE MOR</v>
          </cell>
          <cell r="B335" t="str">
            <v>CENTRAL</v>
          </cell>
          <cell r="C335" t="str">
            <v>PADRÃO</v>
          </cell>
          <cell r="D335" t="str">
            <v>Alares</v>
          </cell>
          <cell r="E335" t="str">
            <v>1GB + GLOBOPLAY R$99,90</v>
          </cell>
          <cell r="F335" t="str">
            <v>Fibra</v>
          </cell>
          <cell r="G335">
            <v>1000</v>
          </cell>
          <cell r="H335">
            <v>99.9</v>
          </cell>
          <cell r="I335" t="str">
            <v/>
          </cell>
          <cell r="J335" t="str">
            <v>GLOBOPLAY</v>
          </cell>
          <cell r="L335">
            <v>3531803</v>
          </cell>
        </row>
        <row r="336">
          <cell r="A336" t="str">
            <v>MONTE MOR</v>
          </cell>
          <cell r="B336" t="str">
            <v>CENTRAL</v>
          </cell>
          <cell r="C336" t="str">
            <v>PADRÃO</v>
          </cell>
          <cell r="D336" t="str">
            <v>ISP LOCAL</v>
          </cell>
          <cell r="E336" t="str">
            <v>CLICKNET - 700M R$99,99</v>
          </cell>
          <cell r="F336" t="str">
            <v>Fibra</v>
          </cell>
          <cell r="G336">
            <v>700</v>
          </cell>
          <cell r="H336">
            <v>99.99</v>
          </cell>
          <cell r="I336" t="str">
            <v/>
          </cell>
          <cell r="J336">
            <v>0</v>
          </cell>
          <cell r="L336">
            <v>3531803</v>
          </cell>
        </row>
        <row r="337">
          <cell r="A337" t="str">
            <v>NOVA ODESSA</v>
          </cell>
          <cell r="B337" t="str">
            <v>CENTRAL</v>
          </cell>
          <cell r="C337" t="str">
            <v>ESPECIAL</v>
          </cell>
          <cell r="D337" t="str">
            <v>Claro</v>
          </cell>
          <cell r="E337" t="str">
            <v>600M+100GB=R$119,90 por 3M, após R$159,90</v>
          </cell>
          <cell r="F337" t="str">
            <v>Fibra</v>
          </cell>
          <cell r="G337">
            <v>600</v>
          </cell>
          <cell r="H337">
            <v>159.9</v>
          </cell>
          <cell r="I337">
            <v>119.9</v>
          </cell>
          <cell r="J337" t="str">
            <v>GLOBOPLAY</v>
          </cell>
          <cell r="L337">
            <v>3533403</v>
          </cell>
        </row>
        <row r="338">
          <cell r="A338" t="str">
            <v>NOVA ODESSA</v>
          </cell>
          <cell r="B338" t="str">
            <v>CENTRAL</v>
          </cell>
          <cell r="C338" t="str">
            <v>ESPECIAL</v>
          </cell>
          <cell r="D338" t="str">
            <v>Vivo</v>
          </cell>
          <cell r="E338" t="str">
            <v>500M+70GB=R$160,00</v>
          </cell>
          <cell r="F338" t="str">
            <v>Fibra</v>
          </cell>
          <cell r="I338" t="str">
            <v/>
          </cell>
          <cell r="J338">
            <v>0</v>
          </cell>
          <cell r="L338">
            <v>3533403</v>
          </cell>
        </row>
        <row r="339">
          <cell r="A339" t="str">
            <v>NOVA ODESSA</v>
          </cell>
          <cell r="B339" t="str">
            <v>CENTRAL</v>
          </cell>
          <cell r="C339" t="str">
            <v>ESPECIAL</v>
          </cell>
          <cell r="D339" t="str">
            <v>Desktop</v>
          </cell>
          <cell r="E339" t="str">
            <v>600M+15GB=R$129,99 - 6 MESES, APÓS R$139,99</v>
          </cell>
          <cell r="F339" t="str">
            <v>Fibra</v>
          </cell>
          <cell r="G339">
            <v>600</v>
          </cell>
          <cell r="H339">
            <v>139.99</v>
          </cell>
          <cell r="I339">
            <v>129.99</v>
          </cell>
          <cell r="J339">
            <v>0</v>
          </cell>
          <cell r="L339">
            <v>3533403</v>
          </cell>
        </row>
        <row r="340">
          <cell r="A340" t="str">
            <v>NOVA ODESSA</v>
          </cell>
          <cell r="B340" t="str">
            <v>CENTRAL</v>
          </cell>
          <cell r="C340" t="str">
            <v>ESPECIAL</v>
          </cell>
          <cell r="D340" t="str">
            <v>ISP LOCAL</v>
          </cell>
          <cell r="E340" t="str">
            <v>CLICKNET - 700M R$99,99</v>
          </cell>
          <cell r="F340" t="str">
            <v>Fibra</v>
          </cell>
          <cell r="G340">
            <v>700</v>
          </cell>
          <cell r="H340">
            <v>99.99</v>
          </cell>
          <cell r="I340" t="str">
            <v/>
          </cell>
          <cell r="J340">
            <v>0</v>
          </cell>
          <cell r="L340">
            <v>3533403</v>
          </cell>
        </row>
        <row r="341">
          <cell r="A341" t="str">
            <v>OLIMPIA</v>
          </cell>
          <cell r="B341" t="str">
            <v>NOROESTE</v>
          </cell>
          <cell r="C341" t="str">
            <v>MD 2</v>
          </cell>
          <cell r="D341" t="str">
            <v>Claro</v>
          </cell>
          <cell r="E341" t="str">
            <v>600M+100GB=R$109,90 por 6M, após R$139,90</v>
          </cell>
          <cell r="F341" t="str">
            <v>Fibra</v>
          </cell>
          <cell r="G341">
            <v>600</v>
          </cell>
          <cell r="H341">
            <v>139.9</v>
          </cell>
          <cell r="I341">
            <v>109.9</v>
          </cell>
          <cell r="J341" t="str">
            <v>GLOBOPLAY</v>
          </cell>
          <cell r="L341">
            <v>3533908</v>
          </cell>
        </row>
        <row r="342">
          <cell r="A342" t="str">
            <v>OLIMPIA</v>
          </cell>
          <cell r="B342" t="str">
            <v>NOROESTE</v>
          </cell>
          <cell r="C342" t="str">
            <v>MD 2</v>
          </cell>
          <cell r="D342" t="str">
            <v>Vivo</v>
          </cell>
          <cell r="E342" t="str">
            <v>500M+70GB=R$160,00</v>
          </cell>
          <cell r="F342" t="str">
            <v>Fibra</v>
          </cell>
          <cell r="I342" t="str">
            <v/>
          </cell>
          <cell r="J342">
            <v>0</v>
          </cell>
          <cell r="L342">
            <v>3533908</v>
          </cell>
        </row>
        <row r="343">
          <cell r="A343" t="str">
            <v>OLIMPIA</v>
          </cell>
          <cell r="B343" t="str">
            <v>NOROESTE</v>
          </cell>
          <cell r="C343" t="str">
            <v>MD 2</v>
          </cell>
          <cell r="D343" t="str">
            <v>Desktop</v>
          </cell>
          <cell r="E343" t="str">
            <v>600M+15GB=R$129,99 - 6 MESES, APÓS R$139,99</v>
          </cell>
          <cell r="F343" t="str">
            <v>Fibra</v>
          </cell>
          <cell r="G343">
            <v>600</v>
          </cell>
          <cell r="H343">
            <v>139.99</v>
          </cell>
          <cell r="I343">
            <v>129.99</v>
          </cell>
          <cell r="J343">
            <v>0</v>
          </cell>
          <cell r="L343">
            <v>3533908</v>
          </cell>
        </row>
        <row r="344">
          <cell r="A344" t="str">
            <v>OLIMPIA</v>
          </cell>
          <cell r="B344" t="str">
            <v>NOROESTE</v>
          </cell>
          <cell r="C344" t="str">
            <v>MD 2</v>
          </cell>
          <cell r="D344" t="str">
            <v>ISP LOCAL</v>
          </cell>
          <cell r="E344" t="str">
            <v>TURBO X - 500M R$89,90</v>
          </cell>
          <cell r="F344" t="str">
            <v>Fibra</v>
          </cell>
          <cell r="G344">
            <v>500</v>
          </cell>
          <cell r="H344">
            <v>89.9</v>
          </cell>
          <cell r="I344" t="str">
            <v/>
          </cell>
          <cell r="J344">
            <v>0</v>
          </cell>
          <cell r="L344">
            <v>3533908</v>
          </cell>
        </row>
        <row r="345">
          <cell r="A345" t="str">
            <v>ORLANDIA</v>
          </cell>
          <cell r="B345" t="str">
            <v>NOROESTE</v>
          </cell>
          <cell r="C345" t="str">
            <v>MD 2</v>
          </cell>
          <cell r="D345" t="str">
            <v>Claro</v>
          </cell>
          <cell r="E345" t="str">
            <v>600M+100GB=R$109,90 por 6M, após R$139,90</v>
          </cell>
          <cell r="F345" t="str">
            <v>Fibra</v>
          </cell>
          <cell r="G345">
            <v>600</v>
          </cell>
          <cell r="H345">
            <v>139.9</v>
          </cell>
          <cell r="I345">
            <v>109.9</v>
          </cell>
          <cell r="J345" t="str">
            <v>GLOBOPLAY</v>
          </cell>
          <cell r="L345">
            <v>3534302</v>
          </cell>
        </row>
        <row r="346">
          <cell r="A346" t="str">
            <v>ORLANDIA</v>
          </cell>
          <cell r="B346" t="str">
            <v>NOROESTE</v>
          </cell>
          <cell r="C346" t="str">
            <v>MD 2</v>
          </cell>
          <cell r="D346" t="str">
            <v>Algar</v>
          </cell>
          <cell r="E346" t="str">
            <v>800M R$99,90</v>
          </cell>
          <cell r="F346" t="str">
            <v>Fibra</v>
          </cell>
          <cell r="G346">
            <v>800</v>
          </cell>
          <cell r="H346">
            <v>99.9</v>
          </cell>
          <cell r="I346" t="str">
            <v/>
          </cell>
          <cell r="J346">
            <v>0</v>
          </cell>
          <cell r="L346">
            <v>3534302</v>
          </cell>
        </row>
        <row r="347">
          <cell r="A347" t="str">
            <v>ORLANDIA</v>
          </cell>
          <cell r="B347" t="str">
            <v>NOROESTE</v>
          </cell>
          <cell r="C347" t="str">
            <v>MD 2</v>
          </cell>
          <cell r="D347" t="str">
            <v>Weclix</v>
          </cell>
          <cell r="E347" t="str">
            <v>1GB R$59,90 - 1ª MENSALIDADE, APÓS R$99,90</v>
          </cell>
          <cell r="F347" t="str">
            <v>Fibra</v>
          </cell>
          <cell r="G347">
            <v>1000</v>
          </cell>
          <cell r="H347">
            <v>99.9</v>
          </cell>
          <cell r="I347">
            <v>59.9</v>
          </cell>
          <cell r="J347">
            <v>0</v>
          </cell>
          <cell r="L347">
            <v>3534302</v>
          </cell>
        </row>
        <row r="348">
          <cell r="A348" t="str">
            <v>ORLANDIA</v>
          </cell>
          <cell r="B348" t="str">
            <v>NOROESTE</v>
          </cell>
          <cell r="C348" t="str">
            <v>MD 2</v>
          </cell>
          <cell r="D348" t="str">
            <v>ISP LOCAL</v>
          </cell>
          <cell r="E348" t="str">
            <v>ALLOHA - 600M + GLOBOPLAY R$109,99</v>
          </cell>
          <cell r="F348" t="str">
            <v>Fibra</v>
          </cell>
          <cell r="G348">
            <v>600</v>
          </cell>
          <cell r="H348">
            <v>109.99</v>
          </cell>
          <cell r="I348" t="str">
            <v/>
          </cell>
          <cell r="J348" t="str">
            <v>GLOBOPLAY</v>
          </cell>
          <cell r="L348">
            <v>3534302</v>
          </cell>
        </row>
        <row r="349">
          <cell r="A349" t="str">
            <v>OURINHOS</v>
          </cell>
          <cell r="B349" t="str">
            <v>NOROESTE</v>
          </cell>
          <cell r="C349" t="str">
            <v>MD 2</v>
          </cell>
          <cell r="D349" t="str">
            <v>Claro</v>
          </cell>
          <cell r="E349" t="str">
            <v>600M+100GB=R$109,90 por 6M, após R$139,90</v>
          </cell>
          <cell r="F349" t="str">
            <v>Fibra</v>
          </cell>
          <cell r="G349">
            <v>600</v>
          </cell>
          <cell r="H349">
            <v>139.9</v>
          </cell>
          <cell r="I349">
            <v>109.9</v>
          </cell>
          <cell r="J349" t="str">
            <v>GLOBOPLAY</v>
          </cell>
          <cell r="L349">
            <v>3534708</v>
          </cell>
        </row>
        <row r="350">
          <cell r="A350" t="str">
            <v>OURINHOS</v>
          </cell>
          <cell r="B350" t="str">
            <v>NOROESTE</v>
          </cell>
          <cell r="C350" t="str">
            <v>MD 2</v>
          </cell>
          <cell r="D350" t="str">
            <v>Vivo</v>
          </cell>
          <cell r="E350" t="str">
            <v>500M+70GB=R$160,00</v>
          </cell>
          <cell r="F350" t="str">
            <v>Fibra</v>
          </cell>
          <cell r="I350" t="str">
            <v/>
          </cell>
          <cell r="J350">
            <v>0</v>
          </cell>
          <cell r="L350">
            <v>3534708</v>
          </cell>
        </row>
        <row r="351">
          <cell r="A351" t="str">
            <v>OURINHOS</v>
          </cell>
          <cell r="B351" t="str">
            <v>NOROESTE</v>
          </cell>
          <cell r="C351" t="str">
            <v>MD 2</v>
          </cell>
          <cell r="D351" t="str">
            <v>Alares</v>
          </cell>
          <cell r="E351" t="str">
            <v>1GB + GLOBOPLAY R$99,90</v>
          </cell>
          <cell r="F351" t="str">
            <v>Fibra</v>
          </cell>
          <cell r="G351">
            <v>1000</v>
          </cell>
          <cell r="H351">
            <v>99.9</v>
          </cell>
          <cell r="I351" t="str">
            <v/>
          </cell>
          <cell r="J351" t="str">
            <v>GLOBOPLAY</v>
          </cell>
          <cell r="L351">
            <v>3534708</v>
          </cell>
        </row>
        <row r="352">
          <cell r="A352" t="str">
            <v>OURINHOS</v>
          </cell>
          <cell r="B352" t="str">
            <v>NOROESTE</v>
          </cell>
          <cell r="C352" t="str">
            <v>MD 2</v>
          </cell>
          <cell r="D352" t="str">
            <v>ISP LOCAL</v>
          </cell>
          <cell r="E352" t="str">
            <v>CABONNET - 600M R$49,95 - 3 MESES, APÓS R$99,90</v>
          </cell>
          <cell r="F352" t="str">
            <v>Fibra</v>
          </cell>
          <cell r="G352">
            <v>600</v>
          </cell>
          <cell r="H352">
            <v>99.9</v>
          </cell>
          <cell r="I352">
            <v>49.95</v>
          </cell>
          <cell r="J352">
            <v>0</v>
          </cell>
          <cell r="L352">
            <v>3534708</v>
          </cell>
        </row>
        <row r="353">
          <cell r="A353" t="str">
            <v>PAULINIA</v>
          </cell>
          <cell r="B353" t="str">
            <v>CENTRAL</v>
          </cell>
          <cell r="C353" t="str">
            <v>PADRÃO</v>
          </cell>
          <cell r="D353" t="str">
            <v>Claro</v>
          </cell>
          <cell r="E353" t="str">
            <v>600M+100GB=R$159,90</v>
          </cell>
          <cell r="F353" t="str">
            <v>Fibra</v>
          </cell>
          <cell r="G353">
            <v>600</v>
          </cell>
          <cell r="H353">
            <v>159.9</v>
          </cell>
          <cell r="I353" t="str">
            <v/>
          </cell>
          <cell r="J353" t="str">
            <v>GLOBOPLAY</v>
          </cell>
          <cell r="L353">
            <v>3536505</v>
          </cell>
        </row>
        <row r="354">
          <cell r="A354" t="str">
            <v>PAULINIA</v>
          </cell>
          <cell r="B354" t="str">
            <v>CENTRAL</v>
          </cell>
          <cell r="C354" t="str">
            <v>PADRÃO</v>
          </cell>
          <cell r="D354" t="str">
            <v>Vivo</v>
          </cell>
          <cell r="E354" t="str">
            <v>500M+70GB=R$160,00</v>
          </cell>
          <cell r="F354" t="str">
            <v>Fibra</v>
          </cell>
          <cell r="I354" t="str">
            <v/>
          </cell>
          <cell r="J354">
            <v>0</v>
          </cell>
          <cell r="L354">
            <v>3536505</v>
          </cell>
        </row>
        <row r="355">
          <cell r="A355" t="str">
            <v>PAULINIA</v>
          </cell>
          <cell r="B355" t="str">
            <v>CENTRAL</v>
          </cell>
          <cell r="C355" t="str">
            <v>PADRÃO</v>
          </cell>
          <cell r="D355" t="str">
            <v>Desktop</v>
          </cell>
          <cell r="E355" t="str">
            <v>600M+15GB=R$129,99 - 6 MESES, APÓS R$139,99</v>
          </cell>
          <cell r="F355" t="str">
            <v>Fibra</v>
          </cell>
          <cell r="G355">
            <v>600</v>
          </cell>
          <cell r="H355">
            <v>139.99</v>
          </cell>
          <cell r="I355">
            <v>129.99</v>
          </cell>
          <cell r="J355">
            <v>0</v>
          </cell>
          <cell r="L355">
            <v>3536505</v>
          </cell>
        </row>
        <row r="356">
          <cell r="A356" t="str">
            <v>PAULINIA</v>
          </cell>
          <cell r="B356" t="str">
            <v>CENTRAL</v>
          </cell>
          <cell r="C356" t="str">
            <v>PADRÃO</v>
          </cell>
          <cell r="D356" t="str">
            <v>Algar</v>
          </cell>
          <cell r="E356" t="str">
            <v>800M R$99,90</v>
          </cell>
          <cell r="F356" t="str">
            <v>Fibra</v>
          </cell>
          <cell r="G356">
            <v>800</v>
          </cell>
          <cell r="H356">
            <v>99.9</v>
          </cell>
          <cell r="I356" t="str">
            <v/>
          </cell>
          <cell r="J356">
            <v>0</v>
          </cell>
          <cell r="L356">
            <v>3536505</v>
          </cell>
        </row>
        <row r="357">
          <cell r="A357" t="str">
            <v>PAULINIA</v>
          </cell>
          <cell r="B357" t="str">
            <v>CENTRAL</v>
          </cell>
          <cell r="C357" t="str">
            <v>PADRÃO</v>
          </cell>
          <cell r="D357" t="str">
            <v>ISP LOCAL</v>
          </cell>
          <cell r="E357" t="str">
            <v>XTURBO - 600M R$99,90</v>
          </cell>
          <cell r="F357" t="str">
            <v>Fibra</v>
          </cell>
          <cell r="G357">
            <v>600</v>
          </cell>
          <cell r="H357">
            <v>99.9</v>
          </cell>
          <cell r="I357" t="str">
            <v/>
          </cell>
          <cell r="J357">
            <v>0</v>
          </cell>
          <cell r="L357">
            <v>3536505</v>
          </cell>
        </row>
        <row r="358">
          <cell r="A358" t="str">
            <v>PEDREIRA</v>
          </cell>
          <cell r="B358" t="str">
            <v>SUDESTE</v>
          </cell>
          <cell r="C358" t="str">
            <v>MD 2</v>
          </cell>
          <cell r="D358" t="str">
            <v>Claro</v>
          </cell>
          <cell r="E358" t="str">
            <v>600M+100GB=R$109,90 por 6M, após R$139,90</v>
          </cell>
          <cell r="F358" t="str">
            <v>Fibra</v>
          </cell>
          <cell r="G358">
            <v>600</v>
          </cell>
          <cell r="H358">
            <v>139.9</v>
          </cell>
          <cell r="I358">
            <v>109.9</v>
          </cell>
          <cell r="J358" t="str">
            <v>GLOBOPLAY</v>
          </cell>
          <cell r="L358">
            <v>3537107</v>
          </cell>
        </row>
        <row r="359">
          <cell r="A359" t="str">
            <v>PEDREIRA</v>
          </cell>
          <cell r="B359" t="str">
            <v>SUDESTE</v>
          </cell>
          <cell r="C359" t="str">
            <v>MD 2</v>
          </cell>
          <cell r="D359" t="str">
            <v>Vivo</v>
          </cell>
          <cell r="E359" t="str">
            <v>500M+70GB=R$160,00</v>
          </cell>
          <cell r="F359" t="str">
            <v>Fibra</v>
          </cell>
          <cell r="I359" t="str">
            <v/>
          </cell>
          <cell r="J359">
            <v>0</v>
          </cell>
          <cell r="L359">
            <v>3537107</v>
          </cell>
        </row>
        <row r="360">
          <cell r="A360" t="str">
            <v>PEDREIRA</v>
          </cell>
          <cell r="B360" t="str">
            <v>SUDESTE</v>
          </cell>
          <cell r="C360" t="str">
            <v>MD 2</v>
          </cell>
          <cell r="D360" t="str">
            <v>Desktop</v>
          </cell>
          <cell r="E360" t="str">
            <v>600M+15GB=R$129,99 - 6 MESES, APÓS R$139,99</v>
          </cell>
          <cell r="F360" t="str">
            <v>Fibra</v>
          </cell>
          <cell r="G360">
            <v>600</v>
          </cell>
          <cell r="H360">
            <v>139.99</v>
          </cell>
          <cell r="I360">
            <v>129.99</v>
          </cell>
          <cell r="J360">
            <v>0</v>
          </cell>
          <cell r="L360">
            <v>3537107</v>
          </cell>
        </row>
        <row r="361">
          <cell r="A361" t="str">
            <v>PEDREIRA</v>
          </cell>
          <cell r="B361" t="str">
            <v>SUDESTE</v>
          </cell>
          <cell r="C361" t="str">
            <v>MD 2</v>
          </cell>
          <cell r="D361" t="str">
            <v>ISP LOCAL</v>
          </cell>
          <cell r="E361" t="str">
            <v>TELESON - 500M R$159,90</v>
          </cell>
          <cell r="F361" t="str">
            <v>Fibra</v>
          </cell>
          <cell r="G361">
            <v>500</v>
          </cell>
          <cell r="H361">
            <v>159.9</v>
          </cell>
          <cell r="I361" t="str">
            <v/>
          </cell>
          <cell r="J361">
            <v>0</v>
          </cell>
          <cell r="L361">
            <v>3537107</v>
          </cell>
        </row>
        <row r="362">
          <cell r="A362" t="str">
            <v>PENAPOLIS</v>
          </cell>
          <cell r="B362" t="str">
            <v>NOROESTE</v>
          </cell>
          <cell r="C362" t="str">
            <v>MD 2</v>
          </cell>
          <cell r="D362" t="str">
            <v>Claro</v>
          </cell>
          <cell r="E362" t="str">
            <v>600M+100GB=R$109,90 por 6M, após R$139,90</v>
          </cell>
          <cell r="F362" t="str">
            <v>Fibra</v>
          </cell>
          <cell r="G362">
            <v>600</v>
          </cell>
          <cell r="H362">
            <v>139.9</v>
          </cell>
          <cell r="I362">
            <v>109.9</v>
          </cell>
          <cell r="J362" t="str">
            <v>GLOBOPLAY</v>
          </cell>
          <cell r="L362">
            <v>3537305</v>
          </cell>
        </row>
        <row r="363">
          <cell r="A363" t="str">
            <v>PENAPOLIS</v>
          </cell>
          <cell r="B363" t="str">
            <v>NOROESTE</v>
          </cell>
          <cell r="C363" t="str">
            <v>MD 2</v>
          </cell>
          <cell r="D363" t="str">
            <v>Vivo</v>
          </cell>
          <cell r="E363" t="str">
            <v>500M+70GB=R$160,00</v>
          </cell>
          <cell r="F363" t="str">
            <v>Fibra</v>
          </cell>
          <cell r="I363" t="str">
            <v/>
          </cell>
          <cell r="J363">
            <v>0</v>
          </cell>
          <cell r="L363">
            <v>3537305</v>
          </cell>
        </row>
        <row r="364">
          <cell r="A364" t="str">
            <v>PENAPOLIS</v>
          </cell>
          <cell r="B364" t="str">
            <v>NOROESTE</v>
          </cell>
          <cell r="C364" t="str">
            <v>MD 2</v>
          </cell>
          <cell r="D364" t="str">
            <v>ISP LOCAL</v>
          </cell>
          <cell r="E364" t="str">
            <v>CABONNET - 600M R$49,95 - 3 MESES, APÓS R$99,90</v>
          </cell>
          <cell r="F364" t="str">
            <v>Fibra</v>
          </cell>
          <cell r="G364">
            <v>600</v>
          </cell>
          <cell r="H364">
            <v>99.9</v>
          </cell>
          <cell r="I364">
            <v>49.95</v>
          </cell>
          <cell r="J364">
            <v>0</v>
          </cell>
          <cell r="L364">
            <v>3537305</v>
          </cell>
        </row>
        <row r="365">
          <cell r="A365" t="str">
            <v>PERUIBE</v>
          </cell>
          <cell r="B365" t="str">
            <v>LITORAL</v>
          </cell>
          <cell r="C365" t="str">
            <v>PADRÃO</v>
          </cell>
          <cell r="D365" t="str">
            <v>Claro</v>
          </cell>
          <cell r="E365" t="str">
            <v>600M+100GB=R$159,90</v>
          </cell>
          <cell r="F365" t="str">
            <v>Fibra</v>
          </cell>
          <cell r="G365">
            <v>600</v>
          </cell>
          <cell r="H365">
            <v>159.9</v>
          </cell>
          <cell r="I365" t="str">
            <v/>
          </cell>
          <cell r="J365" t="str">
            <v>GLOBOPLAY</v>
          </cell>
          <cell r="L365">
            <v>3537602</v>
          </cell>
        </row>
        <row r="366">
          <cell r="A366" t="str">
            <v>PERUIBE</v>
          </cell>
          <cell r="B366" t="str">
            <v>LITORAL</v>
          </cell>
          <cell r="C366" t="str">
            <v>PADRÃO</v>
          </cell>
          <cell r="D366" t="str">
            <v>Vivo</v>
          </cell>
          <cell r="E366" t="str">
            <v>500M+70GB=R$160,00</v>
          </cell>
          <cell r="F366" t="str">
            <v>Fibra</v>
          </cell>
          <cell r="I366" t="str">
            <v/>
          </cell>
          <cell r="J366">
            <v>0</v>
          </cell>
          <cell r="L366">
            <v>3537602</v>
          </cell>
        </row>
        <row r="367">
          <cell r="A367" t="str">
            <v>PERUIBE</v>
          </cell>
          <cell r="B367" t="str">
            <v>LITORAL</v>
          </cell>
          <cell r="C367" t="str">
            <v>PADRÃO</v>
          </cell>
          <cell r="D367" t="str">
            <v>Desktop</v>
          </cell>
          <cell r="E367" t="str">
            <v>600M=R$49,99 por 2M, após R$89,99</v>
          </cell>
          <cell r="F367" t="str">
            <v>Fibra</v>
          </cell>
          <cell r="G367">
            <v>600</v>
          </cell>
          <cell r="H367">
            <v>89.99</v>
          </cell>
          <cell r="I367">
            <v>49.99</v>
          </cell>
          <cell r="J367">
            <v>0</v>
          </cell>
          <cell r="L367">
            <v>3537602</v>
          </cell>
        </row>
        <row r="368">
          <cell r="A368" t="str">
            <v>PERUIBE</v>
          </cell>
          <cell r="B368" t="str">
            <v>LITORAL</v>
          </cell>
          <cell r="C368" t="str">
            <v>PADRÃO</v>
          </cell>
          <cell r="D368" t="str">
            <v>ISP LOCAL</v>
          </cell>
          <cell r="E368" t="str">
            <v>ETECCNET - 600M R$109,90</v>
          </cell>
          <cell r="F368" t="str">
            <v>Fibra</v>
          </cell>
          <cell r="G368">
            <v>600</v>
          </cell>
          <cell r="H368">
            <v>109.9</v>
          </cell>
          <cell r="I368" t="str">
            <v/>
          </cell>
          <cell r="J368">
            <v>0</v>
          </cell>
          <cell r="L368">
            <v>3537602</v>
          </cell>
        </row>
        <row r="369">
          <cell r="A369" t="str">
            <v>PIEDADE</v>
          </cell>
          <cell r="B369" t="str">
            <v>SUDESTE</v>
          </cell>
          <cell r="C369" t="str">
            <v>MD 1</v>
          </cell>
          <cell r="D369" t="str">
            <v>Claro</v>
          </cell>
          <cell r="E369" t="str">
            <v>600M+100GB=R$119,90 por 6M, após R$139,90</v>
          </cell>
          <cell r="F369" t="str">
            <v>Fibra</v>
          </cell>
          <cell r="G369">
            <v>600</v>
          </cell>
          <cell r="H369">
            <v>139.9</v>
          </cell>
          <cell r="I369">
            <v>119.9</v>
          </cell>
          <cell r="J369" t="str">
            <v>GLOBOPLAY</v>
          </cell>
          <cell r="L369">
            <v>3537800</v>
          </cell>
        </row>
        <row r="370">
          <cell r="A370" t="str">
            <v>PIEDADE</v>
          </cell>
          <cell r="B370" t="str">
            <v>SUDESTE</v>
          </cell>
          <cell r="C370" t="str">
            <v>MD 1</v>
          </cell>
          <cell r="D370" t="str">
            <v>Alares</v>
          </cell>
          <cell r="E370" t="str">
            <v>1GB + GLOBOPLAY R$99,90</v>
          </cell>
          <cell r="F370" t="str">
            <v>Fibra</v>
          </cell>
          <cell r="G370">
            <v>1000</v>
          </cell>
          <cell r="H370">
            <v>99.9</v>
          </cell>
          <cell r="I370" t="str">
            <v/>
          </cell>
          <cell r="J370" t="str">
            <v>GLOBOPLAY</v>
          </cell>
          <cell r="L370">
            <v>3537800</v>
          </cell>
        </row>
        <row r="371">
          <cell r="A371" t="str">
            <v>PIEDADE</v>
          </cell>
          <cell r="B371" t="str">
            <v>SUDESTE</v>
          </cell>
          <cell r="C371" t="str">
            <v>MD 1</v>
          </cell>
          <cell r="D371" t="str">
            <v>Vero</v>
          </cell>
          <cell r="E371" t="str">
            <v>850M+60GB=R$149,99 (C/ GLOBOPLAY, HBO, DISNEY+)</v>
          </cell>
          <cell r="F371" t="str">
            <v>Fibra</v>
          </cell>
          <cell r="G371">
            <v>850</v>
          </cell>
          <cell r="H371">
            <v>149.99</v>
          </cell>
          <cell r="I371" t="str">
            <v/>
          </cell>
          <cell r="J371" t="str">
            <v>GLOBOPLAY, HBO, DISNEY+</v>
          </cell>
          <cell r="L371">
            <v>3537800</v>
          </cell>
        </row>
        <row r="372">
          <cell r="A372" t="str">
            <v>PIEDADE</v>
          </cell>
          <cell r="B372" t="str">
            <v>SUDESTE</v>
          </cell>
          <cell r="C372" t="str">
            <v>MD 1</v>
          </cell>
          <cell r="D372" t="str">
            <v>ISP LOCAL</v>
          </cell>
          <cell r="E372" t="str">
            <v>IBIÚNET - 700M R$49,90 - 3 MESES, APÓS R$129,90</v>
          </cell>
          <cell r="F372" t="str">
            <v>Fibra</v>
          </cell>
          <cell r="G372">
            <v>700</v>
          </cell>
          <cell r="H372">
            <v>129.9</v>
          </cell>
          <cell r="I372">
            <v>49.9</v>
          </cell>
          <cell r="J372">
            <v>0</v>
          </cell>
          <cell r="L372">
            <v>3537800</v>
          </cell>
        </row>
        <row r="373">
          <cell r="A373" t="str">
            <v>PINDAMONHANGABA</v>
          </cell>
          <cell r="B373" t="str">
            <v>SUDESTE</v>
          </cell>
          <cell r="C373" t="str">
            <v>MD 2</v>
          </cell>
          <cell r="D373" t="str">
            <v>Claro</v>
          </cell>
          <cell r="E373" t="str">
            <v>600M+100GB=R$109,90 por 6M, após R$139,90</v>
          </cell>
          <cell r="F373" t="str">
            <v>Fibra</v>
          </cell>
          <cell r="G373">
            <v>600</v>
          </cell>
          <cell r="H373">
            <v>139.9</v>
          </cell>
          <cell r="I373">
            <v>109.9</v>
          </cell>
          <cell r="J373" t="str">
            <v>GLOBOPLAY</v>
          </cell>
          <cell r="L373">
            <v>3538006</v>
          </cell>
        </row>
        <row r="374">
          <cell r="A374" t="str">
            <v>PINDAMONHANGABA</v>
          </cell>
          <cell r="B374" t="str">
            <v>SUDESTE</v>
          </cell>
          <cell r="C374" t="str">
            <v>MD 2</v>
          </cell>
          <cell r="D374" t="str">
            <v>Vivo</v>
          </cell>
          <cell r="E374" t="str">
            <v>500M+70GB=R$160,00</v>
          </cell>
          <cell r="F374" t="str">
            <v>Fibra</v>
          </cell>
          <cell r="I374" t="str">
            <v/>
          </cell>
          <cell r="J374">
            <v>0</v>
          </cell>
          <cell r="L374">
            <v>3538006</v>
          </cell>
        </row>
        <row r="375">
          <cell r="A375" t="str">
            <v>PINDAMONHANGABA</v>
          </cell>
          <cell r="B375" t="str">
            <v>SUDESTE</v>
          </cell>
          <cell r="C375" t="str">
            <v>MD 2</v>
          </cell>
          <cell r="D375" t="str">
            <v>Vero</v>
          </cell>
          <cell r="E375" t="str">
            <v>850M+60GB=R$149,99 (C/ GLOBOPLAY, HBO, DISNEY+)</v>
          </cell>
          <cell r="F375" t="str">
            <v>Fibra</v>
          </cell>
          <cell r="G375">
            <v>850</v>
          </cell>
          <cell r="H375">
            <v>149.99</v>
          </cell>
          <cell r="I375" t="str">
            <v/>
          </cell>
          <cell r="J375" t="str">
            <v>GLOBOPLAY, HBO, DISNEY+</v>
          </cell>
          <cell r="L375">
            <v>3538006</v>
          </cell>
        </row>
        <row r="376">
          <cell r="A376" t="str">
            <v>PINDAMONHANGABA</v>
          </cell>
          <cell r="B376" t="str">
            <v>SUDESTE</v>
          </cell>
          <cell r="C376" t="str">
            <v>MD 2</v>
          </cell>
          <cell r="D376" t="str">
            <v>ISP LOCAL</v>
          </cell>
          <cell r="E376" t="str">
            <v>CABONNET - 600M R$49,95 - 3 MESES, APÓS R$99,90</v>
          </cell>
          <cell r="F376" t="str">
            <v>Fibra</v>
          </cell>
          <cell r="G376">
            <v>600</v>
          </cell>
          <cell r="H376">
            <v>99.9</v>
          </cell>
          <cell r="I376">
            <v>49.95</v>
          </cell>
          <cell r="J376">
            <v>0</v>
          </cell>
          <cell r="L376">
            <v>3538006</v>
          </cell>
        </row>
        <row r="377">
          <cell r="A377" t="str">
            <v>PIRACICABA</v>
          </cell>
          <cell r="B377" t="str">
            <v>CENTRAL</v>
          </cell>
          <cell r="C377" t="str">
            <v>PADRÃO</v>
          </cell>
          <cell r="D377" t="str">
            <v>Claro</v>
          </cell>
          <cell r="E377" t="str">
            <v>600M+100GB=R$159,90</v>
          </cell>
          <cell r="F377" t="str">
            <v>Fibra</v>
          </cell>
          <cell r="G377">
            <v>600</v>
          </cell>
          <cell r="H377">
            <v>159.9</v>
          </cell>
          <cell r="I377" t="str">
            <v/>
          </cell>
          <cell r="J377" t="str">
            <v>GLOBOPLAY</v>
          </cell>
          <cell r="L377">
            <v>3538709</v>
          </cell>
        </row>
        <row r="378">
          <cell r="A378" t="str">
            <v>PIRACICABA</v>
          </cell>
          <cell r="B378" t="str">
            <v>CENTRAL</v>
          </cell>
          <cell r="C378" t="str">
            <v>PADRÃO</v>
          </cell>
          <cell r="D378" t="str">
            <v>Vivo</v>
          </cell>
          <cell r="E378" t="str">
            <v>500M+70GB=R$160,00</v>
          </cell>
          <cell r="F378" t="str">
            <v>Fibra</v>
          </cell>
          <cell r="I378" t="str">
            <v/>
          </cell>
          <cell r="J378">
            <v>0</v>
          </cell>
          <cell r="L378">
            <v>3538709</v>
          </cell>
        </row>
        <row r="379">
          <cell r="A379" t="str">
            <v>PIRACICABA</v>
          </cell>
          <cell r="B379" t="str">
            <v>CENTRAL</v>
          </cell>
          <cell r="C379" t="str">
            <v>PADRÃO</v>
          </cell>
          <cell r="D379" t="str">
            <v>Desktop</v>
          </cell>
          <cell r="E379" t="str">
            <v>600M+15GB=R$129,99 - 6 MESES, APÓS R$139,99</v>
          </cell>
          <cell r="F379" t="str">
            <v>Fibra</v>
          </cell>
          <cell r="G379">
            <v>600</v>
          </cell>
          <cell r="H379">
            <v>139.99</v>
          </cell>
          <cell r="I379">
            <v>129.99</v>
          </cell>
          <cell r="J379">
            <v>0</v>
          </cell>
          <cell r="L379">
            <v>3538709</v>
          </cell>
        </row>
        <row r="380">
          <cell r="A380" t="str">
            <v>PIRACICABA</v>
          </cell>
          <cell r="B380" t="str">
            <v>CENTRAL</v>
          </cell>
          <cell r="C380" t="str">
            <v>PADRÃO</v>
          </cell>
          <cell r="D380" t="str">
            <v>Vero</v>
          </cell>
          <cell r="E380" t="str">
            <v>850M+60GB=R$149,99 (C/ GLOBOPLAY, HBO, DISNEY+)</v>
          </cell>
          <cell r="F380" t="str">
            <v>Fibra</v>
          </cell>
          <cell r="G380">
            <v>850</v>
          </cell>
          <cell r="H380">
            <v>149.99</v>
          </cell>
          <cell r="I380" t="str">
            <v/>
          </cell>
          <cell r="J380" t="str">
            <v>GLOBOPLAY, HBO, DISNEY+</v>
          </cell>
          <cell r="L380">
            <v>3538709</v>
          </cell>
        </row>
        <row r="381">
          <cell r="A381" t="str">
            <v>PIRACICABA</v>
          </cell>
          <cell r="B381" t="str">
            <v>CENTRAL</v>
          </cell>
          <cell r="C381" t="str">
            <v>PADRÃO</v>
          </cell>
          <cell r="D381" t="str">
            <v>ISP LOCAL</v>
          </cell>
          <cell r="E381" t="str">
            <v>RVA - 500M R$119,90</v>
          </cell>
          <cell r="F381" t="str">
            <v>Fibra</v>
          </cell>
          <cell r="G381">
            <v>500</v>
          </cell>
          <cell r="H381">
            <v>119.9</v>
          </cell>
          <cell r="I381" t="str">
            <v/>
          </cell>
          <cell r="J381">
            <v>0</v>
          </cell>
          <cell r="L381">
            <v>3538709</v>
          </cell>
        </row>
        <row r="382">
          <cell r="A382" t="str">
            <v>PIRASSUNUNGA</v>
          </cell>
          <cell r="B382" t="str">
            <v>SUDESTE</v>
          </cell>
          <cell r="C382" t="str">
            <v>MD 2</v>
          </cell>
          <cell r="D382" t="str">
            <v>Claro</v>
          </cell>
          <cell r="E382" t="str">
            <v>600M+100GB=R$109,90 por 6M, após R$139,90</v>
          </cell>
          <cell r="F382" t="str">
            <v>Fibra</v>
          </cell>
          <cell r="G382">
            <v>600</v>
          </cell>
          <cell r="H382">
            <v>139.9</v>
          </cell>
          <cell r="I382">
            <v>109.9</v>
          </cell>
          <cell r="J382" t="str">
            <v>GLOBOPLAY</v>
          </cell>
          <cell r="L382">
            <v>3539301</v>
          </cell>
        </row>
        <row r="383">
          <cell r="A383" t="str">
            <v>PIRASSUNUNGA</v>
          </cell>
          <cell r="B383" t="str">
            <v>SUDESTE</v>
          </cell>
          <cell r="C383" t="str">
            <v>MD 2</v>
          </cell>
          <cell r="D383" t="str">
            <v>Vivo</v>
          </cell>
          <cell r="E383" t="str">
            <v>500M+70GB=R$160,00</v>
          </cell>
          <cell r="F383" t="str">
            <v>Fibra</v>
          </cell>
          <cell r="I383" t="str">
            <v/>
          </cell>
          <cell r="J383">
            <v>0</v>
          </cell>
          <cell r="L383">
            <v>3539301</v>
          </cell>
        </row>
        <row r="384">
          <cell r="A384" t="str">
            <v>PIRASSUNUNGA</v>
          </cell>
          <cell r="B384" t="str">
            <v>SUDESTE</v>
          </cell>
          <cell r="C384" t="str">
            <v>MD 2</v>
          </cell>
          <cell r="D384" t="str">
            <v>Desktop</v>
          </cell>
          <cell r="E384" t="str">
            <v>600M=R$49,99 por 2M, após R$89,99</v>
          </cell>
          <cell r="F384" t="str">
            <v>Fibra</v>
          </cell>
          <cell r="G384">
            <v>600</v>
          </cell>
          <cell r="H384">
            <v>89.99</v>
          </cell>
          <cell r="I384">
            <v>49.99</v>
          </cell>
          <cell r="J384">
            <v>0</v>
          </cell>
          <cell r="L384">
            <v>3539301</v>
          </cell>
        </row>
        <row r="385">
          <cell r="A385" t="str">
            <v>PIRASSUNUNGA</v>
          </cell>
          <cell r="B385" t="str">
            <v>SUDESTE</v>
          </cell>
          <cell r="C385" t="str">
            <v>MD 2</v>
          </cell>
          <cell r="D385" t="str">
            <v>Vero</v>
          </cell>
          <cell r="E385" t="str">
            <v>850M+60GB=R$149,99 (C/ GLOBOPLAY, HBO, DISNEY+)</v>
          </cell>
          <cell r="F385" t="str">
            <v>Fibra</v>
          </cell>
          <cell r="G385">
            <v>850</v>
          </cell>
          <cell r="H385">
            <v>149.99</v>
          </cell>
          <cell r="I385" t="str">
            <v/>
          </cell>
          <cell r="J385" t="str">
            <v>GLOBOPLAY, HBO, DISNEY+</v>
          </cell>
          <cell r="L385">
            <v>3539301</v>
          </cell>
        </row>
        <row r="386">
          <cell r="A386" t="str">
            <v>PIRASSUNUNGA</v>
          </cell>
          <cell r="B386" t="str">
            <v>SUDESTE</v>
          </cell>
          <cell r="C386" t="str">
            <v>MD 2</v>
          </cell>
          <cell r="D386" t="str">
            <v>ISP LOCAL</v>
          </cell>
          <cell r="E386" t="str">
            <v>HR NET- 400M R$109,90</v>
          </cell>
          <cell r="F386" t="str">
            <v>Fibra</v>
          </cell>
          <cell r="G386">
            <v>400</v>
          </cell>
          <cell r="H386">
            <v>109.9</v>
          </cell>
          <cell r="I386" t="str">
            <v/>
          </cell>
          <cell r="J386">
            <v>0</v>
          </cell>
          <cell r="L386">
            <v>3539301</v>
          </cell>
        </row>
        <row r="387">
          <cell r="A387" t="str">
            <v>PONTAL</v>
          </cell>
          <cell r="B387" t="str">
            <v>NOROESTE</v>
          </cell>
          <cell r="C387" t="str">
            <v>MD 2</v>
          </cell>
          <cell r="D387" t="str">
            <v>Claro</v>
          </cell>
          <cell r="E387" t="str">
            <v>600M+100GB=R$109,90 por 6M, após R$139,90</v>
          </cell>
          <cell r="F387" t="str">
            <v>Fibra</v>
          </cell>
          <cell r="G387">
            <v>600</v>
          </cell>
          <cell r="H387">
            <v>139.9</v>
          </cell>
          <cell r="I387">
            <v>109.9</v>
          </cell>
          <cell r="J387" t="str">
            <v>GLOBOPLAY</v>
          </cell>
          <cell r="L387">
            <v>3540200</v>
          </cell>
        </row>
        <row r="388">
          <cell r="A388" t="str">
            <v>PONTAL</v>
          </cell>
          <cell r="B388" t="str">
            <v>NOROESTE</v>
          </cell>
          <cell r="C388" t="str">
            <v>MD 2</v>
          </cell>
          <cell r="D388" t="str">
            <v>ISP LOCAL</v>
          </cell>
          <cell r="E388" t="str">
            <v>3AXFIBRA - 800M R$59,90 - 3 MESES, APÓS R$99,90</v>
          </cell>
          <cell r="F388" t="str">
            <v>Fibra</v>
          </cell>
          <cell r="G388">
            <v>800</v>
          </cell>
          <cell r="H388">
            <v>99.9</v>
          </cell>
          <cell r="I388">
            <v>59.9</v>
          </cell>
          <cell r="J388">
            <v>0</v>
          </cell>
          <cell r="L388">
            <v>3540200</v>
          </cell>
        </row>
        <row r="389">
          <cell r="A389" t="str">
            <v>PORTO FELIZ</v>
          </cell>
          <cell r="B389" t="str">
            <v>OESTE</v>
          </cell>
          <cell r="C389" t="str">
            <v>PADRÃO</v>
          </cell>
          <cell r="D389" t="str">
            <v>Claro</v>
          </cell>
          <cell r="E389" t="str">
            <v>600M+100GB=R$159,90</v>
          </cell>
          <cell r="F389" t="str">
            <v>Fibra</v>
          </cell>
          <cell r="G389">
            <v>600</v>
          </cell>
          <cell r="H389">
            <v>159.9</v>
          </cell>
          <cell r="I389" t="str">
            <v/>
          </cell>
          <cell r="J389" t="str">
            <v>GLOBOPLAY</v>
          </cell>
          <cell r="L389">
            <v>3540606</v>
          </cell>
        </row>
        <row r="390">
          <cell r="A390" t="str">
            <v>PORTO FELIZ</v>
          </cell>
          <cell r="B390" t="str">
            <v>OESTE</v>
          </cell>
          <cell r="C390" t="str">
            <v>PADRÃO</v>
          </cell>
          <cell r="D390" t="str">
            <v>Vivo</v>
          </cell>
          <cell r="E390" t="str">
            <v>500M+70GB=R$160,00</v>
          </cell>
          <cell r="F390" t="str">
            <v>Fibra</v>
          </cell>
          <cell r="I390" t="str">
            <v/>
          </cell>
          <cell r="J390">
            <v>0</v>
          </cell>
          <cell r="L390">
            <v>3540606</v>
          </cell>
        </row>
        <row r="391">
          <cell r="A391" t="str">
            <v>PORTO FELIZ</v>
          </cell>
          <cell r="B391" t="str">
            <v>OESTE</v>
          </cell>
          <cell r="C391" t="str">
            <v>PADRÃO</v>
          </cell>
          <cell r="D391" t="str">
            <v>ISP LOCAL</v>
          </cell>
          <cell r="E391" t="str">
            <v>PORTONET - 900M R$95,00</v>
          </cell>
          <cell r="F391" t="str">
            <v>Fibra</v>
          </cell>
          <cell r="G391">
            <v>900</v>
          </cell>
          <cell r="H391">
            <v>95</v>
          </cell>
          <cell r="I391" t="str">
            <v/>
          </cell>
          <cell r="J391">
            <v>0</v>
          </cell>
          <cell r="L391">
            <v>3540606</v>
          </cell>
        </row>
        <row r="392">
          <cell r="A392" t="str">
            <v>PORTO FERREIRA</v>
          </cell>
          <cell r="B392" t="str">
            <v>SUDESTE</v>
          </cell>
          <cell r="C392" t="str">
            <v>MD 2</v>
          </cell>
          <cell r="D392" t="str">
            <v>Claro</v>
          </cell>
          <cell r="E392" t="str">
            <v>600M+100GB=R$109,90 por 6M, após R$139,90</v>
          </cell>
          <cell r="F392" t="str">
            <v>Fibra</v>
          </cell>
          <cell r="G392">
            <v>600</v>
          </cell>
          <cell r="H392">
            <v>139.9</v>
          </cell>
          <cell r="I392">
            <v>109.9</v>
          </cell>
          <cell r="J392" t="str">
            <v>GLOBOPLAY</v>
          </cell>
          <cell r="L392">
            <v>3540705</v>
          </cell>
        </row>
        <row r="393">
          <cell r="A393" t="str">
            <v>PORTO FERREIRA</v>
          </cell>
          <cell r="B393" t="str">
            <v>SUDESTE</v>
          </cell>
          <cell r="C393" t="str">
            <v>MD 2</v>
          </cell>
          <cell r="D393" t="str">
            <v>Desktop</v>
          </cell>
          <cell r="E393" t="str">
            <v>600M=R$49,99 por 2M, após R$89,99</v>
          </cell>
          <cell r="F393" t="str">
            <v>Fibra</v>
          </cell>
          <cell r="G393">
            <v>600</v>
          </cell>
          <cell r="H393">
            <v>89.99</v>
          </cell>
          <cell r="I393">
            <v>49.99</v>
          </cell>
          <cell r="J393">
            <v>0</v>
          </cell>
          <cell r="L393">
            <v>3540705</v>
          </cell>
        </row>
        <row r="394">
          <cell r="A394" t="str">
            <v>PORTO FERREIRA</v>
          </cell>
          <cell r="B394" t="str">
            <v>SUDESTE</v>
          </cell>
          <cell r="C394" t="str">
            <v>MD 2</v>
          </cell>
          <cell r="D394" t="str">
            <v>ISP LOCAL</v>
          </cell>
          <cell r="E394" t="str">
            <v>THS - 700M R$99,90</v>
          </cell>
          <cell r="F394" t="str">
            <v>Fibra</v>
          </cell>
          <cell r="G394">
            <v>700</v>
          </cell>
          <cell r="H394">
            <v>99.9</v>
          </cell>
          <cell r="I394" t="str">
            <v/>
          </cell>
          <cell r="J394">
            <v>0</v>
          </cell>
          <cell r="L394">
            <v>3540705</v>
          </cell>
        </row>
        <row r="395">
          <cell r="A395" t="str">
            <v>POTIM</v>
          </cell>
          <cell r="B395" t="str">
            <v>SUDESTE</v>
          </cell>
          <cell r="C395" t="str">
            <v>MD 2</v>
          </cell>
          <cell r="D395" t="str">
            <v>Claro</v>
          </cell>
          <cell r="E395" t="str">
            <v>600M+100GB=R$109,90 por 6M, após R$139,90</v>
          </cell>
          <cell r="F395" t="str">
            <v>Fibra</v>
          </cell>
          <cell r="G395">
            <v>600</v>
          </cell>
          <cell r="H395">
            <v>139.9</v>
          </cell>
          <cell r="I395">
            <v>109.9</v>
          </cell>
          <cell r="J395" t="str">
            <v>GLOBOPLAY</v>
          </cell>
          <cell r="L395">
            <v>3540754</v>
          </cell>
        </row>
        <row r="396">
          <cell r="A396" t="str">
            <v>POTIM</v>
          </cell>
          <cell r="B396" t="str">
            <v>SUDESTE</v>
          </cell>
          <cell r="C396" t="str">
            <v>MD 2</v>
          </cell>
          <cell r="D396" t="str">
            <v>Vero</v>
          </cell>
          <cell r="E396" t="str">
            <v>850M+60GB=R$149,99 (C/ GLOBOPLAY, HBO, DISNEY+)</v>
          </cell>
          <cell r="F396" t="str">
            <v>Fibra</v>
          </cell>
          <cell r="G396">
            <v>850</v>
          </cell>
          <cell r="H396">
            <v>149.99</v>
          </cell>
          <cell r="I396" t="str">
            <v/>
          </cell>
          <cell r="J396" t="str">
            <v>GLOBOPLAY, HBO, DISNEY+</v>
          </cell>
          <cell r="L396">
            <v>3540754</v>
          </cell>
        </row>
        <row r="397">
          <cell r="A397" t="str">
            <v>POTIM</v>
          </cell>
          <cell r="B397" t="str">
            <v>SUDESTE</v>
          </cell>
          <cell r="C397" t="str">
            <v>MD 2</v>
          </cell>
          <cell r="D397" t="str">
            <v>ISP LOCAL</v>
          </cell>
          <cell r="E397" t="str">
            <v>PROVALE - 600M R$99,90</v>
          </cell>
          <cell r="F397" t="str">
            <v>Fibra</v>
          </cell>
          <cell r="G397">
            <v>600</v>
          </cell>
          <cell r="H397">
            <v>99.9</v>
          </cell>
          <cell r="I397" t="str">
            <v/>
          </cell>
          <cell r="J397">
            <v>0</v>
          </cell>
          <cell r="L397">
            <v>3540754</v>
          </cell>
        </row>
        <row r="398">
          <cell r="A398" t="str">
            <v>POTIRENDABA</v>
          </cell>
          <cell r="B398" t="str">
            <v>NOROESTE</v>
          </cell>
          <cell r="C398" t="str">
            <v>MD 2</v>
          </cell>
          <cell r="D398" t="str">
            <v>Claro</v>
          </cell>
          <cell r="E398" t="str">
            <v>600M+100GB=R$109,90 por 6M, após R$139,90</v>
          </cell>
          <cell r="F398" t="str">
            <v>Fibra</v>
          </cell>
          <cell r="G398">
            <v>600</v>
          </cell>
          <cell r="H398">
            <v>139.9</v>
          </cell>
          <cell r="I398">
            <v>109.9</v>
          </cell>
          <cell r="J398" t="str">
            <v>GLOBOPLAY</v>
          </cell>
          <cell r="L398">
            <v>3540804</v>
          </cell>
        </row>
        <row r="399">
          <cell r="A399" t="str">
            <v>POTIRENDABA</v>
          </cell>
          <cell r="B399" t="str">
            <v>NOROESTE</v>
          </cell>
          <cell r="C399" t="str">
            <v>MD 2</v>
          </cell>
          <cell r="D399" t="str">
            <v>Weclix</v>
          </cell>
          <cell r="E399" t="str">
            <v>1GB R$59,90 - 1ª MENSALIDADE, APÓS R$99,90</v>
          </cell>
          <cell r="F399" t="str">
            <v>Fibra</v>
          </cell>
          <cell r="G399">
            <v>1000</v>
          </cell>
          <cell r="H399">
            <v>99.9</v>
          </cell>
          <cell r="I399">
            <v>59.9</v>
          </cell>
          <cell r="J399">
            <v>0</v>
          </cell>
          <cell r="L399">
            <v>3540804</v>
          </cell>
        </row>
        <row r="400">
          <cell r="A400" t="str">
            <v>POTIRENDABA</v>
          </cell>
          <cell r="B400" t="str">
            <v>NOROESTE</v>
          </cell>
          <cell r="C400" t="str">
            <v>MD 2</v>
          </cell>
          <cell r="D400" t="str">
            <v>ISP LOCAL</v>
          </cell>
          <cell r="E400" t="str">
            <v>OQUEI - 600M R$49,90 - 3 MESES, APÓS R$99,90</v>
          </cell>
          <cell r="F400" t="str">
            <v>Fibra</v>
          </cell>
          <cell r="G400">
            <v>600</v>
          </cell>
          <cell r="H400">
            <v>99.9</v>
          </cell>
          <cell r="I400">
            <v>49.9</v>
          </cell>
          <cell r="J400">
            <v>0</v>
          </cell>
          <cell r="L400">
            <v>3540804</v>
          </cell>
        </row>
        <row r="401">
          <cell r="A401" t="str">
            <v>PRAIA GRANDE</v>
          </cell>
          <cell r="B401" t="str">
            <v>LITORAL</v>
          </cell>
          <cell r="C401" t="str">
            <v>PADRÃO</v>
          </cell>
          <cell r="D401" t="str">
            <v>Claro</v>
          </cell>
          <cell r="E401" t="str">
            <v>600M+100GB=R$159,90</v>
          </cell>
          <cell r="F401" t="str">
            <v>Fibra</v>
          </cell>
          <cell r="G401">
            <v>600</v>
          </cell>
          <cell r="H401">
            <v>159.9</v>
          </cell>
          <cell r="I401" t="str">
            <v/>
          </cell>
          <cell r="J401" t="str">
            <v>GLOBOPLAY</v>
          </cell>
          <cell r="L401">
            <v>3541000</v>
          </cell>
        </row>
        <row r="402">
          <cell r="A402" t="str">
            <v>PRAIA GRANDE</v>
          </cell>
          <cell r="B402" t="str">
            <v>LITORAL</v>
          </cell>
          <cell r="C402" t="str">
            <v>PADRÃO</v>
          </cell>
          <cell r="D402" t="str">
            <v>Vivo</v>
          </cell>
          <cell r="E402" t="str">
            <v>500M+70GB=R$160,00</v>
          </cell>
          <cell r="F402" t="str">
            <v>Fibra</v>
          </cell>
          <cell r="I402" t="str">
            <v/>
          </cell>
          <cell r="J402">
            <v>0</v>
          </cell>
          <cell r="L402">
            <v>3541000</v>
          </cell>
        </row>
        <row r="403">
          <cell r="A403" t="str">
            <v>PRAIA GRANDE</v>
          </cell>
          <cell r="B403" t="str">
            <v>LITORAL</v>
          </cell>
          <cell r="C403" t="str">
            <v>PADRÃO</v>
          </cell>
          <cell r="D403" t="str">
            <v>Desktop</v>
          </cell>
          <cell r="E403" t="str">
            <v>600M+15GB=R$129,99 - 6 MESES, APÓS R$139,99</v>
          </cell>
          <cell r="F403" t="str">
            <v>Fibra</v>
          </cell>
          <cell r="G403">
            <v>600</v>
          </cell>
          <cell r="H403">
            <v>139.99</v>
          </cell>
          <cell r="I403">
            <v>129.99</v>
          </cell>
          <cell r="J403">
            <v>0</v>
          </cell>
          <cell r="L403">
            <v>3541000</v>
          </cell>
        </row>
        <row r="404">
          <cell r="A404" t="str">
            <v>PRAIA GRANDE</v>
          </cell>
          <cell r="B404" t="str">
            <v>LITORAL</v>
          </cell>
          <cell r="C404" t="str">
            <v>PADRÃO</v>
          </cell>
          <cell r="D404" t="str">
            <v>ISP LOCAL</v>
          </cell>
          <cell r="E404" t="str">
            <v>ALLOHA - 600M + GLOBOPLAY R$109,99</v>
          </cell>
          <cell r="F404" t="str">
            <v>Fibra</v>
          </cell>
          <cell r="G404">
            <v>600</v>
          </cell>
          <cell r="H404">
            <v>109.99</v>
          </cell>
          <cell r="I404" t="str">
            <v/>
          </cell>
          <cell r="J404" t="str">
            <v>GLOBOPLAY</v>
          </cell>
          <cell r="L404">
            <v>3541000</v>
          </cell>
        </row>
        <row r="405">
          <cell r="A405" t="str">
            <v>PRESIDENTE BERNARDES</v>
          </cell>
          <cell r="B405" t="str">
            <v>NOROESTE</v>
          </cell>
          <cell r="C405" t="str">
            <v>MD 2</v>
          </cell>
          <cell r="D405" t="str">
            <v>Claro</v>
          </cell>
          <cell r="E405" t="str">
            <v>600M+100GB=R$109,90 por 6M, após R$139,90</v>
          </cell>
          <cell r="F405" t="str">
            <v>Fibra</v>
          </cell>
          <cell r="G405">
            <v>600</v>
          </cell>
          <cell r="H405">
            <v>139.9</v>
          </cell>
          <cell r="I405">
            <v>109.9</v>
          </cell>
          <cell r="J405" t="str">
            <v>GLOBOPLAY</v>
          </cell>
          <cell r="L405">
            <v>3541208</v>
          </cell>
        </row>
        <row r="406">
          <cell r="A406" t="str">
            <v>PRESIDENTE BERNARDES</v>
          </cell>
          <cell r="B406" t="str">
            <v>NOROESTE</v>
          </cell>
          <cell r="C406" t="str">
            <v>MD 2</v>
          </cell>
          <cell r="D406" t="str">
            <v>Vero</v>
          </cell>
          <cell r="E406" t="str">
            <v>850M+60GB=R$149,99 (C/ GLOBOPLAY, HBO, DISNEY+)</v>
          </cell>
          <cell r="F406" t="str">
            <v>Fibra</v>
          </cell>
          <cell r="G406">
            <v>850</v>
          </cell>
          <cell r="H406">
            <v>149.99</v>
          </cell>
          <cell r="I406" t="str">
            <v/>
          </cell>
          <cell r="J406" t="str">
            <v>GLOBOPLAY, HBO, DISNEY+</v>
          </cell>
          <cell r="L406">
            <v>3541208</v>
          </cell>
        </row>
        <row r="407">
          <cell r="A407" t="str">
            <v>PRESIDENTE PRUDENTE</v>
          </cell>
          <cell r="B407" t="str">
            <v>NOROESTE</v>
          </cell>
          <cell r="C407" t="str">
            <v>MD 2</v>
          </cell>
          <cell r="D407" t="str">
            <v>Claro</v>
          </cell>
          <cell r="E407" t="str">
            <v>600M+100GB=R$109,90 por 6M, após R$139,90</v>
          </cell>
          <cell r="F407" t="str">
            <v>Fibra</v>
          </cell>
          <cell r="G407">
            <v>600</v>
          </cell>
          <cell r="H407">
            <v>139.9</v>
          </cell>
          <cell r="I407">
            <v>109.9</v>
          </cell>
          <cell r="J407" t="str">
            <v>GLOBOPLAY</v>
          </cell>
          <cell r="L407">
            <v>3541406</v>
          </cell>
        </row>
        <row r="408">
          <cell r="A408" t="str">
            <v>PRESIDENTE PRUDENTE</v>
          </cell>
          <cell r="B408" t="str">
            <v>NOROESTE</v>
          </cell>
          <cell r="C408" t="str">
            <v>MD 2</v>
          </cell>
          <cell r="D408" t="str">
            <v>Vivo</v>
          </cell>
          <cell r="E408" t="str">
            <v>500M+70GB=R$160,00</v>
          </cell>
          <cell r="F408" t="str">
            <v>Fibra</v>
          </cell>
          <cell r="I408" t="str">
            <v/>
          </cell>
          <cell r="J408">
            <v>0</v>
          </cell>
          <cell r="L408">
            <v>3541406</v>
          </cell>
        </row>
        <row r="409">
          <cell r="A409" t="str">
            <v>PRESIDENTE PRUDENTE</v>
          </cell>
          <cell r="B409" t="str">
            <v>NOROESTE</v>
          </cell>
          <cell r="C409" t="str">
            <v>MD 2</v>
          </cell>
          <cell r="D409" t="str">
            <v>Alares</v>
          </cell>
          <cell r="E409" t="str">
            <v>1GB + GLOBOPLAY R$99,90</v>
          </cell>
          <cell r="F409" t="str">
            <v>Fibra</v>
          </cell>
          <cell r="G409">
            <v>1000</v>
          </cell>
          <cell r="H409">
            <v>99.9</v>
          </cell>
          <cell r="I409" t="str">
            <v/>
          </cell>
          <cell r="J409" t="str">
            <v>GLOBOPLAY</v>
          </cell>
          <cell r="L409">
            <v>3541406</v>
          </cell>
        </row>
        <row r="410">
          <cell r="A410" t="str">
            <v>PRESIDENTE PRUDENTE</v>
          </cell>
          <cell r="B410" t="str">
            <v>NOROESTE</v>
          </cell>
          <cell r="C410" t="str">
            <v>MD 2</v>
          </cell>
          <cell r="D410" t="str">
            <v>Vero</v>
          </cell>
          <cell r="E410" t="str">
            <v>850M+60GB=R$149,99 (C/ GLOBOPLAY, HBO, DISNEY+)</v>
          </cell>
          <cell r="F410" t="str">
            <v>Fibra</v>
          </cell>
          <cell r="G410">
            <v>850</v>
          </cell>
          <cell r="H410">
            <v>149.99</v>
          </cell>
          <cell r="I410" t="str">
            <v/>
          </cell>
          <cell r="J410" t="str">
            <v>GLOBOPLAY, HBO, DISNEY+</v>
          </cell>
          <cell r="L410">
            <v>3541406</v>
          </cell>
        </row>
        <row r="411">
          <cell r="A411" t="str">
            <v>PRESIDENTE PRUDENTE</v>
          </cell>
          <cell r="B411" t="str">
            <v>NOROESTE</v>
          </cell>
          <cell r="C411" t="str">
            <v>MD 2</v>
          </cell>
          <cell r="D411" t="str">
            <v>ISP LOCAL</v>
          </cell>
          <cell r="E411" t="str">
            <v>CABONNET - 600M R$49,95 - 3 MESES, APÓS R$99,90</v>
          </cell>
          <cell r="F411" t="str">
            <v>Fibra</v>
          </cell>
          <cell r="G411">
            <v>600</v>
          </cell>
          <cell r="H411">
            <v>99.9</v>
          </cell>
          <cell r="I411">
            <v>49.95</v>
          </cell>
          <cell r="J411">
            <v>0</v>
          </cell>
          <cell r="L411">
            <v>3541406</v>
          </cell>
        </row>
        <row r="412">
          <cell r="A412" t="str">
            <v>PROMISSAO</v>
          </cell>
          <cell r="B412" t="str">
            <v>NOROESTE</v>
          </cell>
          <cell r="C412" t="str">
            <v>MD 2</v>
          </cell>
          <cell r="D412" t="str">
            <v>Claro</v>
          </cell>
          <cell r="E412" t="str">
            <v>600M+100GB=R$109,90 por 6M, após R$139,90</v>
          </cell>
          <cell r="F412" t="str">
            <v>Fibra</v>
          </cell>
          <cell r="G412">
            <v>600</v>
          </cell>
          <cell r="H412">
            <v>139.9</v>
          </cell>
          <cell r="I412">
            <v>109.9</v>
          </cell>
          <cell r="J412" t="str">
            <v>GLOBOPLAY</v>
          </cell>
          <cell r="L412">
            <v>3541604</v>
          </cell>
        </row>
        <row r="413">
          <cell r="A413" t="str">
            <v>PROMISSAO</v>
          </cell>
          <cell r="B413" t="str">
            <v>NOROESTE</v>
          </cell>
          <cell r="C413" t="str">
            <v>MD 2</v>
          </cell>
          <cell r="D413" t="str">
            <v>Vero</v>
          </cell>
          <cell r="E413" t="str">
            <v>850M+60GB=R$149,99 (C/ GLOBOPLAY, HBO, DISNEY+)</v>
          </cell>
          <cell r="F413" t="str">
            <v>Fibra</v>
          </cell>
          <cell r="G413">
            <v>850</v>
          </cell>
          <cell r="H413">
            <v>149.99</v>
          </cell>
          <cell r="I413" t="str">
            <v/>
          </cell>
          <cell r="J413" t="str">
            <v>GLOBOPLAY, HBO, DISNEY+</v>
          </cell>
          <cell r="L413">
            <v>3541604</v>
          </cell>
        </row>
        <row r="414">
          <cell r="A414" t="str">
            <v>PROMISSAO</v>
          </cell>
          <cell r="B414" t="str">
            <v>NOROESTE</v>
          </cell>
          <cell r="C414" t="str">
            <v>MD 2</v>
          </cell>
          <cell r="D414" t="str">
            <v>ISP LOCAL</v>
          </cell>
          <cell r="E414" t="str">
            <v>BRAYO - 1GB R$99,99</v>
          </cell>
          <cell r="F414" t="str">
            <v>Fibra</v>
          </cell>
          <cell r="G414">
            <v>1000</v>
          </cell>
          <cell r="H414">
            <v>99.99</v>
          </cell>
          <cell r="I414" t="str">
            <v/>
          </cell>
          <cell r="J414">
            <v>0</v>
          </cell>
          <cell r="L414">
            <v>3541604</v>
          </cell>
        </row>
        <row r="415">
          <cell r="A415" t="str">
            <v>RAFARD</v>
          </cell>
          <cell r="B415" t="str">
            <v>CENTRAL</v>
          </cell>
          <cell r="C415" t="str">
            <v>PADRÃO</v>
          </cell>
          <cell r="D415" t="str">
            <v>Claro</v>
          </cell>
          <cell r="E415" t="str">
            <v>600M+100GB=R$159,90</v>
          </cell>
          <cell r="F415" t="str">
            <v>Fibra</v>
          </cell>
          <cell r="G415">
            <v>600</v>
          </cell>
          <cell r="H415">
            <v>159.9</v>
          </cell>
          <cell r="I415" t="str">
            <v/>
          </cell>
          <cell r="J415" t="str">
            <v>GLOBOPLAY</v>
          </cell>
          <cell r="L415">
            <v>3542107</v>
          </cell>
        </row>
        <row r="416">
          <cell r="A416" t="str">
            <v>RAFARD</v>
          </cell>
          <cell r="B416" t="str">
            <v>CENTRAL</v>
          </cell>
          <cell r="C416" t="str">
            <v>PADRÃO</v>
          </cell>
          <cell r="D416" t="str">
            <v>Desktop</v>
          </cell>
          <cell r="E416" t="str">
            <v>600M+15GB=R$129,99 - 6 MESES, APÓS R$139,99</v>
          </cell>
          <cell r="F416" t="str">
            <v>Fibra</v>
          </cell>
          <cell r="G416">
            <v>600</v>
          </cell>
          <cell r="H416">
            <v>139.99</v>
          </cell>
          <cell r="I416">
            <v>129.99</v>
          </cell>
          <cell r="J416">
            <v>0</v>
          </cell>
          <cell r="L416">
            <v>3542107</v>
          </cell>
        </row>
        <row r="417">
          <cell r="A417" t="str">
            <v>RAFARD</v>
          </cell>
          <cell r="B417" t="str">
            <v>CENTRAL</v>
          </cell>
          <cell r="C417" t="str">
            <v>PADRÃO</v>
          </cell>
          <cell r="D417" t="str">
            <v>ISP LOCAL</v>
          </cell>
          <cell r="E417" t="str">
            <v>EAGLE - 700M R$99,90</v>
          </cell>
          <cell r="F417" t="str">
            <v>Fibra</v>
          </cell>
          <cell r="G417">
            <v>700</v>
          </cell>
          <cell r="H417">
            <v>99.9</v>
          </cell>
          <cell r="I417" t="str">
            <v/>
          </cell>
          <cell r="J417">
            <v>0</v>
          </cell>
          <cell r="L417">
            <v>3542107</v>
          </cell>
        </row>
        <row r="418">
          <cell r="A418" t="str">
            <v>REGISTRO</v>
          </cell>
          <cell r="B418" t="str">
            <v>SUDESTE</v>
          </cell>
          <cell r="C418" t="str">
            <v>MD 2</v>
          </cell>
          <cell r="D418" t="str">
            <v>Claro</v>
          </cell>
          <cell r="E418" t="str">
            <v>600M+100GB=R$109,90 por 6M, após R$139,90</v>
          </cell>
          <cell r="F418" t="str">
            <v>Fibra</v>
          </cell>
          <cell r="G418">
            <v>600</v>
          </cell>
          <cell r="H418">
            <v>139.9</v>
          </cell>
          <cell r="I418">
            <v>109.9</v>
          </cell>
          <cell r="J418" t="str">
            <v>GLOBOPLAY</v>
          </cell>
          <cell r="L418">
            <v>3542602</v>
          </cell>
        </row>
        <row r="419">
          <cell r="A419" t="str">
            <v>REGISTRO</v>
          </cell>
          <cell r="B419" t="str">
            <v>SUDESTE</v>
          </cell>
          <cell r="C419" t="str">
            <v>MD 2</v>
          </cell>
          <cell r="D419" t="str">
            <v>Vivo</v>
          </cell>
          <cell r="E419" t="str">
            <v>500M+70GB=R$160,00</v>
          </cell>
          <cell r="F419" t="str">
            <v>Fibra</v>
          </cell>
          <cell r="I419" t="str">
            <v/>
          </cell>
          <cell r="J419">
            <v>0</v>
          </cell>
          <cell r="L419">
            <v>3542602</v>
          </cell>
        </row>
        <row r="420">
          <cell r="A420" t="str">
            <v>REGISTRO</v>
          </cell>
          <cell r="B420" t="str">
            <v>SUDESTE</v>
          </cell>
          <cell r="C420" t="str">
            <v>MD 2</v>
          </cell>
          <cell r="D420" t="str">
            <v>Alares</v>
          </cell>
          <cell r="E420" t="str">
            <v>1GB + GLOBOPLAY R$99,90</v>
          </cell>
          <cell r="F420" t="str">
            <v>Fibra</v>
          </cell>
          <cell r="G420">
            <v>1000</v>
          </cell>
          <cell r="H420">
            <v>99.9</v>
          </cell>
          <cell r="I420" t="str">
            <v/>
          </cell>
          <cell r="J420" t="str">
            <v>GLOBOPLAY</v>
          </cell>
          <cell r="L420">
            <v>3542602</v>
          </cell>
        </row>
        <row r="421">
          <cell r="A421" t="str">
            <v>REGISTRO</v>
          </cell>
          <cell r="B421" t="str">
            <v>SUDESTE</v>
          </cell>
          <cell r="C421" t="str">
            <v>MD 2</v>
          </cell>
          <cell r="D421" t="str">
            <v>ISP LOCAL</v>
          </cell>
          <cell r="E421" t="str">
            <v>EXPAND - 800M R$99,90</v>
          </cell>
          <cell r="F421" t="str">
            <v>Fibra</v>
          </cell>
          <cell r="G421">
            <v>800</v>
          </cell>
          <cell r="H421">
            <v>99.9</v>
          </cell>
          <cell r="I421" t="str">
            <v/>
          </cell>
          <cell r="J421">
            <v>0</v>
          </cell>
          <cell r="L421">
            <v>3542602</v>
          </cell>
        </row>
        <row r="422">
          <cell r="A422" t="str">
            <v>RIBEIRAO PRETO</v>
          </cell>
          <cell r="B422" t="str">
            <v>OESTE</v>
          </cell>
          <cell r="C422" t="str">
            <v>PADRÃO</v>
          </cell>
          <cell r="D422" t="str">
            <v>Claro</v>
          </cell>
          <cell r="E422" t="str">
            <v>600M+100GB=R$159,90</v>
          </cell>
          <cell r="F422" t="str">
            <v>Fibra</v>
          </cell>
          <cell r="G422">
            <v>600</v>
          </cell>
          <cell r="H422">
            <v>159.9</v>
          </cell>
          <cell r="I422" t="str">
            <v/>
          </cell>
          <cell r="J422" t="str">
            <v>GLOBOPLAY</v>
          </cell>
          <cell r="L422">
            <v>3543402</v>
          </cell>
        </row>
        <row r="423">
          <cell r="A423" t="str">
            <v>RIBEIRAO PRETO</v>
          </cell>
          <cell r="B423" t="str">
            <v>OESTE</v>
          </cell>
          <cell r="C423" t="str">
            <v>PADRÃO</v>
          </cell>
          <cell r="D423" t="str">
            <v>Vivo</v>
          </cell>
          <cell r="E423" t="str">
            <v>500M+70GB=R$160,00</v>
          </cell>
          <cell r="F423" t="str">
            <v>Fibra</v>
          </cell>
          <cell r="I423" t="str">
            <v/>
          </cell>
          <cell r="J423">
            <v>0</v>
          </cell>
          <cell r="L423">
            <v>3543402</v>
          </cell>
        </row>
        <row r="424">
          <cell r="A424" t="str">
            <v>RIBEIRAO PRETO</v>
          </cell>
          <cell r="B424" t="str">
            <v>OESTE</v>
          </cell>
          <cell r="C424" t="str">
            <v>PADRÃO</v>
          </cell>
          <cell r="D424" t="str">
            <v>Desktop</v>
          </cell>
          <cell r="E424" t="str">
            <v>600M=R$49,99 por 2M, após R$89,99</v>
          </cell>
          <cell r="F424" t="str">
            <v>Fibra</v>
          </cell>
          <cell r="G424">
            <v>600</v>
          </cell>
          <cell r="H424">
            <v>89.99</v>
          </cell>
          <cell r="I424">
            <v>49.99</v>
          </cell>
          <cell r="J424">
            <v>0</v>
          </cell>
          <cell r="L424">
            <v>3543402</v>
          </cell>
        </row>
        <row r="425">
          <cell r="A425" t="str">
            <v>RIBEIRAO PRETO</v>
          </cell>
          <cell r="B425" t="str">
            <v>OESTE</v>
          </cell>
          <cell r="C425" t="str">
            <v>PADRÃO</v>
          </cell>
          <cell r="D425" t="str">
            <v>Algar</v>
          </cell>
          <cell r="E425" t="str">
            <v>800M R$99,90</v>
          </cell>
          <cell r="F425" t="str">
            <v>Fibra</v>
          </cell>
          <cell r="G425">
            <v>800</v>
          </cell>
          <cell r="H425">
            <v>99.9</v>
          </cell>
          <cell r="I425" t="str">
            <v/>
          </cell>
          <cell r="J425">
            <v>0</v>
          </cell>
          <cell r="L425">
            <v>3543402</v>
          </cell>
        </row>
        <row r="426">
          <cell r="A426" t="str">
            <v>RIBEIRAO PRETO</v>
          </cell>
          <cell r="B426" t="str">
            <v>OESTE</v>
          </cell>
          <cell r="C426" t="str">
            <v>PADRÃO</v>
          </cell>
          <cell r="D426" t="str">
            <v>Weclix</v>
          </cell>
          <cell r="E426" t="str">
            <v>1GB R$59,90 - 1ª MENSALIDADE, APÓS R$99,90</v>
          </cell>
          <cell r="F426" t="str">
            <v>Fibra</v>
          </cell>
          <cell r="G426">
            <v>1000</v>
          </cell>
          <cell r="H426">
            <v>99.9</v>
          </cell>
          <cell r="I426">
            <v>59.9</v>
          </cell>
          <cell r="J426">
            <v>0</v>
          </cell>
          <cell r="L426">
            <v>3543402</v>
          </cell>
        </row>
        <row r="427">
          <cell r="A427" t="str">
            <v>RIBEIRAO PRETO</v>
          </cell>
          <cell r="B427" t="str">
            <v>OESTE</v>
          </cell>
          <cell r="C427" t="str">
            <v>PADRÃO</v>
          </cell>
          <cell r="D427" t="str">
            <v>ISP LOCAL</v>
          </cell>
          <cell r="E427" t="str">
            <v>ALCANS - 1GB R$109,00</v>
          </cell>
          <cell r="F427" t="str">
            <v>Fibra</v>
          </cell>
          <cell r="G427">
            <v>1000</v>
          </cell>
          <cell r="H427">
            <v>109</v>
          </cell>
          <cell r="I427" t="str">
            <v/>
          </cell>
          <cell r="J427">
            <v>0</v>
          </cell>
          <cell r="L427">
            <v>3543402</v>
          </cell>
        </row>
        <row r="428">
          <cell r="A428" t="str">
            <v>RIO CLARO</v>
          </cell>
          <cell r="B428" t="str">
            <v>CENTRAL</v>
          </cell>
          <cell r="C428" t="str">
            <v>PADRÃO</v>
          </cell>
          <cell r="D428" t="str">
            <v>Claro</v>
          </cell>
          <cell r="E428" t="str">
            <v>600M+100GB=R$159,90</v>
          </cell>
          <cell r="F428" t="str">
            <v>Fibra</v>
          </cell>
          <cell r="G428">
            <v>600</v>
          </cell>
          <cell r="H428">
            <v>159.9</v>
          </cell>
          <cell r="I428" t="str">
            <v/>
          </cell>
          <cell r="J428" t="str">
            <v>GLOBOPLAY</v>
          </cell>
          <cell r="L428">
            <v>3543907</v>
          </cell>
        </row>
        <row r="429">
          <cell r="A429" t="str">
            <v>RIO CLARO</v>
          </cell>
          <cell r="B429" t="str">
            <v>CENTRAL</v>
          </cell>
          <cell r="C429" t="str">
            <v>PADRÃO</v>
          </cell>
          <cell r="D429" t="str">
            <v>Vivo</v>
          </cell>
          <cell r="E429" t="str">
            <v>500M+70GB=R$160,00</v>
          </cell>
          <cell r="F429" t="str">
            <v>Fibra</v>
          </cell>
          <cell r="I429" t="str">
            <v/>
          </cell>
          <cell r="J429">
            <v>0</v>
          </cell>
          <cell r="L429">
            <v>3543907</v>
          </cell>
        </row>
        <row r="430">
          <cell r="A430" t="str">
            <v>RIO CLARO</v>
          </cell>
          <cell r="B430" t="str">
            <v>CENTRAL</v>
          </cell>
          <cell r="C430" t="str">
            <v>PADRÃO</v>
          </cell>
          <cell r="D430" t="str">
            <v>Desktop</v>
          </cell>
          <cell r="E430" t="str">
            <v>600M=R$49,99 por 2M, após R$89,99</v>
          </cell>
          <cell r="F430" t="str">
            <v>Fibra</v>
          </cell>
          <cell r="G430">
            <v>600</v>
          </cell>
          <cell r="H430">
            <v>89.99</v>
          </cell>
          <cell r="I430">
            <v>49.99</v>
          </cell>
          <cell r="J430">
            <v>0</v>
          </cell>
          <cell r="L430">
            <v>3543907</v>
          </cell>
        </row>
        <row r="431">
          <cell r="A431" t="str">
            <v>RIO CLARO</v>
          </cell>
          <cell r="B431" t="str">
            <v>CENTRAL</v>
          </cell>
          <cell r="C431" t="str">
            <v>PADRÃO</v>
          </cell>
          <cell r="D431" t="str">
            <v>Alares</v>
          </cell>
          <cell r="E431" t="str">
            <v>1GB + GLOBOPLAY R$99,90</v>
          </cell>
          <cell r="F431" t="str">
            <v>Fibra</v>
          </cell>
          <cell r="G431">
            <v>1000</v>
          </cell>
          <cell r="H431">
            <v>99.9</v>
          </cell>
          <cell r="I431" t="str">
            <v/>
          </cell>
          <cell r="J431" t="str">
            <v>GLOBOPLAY</v>
          </cell>
          <cell r="L431">
            <v>3543907</v>
          </cell>
        </row>
        <row r="432">
          <cell r="A432" t="str">
            <v>RIO CLARO</v>
          </cell>
          <cell r="B432" t="str">
            <v>CENTRAL</v>
          </cell>
          <cell r="C432" t="str">
            <v>PADRÃO</v>
          </cell>
          <cell r="D432" t="str">
            <v>ISP LOCAL</v>
          </cell>
          <cell r="E432" t="str">
            <v>TALKLINK - 700M R$99,90, 2 MESES, APÓS R$139,90</v>
          </cell>
          <cell r="F432" t="str">
            <v>Fibra</v>
          </cell>
          <cell r="G432">
            <v>700</v>
          </cell>
          <cell r="H432">
            <v>139.9</v>
          </cell>
          <cell r="I432">
            <v>99.9</v>
          </cell>
          <cell r="J432">
            <v>0</v>
          </cell>
          <cell r="L432">
            <v>3543907</v>
          </cell>
        </row>
        <row r="433">
          <cell r="A433" t="str">
            <v>SANTA BARBARA D OESTE</v>
          </cell>
          <cell r="B433" t="str">
            <v>CENTRAL</v>
          </cell>
          <cell r="C433" t="str">
            <v>PADRÃO</v>
          </cell>
          <cell r="D433" t="str">
            <v>Claro</v>
          </cell>
          <cell r="E433" t="str">
            <v>600M+100GB=R$159,90</v>
          </cell>
          <cell r="F433" t="str">
            <v>Fibra</v>
          </cell>
          <cell r="G433">
            <v>600</v>
          </cell>
          <cell r="H433">
            <v>159.9</v>
          </cell>
          <cell r="I433" t="str">
            <v/>
          </cell>
          <cell r="J433" t="str">
            <v>GLOBOPLAY</v>
          </cell>
          <cell r="L433">
            <v>3545803</v>
          </cell>
        </row>
        <row r="434">
          <cell r="A434" t="str">
            <v>SANTA BARBARA D OESTE</v>
          </cell>
          <cell r="B434" t="str">
            <v>CENTRAL</v>
          </cell>
          <cell r="C434" t="str">
            <v>PADRÃO</v>
          </cell>
          <cell r="D434" t="str">
            <v>Vivo</v>
          </cell>
          <cell r="E434" t="str">
            <v>500M+70GB=R$160,00</v>
          </cell>
          <cell r="F434" t="str">
            <v>Fibra</v>
          </cell>
          <cell r="I434" t="str">
            <v/>
          </cell>
          <cell r="J434">
            <v>0</v>
          </cell>
          <cell r="L434">
            <v>3545803</v>
          </cell>
        </row>
        <row r="435">
          <cell r="A435" t="str">
            <v>SANTA BARBARA D OESTE</v>
          </cell>
          <cell r="B435" t="str">
            <v>CENTRAL</v>
          </cell>
          <cell r="C435" t="str">
            <v>PADRÃO</v>
          </cell>
          <cell r="D435" t="str">
            <v>Desktop</v>
          </cell>
          <cell r="E435" t="str">
            <v>600M+15GB=R$129,99 - 6 MESES, APÓS R$139,99</v>
          </cell>
          <cell r="F435" t="str">
            <v>Fibra</v>
          </cell>
          <cell r="G435">
            <v>600</v>
          </cell>
          <cell r="H435">
            <v>139.99</v>
          </cell>
          <cell r="I435">
            <v>129.99</v>
          </cell>
          <cell r="J435">
            <v>0</v>
          </cell>
          <cell r="L435">
            <v>3545803</v>
          </cell>
        </row>
        <row r="436">
          <cell r="A436" t="str">
            <v>SANTA BARBARA D OESTE</v>
          </cell>
          <cell r="B436" t="str">
            <v>CENTRAL</v>
          </cell>
          <cell r="C436" t="str">
            <v>PADRÃO</v>
          </cell>
          <cell r="D436" t="str">
            <v>Vero</v>
          </cell>
          <cell r="E436" t="str">
            <v>850M+60GB=R$149,99 (C/ GLOBOPLAY, HBO, DISNEY+)</v>
          </cell>
          <cell r="F436" t="str">
            <v>Fibra</v>
          </cell>
          <cell r="G436">
            <v>850</v>
          </cell>
          <cell r="H436">
            <v>149.99</v>
          </cell>
          <cell r="I436" t="str">
            <v/>
          </cell>
          <cell r="J436" t="str">
            <v>GLOBOPLAY, HBO, DISNEY+</v>
          </cell>
          <cell r="L436">
            <v>3545803</v>
          </cell>
        </row>
        <row r="437">
          <cell r="A437" t="str">
            <v>SANTA BARBARA D OESTE</v>
          </cell>
          <cell r="B437" t="str">
            <v>CENTRAL</v>
          </cell>
          <cell r="C437" t="str">
            <v>PADRÃO</v>
          </cell>
          <cell r="D437" t="str">
            <v>ISP LOCAL</v>
          </cell>
          <cell r="E437" t="str">
            <v>SOS - 500M R$115,80</v>
          </cell>
          <cell r="F437" t="str">
            <v>Fibra</v>
          </cell>
          <cell r="G437">
            <v>500</v>
          </cell>
          <cell r="H437">
            <v>115.8</v>
          </cell>
          <cell r="I437" t="str">
            <v/>
          </cell>
          <cell r="J437">
            <v>0</v>
          </cell>
          <cell r="L437">
            <v>3545803</v>
          </cell>
        </row>
        <row r="438">
          <cell r="A438" t="str">
            <v>SANTA CRUZ DAS PALMEIRAS</v>
          </cell>
          <cell r="B438" t="str">
            <v>SUDESTE</v>
          </cell>
          <cell r="C438" t="str">
            <v>MD 2</v>
          </cell>
          <cell r="D438" t="str">
            <v>Claro</v>
          </cell>
          <cell r="E438" t="str">
            <v>600M+100GB=R$109,90 por 6M, após R$139,90</v>
          </cell>
          <cell r="F438" t="str">
            <v>Fibra</v>
          </cell>
          <cell r="G438">
            <v>600</v>
          </cell>
          <cell r="H438">
            <v>139.9</v>
          </cell>
          <cell r="I438">
            <v>109.9</v>
          </cell>
          <cell r="J438" t="str">
            <v>GLOBOPLAY</v>
          </cell>
          <cell r="L438">
            <v>3546306</v>
          </cell>
        </row>
        <row r="439">
          <cell r="A439" t="str">
            <v>SANTA CRUZ DAS PALMEIRAS</v>
          </cell>
          <cell r="B439" t="str">
            <v>SUDESTE</v>
          </cell>
          <cell r="C439" t="str">
            <v>MD 2</v>
          </cell>
          <cell r="D439" t="str">
            <v>Desktop</v>
          </cell>
          <cell r="E439" t="str">
            <v>600M=R$49,99 por 2M, após R$89,99</v>
          </cell>
          <cell r="F439" t="str">
            <v>Fibra</v>
          </cell>
          <cell r="G439">
            <v>600</v>
          </cell>
          <cell r="H439">
            <v>89.99</v>
          </cell>
          <cell r="I439">
            <v>49.99</v>
          </cell>
          <cell r="J439">
            <v>0</v>
          </cell>
          <cell r="L439">
            <v>3546306</v>
          </cell>
        </row>
        <row r="440">
          <cell r="A440" t="str">
            <v>SANTA CRUZ DAS PALMEIRAS</v>
          </cell>
          <cell r="B440" t="str">
            <v>SUDESTE</v>
          </cell>
          <cell r="C440" t="str">
            <v>MD 2</v>
          </cell>
          <cell r="D440" t="str">
            <v>ISP LOCAL</v>
          </cell>
          <cell r="E440" t="str">
            <v>BS NEWS - 400M R$99,90</v>
          </cell>
          <cell r="F440" t="str">
            <v>Fibra</v>
          </cell>
          <cell r="G440">
            <v>400</v>
          </cell>
          <cell r="H440">
            <v>99.9</v>
          </cell>
          <cell r="I440" t="str">
            <v/>
          </cell>
          <cell r="J440">
            <v>0</v>
          </cell>
          <cell r="L440">
            <v>3546306</v>
          </cell>
        </row>
        <row r="441">
          <cell r="A441" t="str">
            <v>SANTA CRUZ DO RIO PARDO</v>
          </cell>
          <cell r="B441" t="str">
            <v>NOROESTE</v>
          </cell>
          <cell r="C441" t="str">
            <v>MD 2</v>
          </cell>
          <cell r="D441" t="str">
            <v>Claro</v>
          </cell>
          <cell r="E441" t="str">
            <v>600M+100GB=R$109,90 por 6M, após R$139,90</v>
          </cell>
          <cell r="F441" t="str">
            <v>Fibra</v>
          </cell>
          <cell r="G441">
            <v>600</v>
          </cell>
          <cell r="H441">
            <v>139.9</v>
          </cell>
          <cell r="I441">
            <v>109.9</v>
          </cell>
          <cell r="J441" t="str">
            <v>GLOBOPLAY</v>
          </cell>
          <cell r="L441">
            <v>3546405</v>
          </cell>
        </row>
        <row r="442">
          <cell r="A442" t="str">
            <v>SANTA CRUZ DO RIO PARDO</v>
          </cell>
          <cell r="B442" t="str">
            <v>NOROESTE</v>
          </cell>
          <cell r="C442" t="str">
            <v>MD 2</v>
          </cell>
          <cell r="D442" t="str">
            <v>Vivo</v>
          </cell>
          <cell r="E442" t="str">
            <v>500M+70GB=R$160,00</v>
          </cell>
          <cell r="F442" t="str">
            <v>Fibra</v>
          </cell>
          <cell r="I442" t="str">
            <v/>
          </cell>
          <cell r="J442">
            <v>0</v>
          </cell>
          <cell r="L442">
            <v>3546405</v>
          </cell>
        </row>
        <row r="443">
          <cell r="A443" t="str">
            <v>SANTA CRUZ DO RIO PARDO</v>
          </cell>
          <cell r="B443" t="str">
            <v>NOROESTE</v>
          </cell>
          <cell r="C443" t="str">
            <v>MD 2</v>
          </cell>
          <cell r="D443" t="str">
            <v>Alares</v>
          </cell>
          <cell r="E443" t="str">
            <v>1GB + GLOBOPLAY R$99,90</v>
          </cell>
          <cell r="F443" t="str">
            <v>Fibra</v>
          </cell>
          <cell r="G443">
            <v>1000</v>
          </cell>
          <cell r="H443">
            <v>99.9</v>
          </cell>
          <cell r="I443" t="str">
            <v/>
          </cell>
          <cell r="J443" t="str">
            <v>GLOBOPLAY</v>
          </cell>
          <cell r="L443">
            <v>3546405</v>
          </cell>
        </row>
        <row r="444">
          <cell r="A444" t="str">
            <v>SANTA CRUZ DO RIO PARDO</v>
          </cell>
          <cell r="B444" t="str">
            <v>NOROESTE</v>
          </cell>
          <cell r="C444" t="str">
            <v>MD 2</v>
          </cell>
          <cell r="D444" t="str">
            <v>ISP LOCAL</v>
          </cell>
          <cell r="E444" t="str">
            <v>CABONNET - 600M R$49,95 - 3 MESES, APÓS R$99,90</v>
          </cell>
          <cell r="F444" t="str">
            <v>Fibra</v>
          </cell>
          <cell r="G444">
            <v>600</v>
          </cell>
          <cell r="H444">
            <v>99.9</v>
          </cell>
          <cell r="I444">
            <v>49.95</v>
          </cell>
          <cell r="J444">
            <v>0</v>
          </cell>
          <cell r="L444">
            <v>3546405</v>
          </cell>
        </row>
        <row r="445">
          <cell r="A445" t="str">
            <v>SANTA GERTRUDES</v>
          </cell>
          <cell r="B445" t="str">
            <v>CENTRAL</v>
          </cell>
          <cell r="C445" t="str">
            <v>ESPECIAL</v>
          </cell>
          <cell r="D445" t="str">
            <v>Claro</v>
          </cell>
          <cell r="E445" t="str">
            <v>600M+100GB=R$119,90 por 3M, após R$159,90</v>
          </cell>
          <cell r="F445" t="str">
            <v>Fibra</v>
          </cell>
          <cell r="G445">
            <v>600</v>
          </cell>
          <cell r="H445">
            <v>159.9</v>
          </cell>
          <cell r="I445">
            <v>119.9</v>
          </cell>
          <cell r="J445" t="str">
            <v>GLOBOPLAY</v>
          </cell>
          <cell r="L445">
            <v>3546702</v>
          </cell>
        </row>
        <row r="446">
          <cell r="A446" t="str">
            <v>SANTA GERTRUDES</v>
          </cell>
          <cell r="B446" t="str">
            <v>CENTRAL</v>
          </cell>
          <cell r="C446" t="str">
            <v>ESPECIAL</v>
          </cell>
          <cell r="D446" t="str">
            <v>Desktop</v>
          </cell>
          <cell r="E446" t="str">
            <v>600M=R$49,99 por 2M, após R$89,99</v>
          </cell>
          <cell r="F446" t="str">
            <v>Fibra</v>
          </cell>
          <cell r="G446">
            <v>600</v>
          </cell>
          <cell r="H446">
            <v>89.99</v>
          </cell>
          <cell r="I446">
            <v>49.99</v>
          </cell>
          <cell r="J446">
            <v>0</v>
          </cell>
          <cell r="L446">
            <v>3546702</v>
          </cell>
        </row>
        <row r="447">
          <cell r="A447" t="str">
            <v>SANTA GERTRUDES</v>
          </cell>
          <cell r="B447" t="str">
            <v>CENTRAL</v>
          </cell>
          <cell r="C447" t="str">
            <v>ESPECIAL</v>
          </cell>
          <cell r="D447" t="str">
            <v>ISP LOCAL</v>
          </cell>
          <cell r="E447" t="str">
            <v>TELECOM - 600M R$59,90, 3 MESES, APÓS R$119,00</v>
          </cell>
          <cell r="F447" t="str">
            <v>Fibra</v>
          </cell>
          <cell r="G447">
            <v>600</v>
          </cell>
          <cell r="H447">
            <v>119</v>
          </cell>
          <cell r="I447">
            <v>59.9</v>
          </cell>
          <cell r="J447">
            <v>0</v>
          </cell>
          <cell r="L447">
            <v>3546702</v>
          </cell>
        </row>
        <row r="448">
          <cell r="A448" t="str">
            <v>SANTA ROSA DE VITERBO</v>
          </cell>
          <cell r="B448" t="str">
            <v>NOROESTE</v>
          </cell>
          <cell r="C448" t="str">
            <v>MD 2</v>
          </cell>
          <cell r="D448" t="str">
            <v>Claro</v>
          </cell>
          <cell r="E448" t="str">
            <v>600M+100GB=R$109,90 por 6M, após R$139,90</v>
          </cell>
          <cell r="F448" t="str">
            <v>Fibra</v>
          </cell>
          <cell r="G448">
            <v>600</v>
          </cell>
          <cell r="H448">
            <v>139.9</v>
          </cell>
          <cell r="I448">
            <v>109.9</v>
          </cell>
          <cell r="J448" t="str">
            <v>GLOBOPLAY</v>
          </cell>
          <cell r="L448">
            <v>3547601</v>
          </cell>
        </row>
        <row r="449">
          <cell r="A449" t="str">
            <v>SANTA ROSA DE VITERBO</v>
          </cell>
          <cell r="B449" t="str">
            <v>NOROESTE</v>
          </cell>
          <cell r="C449" t="str">
            <v>MD 2</v>
          </cell>
          <cell r="D449" t="str">
            <v>Desktop</v>
          </cell>
          <cell r="E449" t="str">
            <v>600M=R$49,99 por 2M, após R$89,99</v>
          </cell>
          <cell r="F449" t="str">
            <v>Fibra</v>
          </cell>
          <cell r="G449">
            <v>600</v>
          </cell>
          <cell r="H449">
            <v>89.99</v>
          </cell>
          <cell r="I449">
            <v>49.99</v>
          </cell>
          <cell r="J449">
            <v>0</v>
          </cell>
          <cell r="L449">
            <v>3547601</v>
          </cell>
        </row>
        <row r="450">
          <cell r="A450" t="str">
            <v>SANTA ROSA DE VITERBO</v>
          </cell>
          <cell r="B450" t="str">
            <v>NOROESTE</v>
          </cell>
          <cell r="C450" t="str">
            <v>MD 2</v>
          </cell>
          <cell r="D450" t="str">
            <v>ISP LOCAL</v>
          </cell>
          <cell r="E450" t="str">
            <v>ALCANS - 1GB R$109,00</v>
          </cell>
          <cell r="F450" t="str">
            <v>Fibra</v>
          </cell>
          <cell r="G450">
            <v>1000</v>
          </cell>
          <cell r="H450">
            <v>109</v>
          </cell>
          <cell r="I450" t="str">
            <v/>
          </cell>
          <cell r="J450">
            <v>0</v>
          </cell>
          <cell r="L450">
            <v>3547601</v>
          </cell>
        </row>
        <row r="451">
          <cell r="A451" t="str">
            <v>SANTOS</v>
          </cell>
          <cell r="B451" t="str">
            <v>LITORAL</v>
          </cell>
          <cell r="C451" t="str">
            <v>PADRÃO</v>
          </cell>
          <cell r="D451" t="str">
            <v>Claro</v>
          </cell>
          <cell r="E451" t="str">
            <v>600M+100GB=R$159,90</v>
          </cell>
          <cell r="F451" t="str">
            <v>Fibra</v>
          </cell>
          <cell r="G451">
            <v>600</v>
          </cell>
          <cell r="H451">
            <v>159.9</v>
          </cell>
          <cell r="I451" t="str">
            <v/>
          </cell>
          <cell r="J451" t="str">
            <v>GLOBOPLAY</v>
          </cell>
          <cell r="L451">
            <v>3548500</v>
          </cell>
        </row>
        <row r="452">
          <cell r="A452" t="str">
            <v>SANTOS</v>
          </cell>
          <cell r="B452" t="str">
            <v>LITORAL</v>
          </cell>
          <cell r="C452" t="str">
            <v>PADRÃO</v>
          </cell>
          <cell r="D452" t="str">
            <v>Vivo</v>
          </cell>
          <cell r="E452" t="str">
            <v>500M+70GB=R$160,00</v>
          </cell>
          <cell r="F452" t="str">
            <v>Fibra</v>
          </cell>
          <cell r="I452" t="str">
            <v/>
          </cell>
          <cell r="J452">
            <v>0</v>
          </cell>
          <cell r="L452">
            <v>3548500</v>
          </cell>
        </row>
        <row r="453">
          <cell r="A453" t="str">
            <v>SANTOS</v>
          </cell>
          <cell r="B453" t="str">
            <v>LITORAL</v>
          </cell>
          <cell r="C453" t="str">
            <v>PADRÃO</v>
          </cell>
          <cell r="D453" t="str">
            <v>Desktop</v>
          </cell>
          <cell r="E453" t="str">
            <v>600M+15GB=R$129,99 - 6 MESES, APÓS R$139,99</v>
          </cell>
          <cell r="F453" t="str">
            <v>Fibra</v>
          </cell>
          <cell r="G453">
            <v>600</v>
          </cell>
          <cell r="H453">
            <v>139.99</v>
          </cell>
          <cell r="I453">
            <v>129.99</v>
          </cell>
          <cell r="J453">
            <v>0</v>
          </cell>
          <cell r="L453">
            <v>3548500</v>
          </cell>
        </row>
        <row r="454">
          <cell r="A454" t="str">
            <v>SANTOS</v>
          </cell>
          <cell r="B454" t="str">
            <v>LITORAL</v>
          </cell>
          <cell r="C454" t="str">
            <v>PADRÃO</v>
          </cell>
          <cell r="D454" t="str">
            <v>Algar</v>
          </cell>
          <cell r="E454" t="str">
            <v>800M R$99,90</v>
          </cell>
          <cell r="F454" t="str">
            <v>Fibra</v>
          </cell>
          <cell r="G454">
            <v>800</v>
          </cell>
          <cell r="H454">
            <v>99.9</v>
          </cell>
          <cell r="I454" t="str">
            <v/>
          </cell>
          <cell r="J454">
            <v>0</v>
          </cell>
          <cell r="L454">
            <v>3548500</v>
          </cell>
        </row>
        <row r="455">
          <cell r="A455" t="str">
            <v>SANTOS</v>
          </cell>
          <cell r="B455" t="str">
            <v>LITORAL</v>
          </cell>
          <cell r="C455" t="str">
            <v>PADRÃO</v>
          </cell>
          <cell r="D455" t="str">
            <v>ISP LOCAL</v>
          </cell>
          <cell r="E455" t="str">
            <v>ALLOHA - 600M + GLOBOPLAY R$109,99</v>
          </cell>
          <cell r="F455" t="str">
            <v>Fibra</v>
          </cell>
          <cell r="G455">
            <v>600</v>
          </cell>
          <cell r="H455">
            <v>109.99</v>
          </cell>
          <cell r="I455" t="str">
            <v/>
          </cell>
          <cell r="J455" t="str">
            <v>GLOBOPLAY</v>
          </cell>
          <cell r="L455">
            <v>3548500</v>
          </cell>
        </row>
        <row r="456">
          <cell r="A456" t="str">
            <v>SAO CARLOS</v>
          </cell>
          <cell r="B456" t="str">
            <v>OESTE</v>
          </cell>
          <cell r="C456" t="str">
            <v>PADRÃO</v>
          </cell>
          <cell r="D456" t="str">
            <v>Claro</v>
          </cell>
          <cell r="E456" t="str">
            <v>600M+100GB=R$159,90</v>
          </cell>
          <cell r="F456" t="str">
            <v>Fibra</v>
          </cell>
          <cell r="G456">
            <v>600</v>
          </cell>
          <cell r="H456">
            <v>159.9</v>
          </cell>
          <cell r="I456" t="str">
            <v/>
          </cell>
          <cell r="J456" t="str">
            <v>GLOBOPLAY</v>
          </cell>
          <cell r="L456">
            <v>3548906</v>
          </cell>
        </row>
        <row r="457">
          <cell r="A457" t="str">
            <v>SAO CARLOS</v>
          </cell>
          <cell r="B457" t="str">
            <v>OESTE</v>
          </cell>
          <cell r="C457" t="str">
            <v>PADRÃO</v>
          </cell>
          <cell r="D457" t="str">
            <v>Vivo</v>
          </cell>
          <cell r="E457" t="str">
            <v>500M+70GB=R$160,00</v>
          </cell>
          <cell r="F457" t="str">
            <v>Fibra</v>
          </cell>
          <cell r="I457" t="str">
            <v/>
          </cell>
          <cell r="J457">
            <v>0</v>
          </cell>
          <cell r="L457">
            <v>3548906</v>
          </cell>
        </row>
        <row r="458">
          <cell r="A458" t="str">
            <v>SAO CARLOS</v>
          </cell>
          <cell r="B458" t="str">
            <v>OESTE</v>
          </cell>
          <cell r="C458" t="str">
            <v>PADRÃO</v>
          </cell>
          <cell r="D458" t="str">
            <v>Desktop</v>
          </cell>
          <cell r="E458" t="str">
            <v>600M+15GB=R$129,99 - 6 MESES, APÓS R$139,99</v>
          </cell>
          <cell r="F458" t="str">
            <v>Fibra</v>
          </cell>
          <cell r="G458">
            <v>600</v>
          </cell>
          <cell r="H458">
            <v>139.99</v>
          </cell>
          <cell r="I458">
            <v>129.99</v>
          </cell>
          <cell r="J458">
            <v>0</v>
          </cell>
          <cell r="L458">
            <v>3548906</v>
          </cell>
        </row>
        <row r="459">
          <cell r="A459" t="str">
            <v>SAO CARLOS</v>
          </cell>
          <cell r="B459" t="str">
            <v>OESTE</v>
          </cell>
          <cell r="C459" t="str">
            <v>PADRÃO</v>
          </cell>
          <cell r="D459" t="str">
            <v>Algar</v>
          </cell>
          <cell r="E459" t="str">
            <v>800M R$99,90</v>
          </cell>
          <cell r="F459" t="str">
            <v>Fibra</v>
          </cell>
          <cell r="G459">
            <v>800</v>
          </cell>
          <cell r="H459">
            <v>99.9</v>
          </cell>
          <cell r="I459" t="str">
            <v/>
          </cell>
          <cell r="J459">
            <v>0</v>
          </cell>
          <cell r="L459">
            <v>3548906</v>
          </cell>
        </row>
        <row r="460">
          <cell r="A460" t="str">
            <v>SAO CARLOS</v>
          </cell>
          <cell r="B460" t="str">
            <v>OESTE</v>
          </cell>
          <cell r="C460" t="str">
            <v>PADRÃO</v>
          </cell>
          <cell r="D460" t="str">
            <v>ISP LOCAL</v>
          </cell>
          <cell r="E460" t="str">
            <v>ALCANS - 1GB R$109,00</v>
          </cell>
          <cell r="F460" t="str">
            <v>Fibra</v>
          </cell>
          <cell r="G460">
            <v>1000</v>
          </cell>
          <cell r="H460">
            <v>109</v>
          </cell>
          <cell r="I460" t="str">
            <v/>
          </cell>
          <cell r="J460">
            <v>0</v>
          </cell>
          <cell r="L460">
            <v>3548906</v>
          </cell>
        </row>
        <row r="461">
          <cell r="A461" t="str">
            <v>SAO JOAO DA BOA VISTA</v>
          </cell>
          <cell r="B461" t="str">
            <v>SUDESTE</v>
          </cell>
          <cell r="C461" t="str">
            <v>MD 1</v>
          </cell>
          <cell r="D461" t="str">
            <v>Claro</v>
          </cell>
          <cell r="E461" t="str">
            <v>600M+100GB=R$119,90 por 6M, após R$139,90</v>
          </cell>
          <cell r="F461" t="str">
            <v>Fibra</v>
          </cell>
          <cell r="G461">
            <v>600</v>
          </cell>
          <cell r="H461">
            <v>139.9</v>
          </cell>
          <cell r="I461">
            <v>119.9</v>
          </cell>
          <cell r="J461" t="str">
            <v>GLOBOPLAY</v>
          </cell>
          <cell r="L461">
            <v>3549102</v>
          </cell>
        </row>
        <row r="462">
          <cell r="A462" t="str">
            <v>SAO JOAO DA BOA VISTA</v>
          </cell>
          <cell r="B462" t="str">
            <v>SUDESTE</v>
          </cell>
          <cell r="C462" t="str">
            <v>MD 1</v>
          </cell>
          <cell r="D462" t="str">
            <v>Vivo</v>
          </cell>
          <cell r="E462" t="str">
            <v>500M+70GB=R$160,00</v>
          </cell>
          <cell r="F462" t="str">
            <v>Fibra</v>
          </cell>
          <cell r="I462" t="str">
            <v/>
          </cell>
          <cell r="J462">
            <v>0</v>
          </cell>
          <cell r="L462">
            <v>3549102</v>
          </cell>
        </row>
        <row r="463">
          <cell r="A463" t="str">
            <v>SAO JOAO DA BOA VISTA</v>
          </cell>
          <cell r="B463" t="str">
            <v>SUDESTE</v>
          </cell>
          <cell r="C463" t="str">
            <v>MD 1</v>
          </cell>
          <cell r="D463" t="str">
            <v>Alares</v>
          </cell>
          <cell r="E463" t="str">
            <v>1GB + GLOBOPLAY R$99,90</v>
          </cell>
          <cell r="F463" t="str">
            <v>Fibra</v>
          </cell>
          <cell r="G463">
            <v>1000</v>
          </cell>
          <cell r="H463">
            <v>99.9</v>
          </cell>
          <cell r="I463" t="str">
            <v/>
          </cell>
          <cell r="J463" t="str">
            <v>GLOBOPLAY</v>
          </cell>
          <cell r="L463">
            <v>3549102</v>
          </cell>
        </row>
        <row r="464">
          <cell r="A464" t="str">
            <v>SAO JOAO DA BOA VISTA</v>
          </cell>
          <cell r="B464" t="str">
            <v>SUDESTE</v>
          </cell>
          <cell r="C464" t="str">
            <v>MD 1</v>
          </cell>
          <cell r="D464" t="str">
            <v>Vero</v>
          </cell>
          <cell r="E464" t="str">
            <v>850M+60GB=R$149,99 (C/ GLOBOPLAY, HBO, DISNEY+)</v>
          </cell>
          <cell r="F464" t="str">
            <v>Fibra</v>
          </cell>
          <cell r="G464">
            <v>850</v>
          </cell>
          <cell r="H464">
            <v>149.99</v>
          </cell>
          <cell r="I464" t="str">
            <v/>
          </cell>
          <cell r="J464" t="str">
            <v>GLOBOPLAY, HBO, DISNEY+</v>
          </cell>
          <cell r="L464">
            <v>3549102</v>
          </cell>
        </row>
        <row r="465">
          <cell r="A465" t="str">
            <v>SAO JOAO DA BOA VISTA</v>
          </cell>
          <cell r="B465" t="str">
            <v>SUDESTE</v>
          </cell>
          <cell r="C465" t="str">
            <v>MD 1</v>
          </cell>
          <cell r="D465" t="str">
            <v>ISP LOCAL</v>
          </cell>
          <cell r="E465" t="str">
            <v>TELEMÍDIA - 800M R$109,90</v>
          </cell>
          <cell r="F465" t="str">
            <v>Fibra</v>
          </cell>
          <cell r="G465">
            <v>800</v>
          </cell>
          <cell r="H465">
            <v>109.9</v>
          </cell>
          <cell r="I465" t="str">
            <v/>
          </cell>
          <cell r="J465">
            <v>0</v>
          </cell>
          <cell r="L465">
            <v>3549102</v>
          </cell>
        </row>
        <row r="466">
          <cell r="A466" t="str">
            <v>SAO JOAQUIM DA BARRA</v>
          </cell>
          <cell r="B466" t="str">
            <v>NOROESTE</v>
          </cell>
          <cell r="C466" t="str">
            <v>MD 1</v>
          </cell>
          <cell r="D466" t="str">
            <v>Claro</v>
          </cell>
          <cell r="E466" t="str">
            <v>600M+100GB=R$119,90 por 6M, após R$139,90</v>
          </cell>
          <cell r="F466" t="str">
            <v>Fibra</v>
          </cell>
          <cell r="G466">
            <v>600</v>
          </cell>
          <cell r="H466">
            <v>139.9</v>
          </cell>
          <cell r="I466">
            <v>119.9</v>
          </cell>
          <cell r="J466" t="str">
            <v>GLOBOPLAY</v>
          </cell>
          <cell r="L466">
            <v>3549409</v>
          </cell>
        </row>
        <row r="467">
          <cell r="A467" t="str">
            <v>SAO JOAQUIM DA BARRA</v>
          </cell>
          <cell r="B467" t="str">
            <v>NOROESTE</v>
          </cell>
          <cell r="C467" t="str">
            <v>MD 1</v>
          </cell>
          <cell r="D467" t="str">
            <v>Algar</v>
          </cell>
          <cell r="E467" t="str">
            <v>800M R$99,90</v>
          </cell>
          <cell r="F467" t="str">
            <v>Fibra</v>
          </cell>
          <cell r="G467">
            <v>800</v>
          </cell>
          <cell r="H467">
            <v>99.9</v>
          </cell>
          <cell r="I467" t="str">
            <v/>
          </cell>
          <cell r="J467">
            <v>0</v>
          </cell>
          <cell r="L467">
            <v>3549409</v>
          </cell>
        </row>
        <row r="468">
          <cell r="A468" t="str">
            <v>SAO JOAQUIM DA BARRA</v>
          </cell>
          <cell r="B468" t="str">
            <v>NOROESTE</v>
          </cell>
          <cell r="C468" t="str">
            <v>MD 1</v>
          </cell>
          <cell r="D468" t="str">
            <v>ISP LOCAL</v>
          </cell>
          <cell r="E468" t="str">
            <v>ALLOHA - 600M + GLOBOPLAY R$109,99</v>
          </cell>
          <cell r="F468" t="str">
            <v>Fibra</v>
          </cell>
          <cell r="G468">
            <v>600</v>
          </cell>
          <cell r="H468">
            <v>109.99</v>
          </cell>
          <cell r="I468" t="str">
            <v/>
          </cell>
          <cell r="J468" t="str">
            <v>GLOBOPLAY</v>
          </cell>
          <cell r="L468">
            <v>3549409</v>
          </cell>
        </row>
        <row r="469">
          <cell r="A469" t="str">
            <v>SAO JOSE DO RIO PARDO</v>
          </cell>
          <cell r="B469" t="str">
            <v>SUDESTE</v>
          </cell>
          <cell r="C469" t="str">
            <v>MD 2</v>
          </cell>
          <cell r="D469" t="str">
            <v>Claro</v>
          </cell>
          <cell r="E469" t="str">
            <v>600M+100GB=R$109,90 por 6M, após R$139,90</v>
          </cell>
          <cell r="F469" t="str">
            <v>Fibra</v>
          </cell>
          <cell r="G469">
            <v>600</v>
          </cell>
          <cell r="H469">
            <v>139.9</v>
          </cell>
          <cell r="I469">
            <v>109.9</v>
          </cell>
          <cell r="J469" t="str">
            <v>GLOBOPLAY</v>
          </cell>
          <cell r="L469">
            <v>3549706</v>
          </cell>
        </row>
        <row r="470">
          <cell r="A470" t="str">
            <v>SAO JOSE DO RIO PARDO</v>
          </cell>
          <cell r="B470" t="str">
            <v>SUDESTE</v>
          </cell>
          <cell r="C470" t="str">
            <v>MD 2</v>
          </cell>
          <cell r="D470" t="str">
            <v>Vivo</v>
          </cell>
          <cell r="E470" t="str">
            <v>500M+70GB=R$160,00</v>
          </cell>
          <cell r="F470" t="str">
            <v>Fibra</v>
          </cell>
          <cell r="I470" t="str">
            <v/>
          </cell>
          <cell r="J470">
            <v>0</v>
          </cell>
          <cell r="L470">
            <v>3549706</v>
          </cell>
        </row>
        <row r="471">
          <cell r="A471" t="str">
            <v>SAO JOSE DO RIO PARDO</v>
          </cell>
          <cell r="B471" t="str">
            <v>SUDESTE</v>
          </cell>
          <cell r="C471" t="str">
            <v>MD 2</v>
          </cell>
          <cell r="D471" t="str">
            <v>Alares</v>
          </cell>
          <cell r="E471" t="str">
            <v>1GB + GLOBOPLAY R$99,90</v>
          </cell>
          <cell r="F471" t="str">
            <v>Fibra</v>
          </cell>
          <cell r="G471">
            <v>1000</v>
          </cell>
          <cell r="H471">
            <v>99.9</v>
          </cell>
          <cell r="I471" t="str">
            <v/>
          </cell>
          <cell r="J471" t="str">
            <v>GLOBOPLAY</v>
          </cell>
          <cell r="L471">
            <v>3549706</v>
          </cell>
        </row>
        <row r="472">
          <cell r="A472" t="str">
            <v>SAO JOSE DO RIO PARDO</v>
          </cell>
          <cell r="B472" t="str">
            <v>SUDESTE</v>
          </cell>
          <cell r="C472" t="str">
            <v>MD 2</v>
          </cell>
          <cell r="D472" t="str">
            <v>ISP LOCAL</v>
          </cell>
          <cell r="E472" t="str">
            <v>NUVYON - 500M R$99,90</v>
          </cell>
          <cell r="F472" t="str">
            <v>Fibra</v>
          </cell>
          <cell r="G472">
            <v>500</v>
          </cell>
          <cell r="H472">
            <v>99.9</v>
          </cell>
          <cell r="I472" t="str">
            <v/>
          </cell>
          <cell r="J472">
            <v>0</v>
          </cell>
          <cell r="L472">
            <v>3549706</v>
          </cell>
        </row>
        <row r="473">
          <cell r="A473" t="str">
            <v>SAO JOSE DO RIO PRETO</v>
          </cell>
          <cell r="B473" t="str">
            <v>OESTE</v>
          </cell>
          <cell r="C473" t="str">
            <v>RUBI</v>
          </cell>
          <cell r="D473" t="str">
            <v>Claro</v>
          </cell>
          <cell r="E473" t="str">
            <v>1GB+100GB = R$99,90</v>
          </cell>
          <cell r="F473" t="str">
            <v>Fibra</v>
          </cell>
          <cell r="G473">
            <v>1000</v>
          </cell>
          <cell r="H473">
            <v>99.9</v>
          </cell>
          <cell r="I473" t="str">
            <v/>
          </cell>
          <cell r="J473" t="str">
            <v>GLOBOPLAY</v>
          </cell>
          <cell r="L473">
            <v>3549805</v>
          </cell>
        </row>
        <row r="474">
          <cell r="A474" t="str">
            <v>SAO JOSE DO RIO PRETO</v>
          </cell>
          <cell r="B474" t="str">
            <v>OESTE</v>
          </cell>
          <cell r="C474" t="str">
            <v>RUBI</v>
          </cell>
          <cell r="D474" t="str">
            <v>Vivo</v>
          </cell>
          <cell r="E474" t="str">
            <v>500M+70GB=R$160,00</v>
          </cell>
          <cell r="F474" t="str">
            <v>Fibra</v>
          </cell>
          <cell r="I474" t="str">
            <v/>
          </cell>
          <cell r="J474">
            <v>0</v>
          </cell>
          <cell r="L474">
            <v>3549805</v>
          </cell>
        </row>
        <row r="475">
          <cell r="A475" t="str">
            <v>SAO JOSE DO RIO PRETO</v>
          </cell>
          <cell r="B475" t="str">
            <v>OESTE</v>
          </cell>
          <cell r="C475" t="str">
            <v>RUBI</v>
          </cell>
          <cell r="D475" t="str">
            <v>Desktop</v>
          </cell>
          <cell r="E475" t="str">
            <v>600M=R$49,99 por 2M, após R$89,99</v>
          </cell>
          <cell r="F475" t="str">
            <v>Fibra</v>
          </cell>
          <cell r="G475">
            <v>600</v>
          </cell>
          <cell r="H475">
            <v>89.99</v>
          </cell>
          <cell r="I475">
            <v>49.99</v>
          </cell>
          <cell r="J475">
            <v>0</v>
          </cell>
          <cell r="L475">
            <v>3549805</v>
          </cell>
        </row>
        <row r="476">
          <cell r="A476" t="str">
            <v>SAO JOSE DO RIO PRETO</v>
          </cell>
          <cell r="B476" t="str">
            <v>OESTE</v>
          </cell>
          <cell r="C476" t="str">
            <v>RUBI</v>
          </cell>
          <cell r="D476" t="str">
            <v>Vero</v>
          </cell>
          <cell r="E476" t="str">
            <v>850M+60GB=R$149,99 (C/ GLOBOPLAY, HBO, DISNEY+)</v>
          </cell>
          <cell r="F476" t="str">
            <v>Fibra</v>
          </cell>
          <cell r="G476">
            <v>850</v>
          </cell>
          <cell r="H476">
            <v>149.99</v>
          </cell>
          <cell r="I476" t="str">
            <v/>
          </cell>
          <cell r="J476" t="str">
            <v>GLOBOPLAY, HBO, DISNEY+</v>
          </cell>
          <cell r="L476">
            <v>3549805</v>
          </cell>
        </row>
        <row r="477">
          <cell r="A477" t="str">
            <v>SAO JOSE DO RIO PRETO</v>
          </cell>
          <cell r="B477" t="str">
            <v>OESTE</v>
          </cell>
          <cell r="C477" t="str">
            <v>RUBI</v>
          </cell>
          <cell r="D477" t="str">
            <v>Algar</v>
          </cell>
          <cell r="E477" t="str">
            <v>800M R$99,90</v>
          </cell>
          <cell r="F477" t="str">
            <v>Fibra</v>
          </cell>
          <cell r="G477">
            <v>800</v>
          </cell>
          <cell r="H477">
            <v>99.9</v>
          </cell>
          <cell r="I477" t="str">
            <v/>
          </cell>
          <cell r="J477">
            <v>0</v>
          </cell>
          <cell r="L477">
            <v>3549805</v>
          </cell>
        </row>
        <row r="478">
          <cell r="A478" t="str">
            <v>SAO JOSE DO RIO PRETO</v>
          </cell>
          <cell r="B478" t="str">
            <v>OESTE</v>
          </cell>
          <cell r="C478" t="str">
            <v>RUBI</v>
          </cell>
          <cell r="D478" t="str">
            <v>Weclix</v>
          </cell>
          <cell r="E478" t="str">
            <v>1GB R$59,90 - 1ª MENSALIDADE, APÓS R$99,90</v>
          </cell>
          <cell r="F478" t="str">
            <v>Fibra</v>
          </cell>
          <cell r="G478">
            <v>1000</v>
          </cell>
          <cell r="H478">
            <v>99.9</v>
          </cell>
          <cell r="I478">
            <v>59.9</v>
          </cell>
          <cell r="J478">
            <v>0</v>
          </cell>
          <cell r="L478">
            <v>3549805</v>
          </cell>
        </row>
        <row r="479">
          <cell r="A479" t="str">
            <v>SAO JOSE DO RIO PRETO</v>
          </cell>
          <cell r="B479" t="str">
            <v>OESTE</v>
          </cell>
          <cell r="C479" t="str">
            <v>RUBI</v>
          </cell>
          <cell r="D479" t="str">
            <v>ISP LOCAL</v>
          </cell>
          <cell r="E479" t="str">
            <v>N4 TELECOM - 600M R$149,90</v>
          </cell>
          <cell r="F479" t="str">
            <v>Fibra</v>
          </cell>
          <cell r="G479">
            <v>600</v>
          </cell>
          <cell r="H479">
            <v>149.9</v>
          </cell>
          <cell r="I479" t="str">
            <v/>
          </cell>
          <cell r="J479">
            <v>0</v>
          </cell>
          <cell r="L479">
            <v>3549805</v>
          </cell>
        </row>
        <row r="480">
          <cell r="A480" t="str">
            <v>SAO JOSE DOS CAMPOS</v>
          </cell>
          <cell r="B480" t="str">
            <v>LITORAL</v>
          </cell>
          <cell r="C480" t="str">
            <v>RUBI</v>
          </cell>
          <cell r="D480" t="str">
            <v>Claro</v>
          </cell>
          <cell r="E480" t="str">
            <v>1GB+100GB = R$99,90</v>
          </cell>
          <cell r="F480" t="str">
            <v>Fibra</v>
          </cell>
          <cell r="G480">
            <v>1000</v>
          </cell>
          <cell r="H480">
            <v>99.9</v>
          </cell>
          <cell r="I480" t="str">
            <v/>
          </cell>
          <cell r="J480" t="str">
            <v>GLOBOPLAY</v>
          </cell>
          <cell r="L480">
            <v>3549904</v>
          </cell>
        </row>
        <row r="481">
          <cell r="A481" t="str">
            <v>SAO JOSE DOS CAMPOS</v>
          </cell>
          <cell r="B481" t="str">
            <v>LITORAL</v>
          </cell>
          <cell r="C481" t="str">
            <v>RUBI</v>
          </cell>
          <cell r="D481" t="str">
            <v>Vivo</v>
          </cell>
          <cell r="E481" t="str">
            <v>500M+70GB=R$160,00</v>
          </cell>
          <cell r="F481" t="str">
            <v>Fibra</v>
          </cell>
          <cell r="I481" t="str">
            <v/>
          </cell>
          <cell r="J481">
            <v>0</v>
          </cell>
          <cell r="L481">
            <v>3549904</v>
          </cell>
        </row>
        <row r="482">
          <cell r="A482" t="str">
            <v>SAO JOSE DOS CAMPOS</v>
          </cell>
          <cell r="B482" t="str">
            <v>LITORAL</v>
          </cell>
          <cell r="C482" t="str">
            <v>RUBI</v>
          </cell>
          <cell r="D482" t="str">
            <v>Desktop</v>
          </cell>
          <cell r="E482" t="str">
            <v>600M+15GB=R$129,99 - 6 MESES, APÓS R$139,99</v>
          </cell>
          <cell r="F482" t="str">
            <v>Fibra</v>
          </cell>
          <cell r="G482">
            <v>600</v>
          </cell>
          <cell r="H482">
            <v>139.99</v>
          </cell>
          <cell r="I482">
            <v>129.99</v>
          </cell>
          <cell r="J482">
            <v>0</v>
          </cell>
          <cell r="L482">
            <v>3549904</v>
          </cell>
        </row>
        <row r="483">
          <cell r="A483" t="str">
            <v>SAO JOSE DOS CAMPOS</v>
          </cell>
          <cell r="B483" t="str">
            <v>LITORAL</v>
          </cell>
          <cell r="C483" t="str">
            <v>RUBI</v>
          </cell>
          <cell r="D483" t="str">
            <v>Vero</v>
          </cell>
          <cell r="E483" t="str">
            <v>850M+60GB=R$149,99 (C/ GLOBOPLAY, HBO, DISNEY+)</v>
          </cell>
          <cell r="F483" t="str">
            <v>Fibra</v>
          </cell>
          <cell r="G483">
            <v>850</v>
          </cell>
          <cell r="H483">
            <v>149.99</v>
          </cell>
          <cell r="I483" t="str">
            <v/>
          </cell>
          <cell r="J483" t="str">
            <v>GLOBOPLAY, HBO, DISNEY+</v>
          </cell>
          <cell r="L483">
            <v>3549904</v>
          </cell>
        </row>
        <row r="484">
          <cell r="A484" t="str">
            <v>SAO JOSE DOS CAMPOS</v>
          </cell>
          <cell r="B484" t="str">
            <v>LITORAL</v>
          </cell>
          <cell r="C484" t="str">
            <v>RUBI</v>
          </cell>
          <cell r="D484" t="str">
            <v>ISP LOCAL</v>
          </cell>
          <cell r="E484" t="str">
            <v>NIPBR - 600M R$119,99</v>
          </cell>
          <cell r="F484" t="str">
            <v>Fibra</v>
          </cell>
          <cell r="G484">
            <v>600</v>
          </cell>
          <cell r="H484">
            <v>119.99</v>
          </cell>
          <cell r="I484" t="str">
            <v/>
          </cell>
          <cell r="J484">
            <v>0</v>
          </cell>
          <cell r="L484">
            <v>3549904</v>
          </cell>
        </row>
        <row r="485">
          <cell r="A485" t="str">
            <v>SAO SEBASTIAO</v>
          </cell>
          <cell r="B485" t="str">
            <v>LITORAL</v>
          </cell>
          <cell r="C485" t="str">
            <v>ESPECIAL</v>
          </cell>
          <cell r="D485" t="str">
            <v>Claro</v>
          </cell>
          <cell r="E485" t="str">
            <v>600M+100GB=R$119,90 por 3M, após R$159,90</v>
          </cell>
          <cell r="F485" t="str">
            <v>Fibra</v>
          </cell>
          <cell r="G485">
            <v>600</v>
          </cell>
          <cell r="H485">
            <v>159.9</v>
          </cell>
          <cell r="I485">
            <v>119.9</v>
          </cell>
          <cell r="J485" t="str">
            <v>GLOBOPLAY</v>
          </cell>
          <cell r="L485">
            <v>3550704</v>
          </cell>
        </row>
        <row r="486">
          <cell r="A486" t="str">
            <v>SAO SEBASTIAO</v>
          </cell>
          <cell r="B486" t="str">
            <v>LITORAL</v>
          </cell>
          <cell r="C486" t="str">
            <v>ESPECIAL</v>
          </cell>
          <cell r="D486" t="str">
            <v>Vivo</v>
          </cell>
          <cell r="E486" t="str">
            <v>500M+70GB=R$160,00</v>
          </cell>
          <cell r="F486" t="str">
            <v>Fibra</v>
          </cell>
          <cell r="I486" t="str">
            <v/>
          </cell>
          <cell r="J486">
            <v>0</v>
          </cell>
          <cell r="L486">
            <v>3550704</v>
          </cell>
        </row>
        <row r="487">
          <cell r="A487" t="str">
            <v>SAO SEBASTIAO</v>
          </cell>
          <cell r="B487" t="str">
            <v>LITORAL</v>
          </cell>
          <cell r="C487" t="str">
            <v>ESPECIAL</v>
          </cell>
          <cell r="D487" t="str">
            <v>ISP LOCAL</v>
          </cell>
          <cell r="E487" t="str">
            <v>ALLOHA - 600M + GLOBOPLAY R$109,99</v>
          </cell>
          <cell r="F487" t="str">
            <v>Fibra</v>
          </cell>
          <cell r="G487">
            <v>600</v>
          </cell>
          <cell r="H487">
            <v>109.99</v>
          </cell>
          <cell r="I487" t="str">
            <v/>
          </cell>
          <cell r="J487" t="str">
            <v>GLOBOPLAY</v>
          </cell>
          <cell r="L487">
            <v>3550704</v>
          </cell>
        </row>
        <row r="488">
          <cell r="A488" t="str">
            <v>SAO VICENTE</v>
          </cell>
          <cell r="B488" t="str">
            <v>LITORAL</v>
          </cell>
          <cell r="C488" t="str">
            <v>PADRÃO</v>
          </cell>
          <cell r="D488" t="str">
            <v>Claro</v>
          </cell>
          <cell r="E488" t="str">
            <v>600M+100GB=R$159,90</v>
          </cell>
          <cell r="F488" t="str">
            <v>Fibra</v>
          </cell>
          <cell r="G488">
            <v>600</v>
          </cell>
          <cell r="H488">
            <v>159.9</v>
          </cell>
          <cell r="I488" t="str">
            <v/>
          </cell>
          <cell r="J488" t="str">
            <v>GLOBOPLAY</v>
          </cell>
          <cell r="L488">
            <v>3551009</v>
          </cell>
        </row>
        <row r="489">
          <cell r="A489" t="str">
            <v>SAO VICENTE</v>
          </cell>
          <cell r="B489" t="str">
            <v>LITORAL</v>
          </cell>
          <cell r="C489" t="str">
            <v>PADRÃO</v>
          </cell>
          <cell r="D489" t="str">
            <v>Vivo</v>
          </cell>
          <cell r="E489" t="str">
            <v>500M+70GB=R$160,00</v>
          </cell>
          <cell r="F489" t="str">
            <v>Fibra</v>
          </cell>
          <cell r="I489" t="str">
            <v/>
          </cell>
          <cell r="J489">
            <v>0</v>
          </cell>
          <cell r="L489">
            <v>3551009</v>
          </cell>
        </row>
        <row r="490">
          <cell r="A490" t="str">
            <v>SAO VICENTE</v>
          </cell>
          <cell r="B490" t="str">
            <v>LITORAL</v>
          </cell>
          <cell r="C490" t="str">
            <v>PADRÃO</v>
          </cell>
          <cell r="D490" t="str">
            <v>Desktop</v>
          </cell>
          <cell r="E490" t="str">
            <v>600M+15GB=R$129,99 - 6 MESES, APÓS R$139,99</v>
          </cell>
          <cell r="F490" t="str">
            <v>Fibra</v>
          </cell>
          <cell r="G490">
            <v>600</v>
          </cell>
          <cell r="H490">
            <v>139.99</v>
          </cell>
          <cell r="I490">
            <v>129.99</v>
          </cell>
          <cell r="J490">
            <v>0</v>
          </cell>
          <cell r="L490">
            <v>3551009</v>
          </cell>
        </row>
        <row r="491">
          <cell r="A491" t="str">
            <v>SAO VICENTE</v>
          </cell>
          <cell r="B491" t="str">
            <v>LITORAL</v>
          </cell>
          <cell r="C491" t="str">
            <v>PADRÃO</v>
          </cell>
          <cell r="D491" t="str">
            <v>ISP LOCAL</v>
          </cell>
          <cell r="E491" t="str">
            <v>ALLOHA - 600M + GLOBOPLAY R$109,99</v>
          </cell>
          <cell r="F491" t="str">
            <v>Fibra</v>
          </cell>
          <cell r="G491">
            <v>600</v>
          </cell>
          <cell r="H491">
            <v>109.99</v>
          </cell>
          <cell r="I491" t="str">
            <v/>
          </cell>
          <cell r="J491" t="str">
            <v>GLOBOPLAY</v>
          </cell>
          <cell r="L491">
            <v>3551009</v>
          </cell>
        </row>
        <row r="492">
          <cell r="A492" t="str">
            <v>SERRA NEGRA</v>
          </cell>
          <cell r="B492" t="str">
            <v>SUDESTE</v>
          </cell>
          <cell r="C492" t="str">
            <v>MD 2</v>
          </cell>
          <cell r="D492" t="str">
            <v>Claro</v>
          </cell>
          <cell r="E492" t="str">
            <v>600M+100GB=R$109,90 por 6M, após R$139,90</v>
          </cell>
          <cell r="F492" t="str">
            <v>Fibra</v>
          </cell>
          <cell r="G492">
            <v>600</v>
          </cell>
          <cell r="H492">
            <v>139.9</v>
          </cell>
          <cell r="I492">
            <v>109.9</v>
          </cell>
          <cell r="J492" t="str">
            <v>GLOBOPLAY</v>
          </cell>
          <cell r="L492">
            <v>3551603</v>
          </cell>
        </row>
        <row r="493">
          <cell r="A493" t="str">
            <v>SERRA NEGRA</v>
          </cell>
          <cell r="B493" t="str">
            <v>SUDESTE</v>
          </cell>
          <cell r="C493" t="str">
            <v>MD 2</v>
          </cell>
          <cell r="D493" t="str">
            <v>Vivo</v>
          </cell>
          <cell r="E493" t="str">
            <v>500M+70GB=R$160,00</v>
          </cell>
          <cell r="F493" t="str">
            <v>Fibra</v>
          </cell>
          <cell r="I493" t="str">
            <v/>
          </cell>
          <cell r="J493">
            <v>0</v>
          </cell>
          <cell r="L493">
            <v>3551603</v>
          </cell>
        </row>
        <row r="494">
          <cell r="A494" t="str">
            <v>SERRA NEGRA</v>
          </cell>
          <cell r="B494" t="str">
            <v>SUDESTE</v>
          </cell>
          <cell r="C494" t="str">
            <v>MD 2</v>
          </cell>
          <cell r="D494" t="str">
            <v>ISP LOCAL</v>
          </cell>
          <cell r="E494" t="str">
            <v>TELESON - 500M R$159,90</v>
          </cell>
          <cell r="F494" t="str">
            <v>Fibra</v>
          </cell>
          <cell r="G494">
            <v>500</v>
          </cell>
          <cell r="H494">
            <v>159.9</v>
          </cell>
          <cell r="I494" t="str">
            <v/>
          </cell>
          <cell r="J494">
            <v>0</v>
          </cell>
          <cell r="L494">
            <v>3551603</v>
          </cell>
        </row>
        <row r="495">
          <cell r="A495" t="str">
            <v>SERRANA</v>
          </cell>
          <cell r="B495" t="str">
            <v>NOROESTE</v>
          </cell>
          <cell r="C495" t="str">
            <v>MD 1</v>
          </cell>
          <cell r="D495" t="str">
            <v>Claro</v>
          </cell>
          <cell r="E495" t="str">
            <v>600M+100GB=R$119,90 por 6M, após R$139,90</v>
          </cell>
          <cell r="F495" t="str">
            <v>Fibra</v>
          </cell>
          <cell r="G495">
            <v>600</v>
          </cell>
          <cell r="H495">
            <v>139.9</v>
          </cell>
          <cell r="I495">
            <v>119.9</v>
          </cell>
          <cell r="J495" t="str">
            <v>GLOBOPLAY</v>
          </cell>
          <cell r="L495">
            <v>3551504</v>
          </cell>
        </row>
        <row r="496">
          <cell r="A496" t="str">
            <v>SERRANA</v>
          </cell>
          <cell r="B496" t="str">
            <v>NOROESTE</v>
          </cell>
          <cell r="C496" t="str">
            <v>MD 1</v>
          </cell>
          <cell r="D496" t="str">
            <v>ISP LOCAL</v>
          </cell>
          <cell r="E496" t="str">
            <v>ALCANS - 1GB R$109,00</v>
          </cell>
          <cell r="F496" t="str">
            <v>Fibra</v>
          </cell>
          <cell r="G496">
            <v>1000</v>
          </cell>
          <cell r="H496">
            <v>109</v>
          </cell>
          <cell r="I496" t="str">
            <v/>
          </cell>
          <cell r="J496">
            <v>0</v>
          </cell>
          <cell r="L496">
            <v>3551504</v>
          </cell>
        </row>
        <row r="497">
          <cell r="A497" t="str">
            <v>SERTAOZINHO</v>
          </cell>
          <cell r="B497" t="str">
            <v>OESTE</v>
          </cell>
          <cell r="C497" t="str">
            <v>PADRÃO</v>
          </cell>
          <cell r="D497" t="str">
            <v>Claro</v>
          </cell>
          <cell r="E497" t="str">
            <v>600M+100GB=R$159,90</v>
          </cell>
          <cell r="F497" t="str">
            <v>Fibra</v>
          </cell>
          <cell r="G497">
            <v>600</v>
          </cell>
          <cell r="H497">
            <v>159.9</v>
          </cell>
          <cell r="I497" t="str">
            <v/>
          </cell>
          <cell r="J497" t="str">
            <v>GLOBOPLAY</v>
          </cell>
          <cell r="L497">
            <v>3551702</v>
          </cell>
        </row>
        <row r="498">
          <cell r="A498" t="str">
            <v>SERTAOZINHO</v>
          </cell>
          <cell r="B498" t="str">
            <v>OESTE</v>
          </cell>
          <cell r="C498" t="str">
            <v>PADRÃO</v>
          </cell>
          <cell r="D498" t="str">
            <v>Vivo</v>
          </cell>
          <cell r="E498" t="str">
            <v>500M+70GB=R$160,00</v>
          </cell>
          <cell r="F498" t="str">
            <v>Fibra</v>
          </cell>
          <cell r="I498" t="str">
            <v/>
          </cell>
          <cell r="J498">
            <v>0</v>
          </cell>
          <cell r="L498">
            <v>3551702</v>
          </cell>
        </row>
        <row r="499">
          <cell r="A499" t="str">
            <v>SERTAOZINHO</v>
          </cell>
          <cell r="B499" t="str">
            <v>OESTE</v>
          </cell>
          <cell r="C499" t="str">
            <v>PADRÃO</v>
          </cell>
          <cell r="D499" t="str">
            <v>Weclix</v>
          </cell>
          <cell r="E499" t="str">
            <v>1GB R$59,90 - 1ª MENSALIDADE, APÓS R$99,90</v>
          </cell>
          <cell r="F499" t="str">
            <v>Fibra</v>
          </cell>
          <cell r="G499">
            <v>1000</v>
          </cell>
          <cell r="H499">
            <v>99.9</v>
          </cell>
          <cell r="I499">
            <v>59.9</v>
          </cell>
          <cell r="J499">
            <v>0</v>
          </cell>
          <cell r="L499">
            <v>3551702</v>
          </cell>
        </row>
        <row r="500">
          <cell r="A500" t="str">
            <v>SERTAOZINHO</v>
          </cell>
          <cell r="B500" t="str">
            <v>OESTE</v>
          </cell>
          <cell r="C500" t="str">
            <v>PADRÃO</v>
          </cell>
          <cell r="D500" t="str">
            <v>ISP LOCAL</v>
          </cell>
          <cell r="E500" t="str">
            <v>NIC NET - 800M R$59,90 - 3 MESES, APÓS R$99,90</v>
          </cell>
          <cell r="F500" t="str">
            <v>Fibra</v>
          </cell>
          <cell r="G500">
            <v>800</v>
          </cell>
          <cell r="H500">
            <v>99.9</v>
          </cell>
          <cell r="I500">
            <v>59.9</v>
          </cell>
          <cell r="J500">
            <v>0</v>
          </cell>
          <cell r="L500">
            <v>3551702</v>
          </cell>
        </row>
        <row r="501">
          <cell r="A501" t="str">
            <v>SOROCABA</v>
          </cell>
          <cell r="B501" t="str">
            <v>OESTE</v>
          </cell>
          <cell r="C501" t="str">
            <v>PADRÃO</v>
          </cell>
          <cell r="D501" t="str">
            <v>Claro</v>
          </cell>
          <cell r="E501" t="str">
            <v>600M+100GB=R$159,90</v>
          </cell>
          <cell r="F501" t="str">
            <v>Fibra</v>
          </cell>
          <cell r="G501">
            <v>600</v>
          </cell>
          <cell r="H501">
            <v>159.9</v>
          </cell>
          <cell r="I501" t="str">
            <v/>
          </cell>
          <cell r="J501" t="str">
            <v>GLOBOPLAY</v>
          </cell>
          <cell r="L501">
            <v>3552205</v>
          </cell>
        </row>
        <row r="502">
          <cell r="A502" t="str">
            <v>SOROCABA</v>
          </cell>
          <cell r="B502" t="str">
            <v>OESTE</v>
          </cell>
          <cell r="C502" t="str">
            <v>PADRÃO</v>
          </cell>
          <cell r="D502" t="str">
            <v>Vivo</v>
          </cell>
          <cell r="E502" t="str">
            <v>500M+70GB=R$160,00</v>
          </cell>
          <cell r="F502" t="str">
            <v>Fibra</v>
          </cell>
          <cell r="I502" t="str">
            <v/>
          </cell>
          <cell r="J502">
            <v>0</v>
          </cell>
          <cell r="L502">
            <v>3552205</v>
          </cell>
        </row>
        <row r="503">
          <cell r="A503" t="str">
            <v>SOROCABA</v>
          </cell>
          <cell r="B503" t="str">
            <v>OESTE</v>
          </cell>
          <cell r="C503" t="str">
            <v>PADRÃO</v>
          </cell>
          <cell r="D503" t="str">
            <v>Desktop</v>
          </cell>
          <cell r="E503" t="str">
            <v>600M+15GB=R$129,99 - 6 MESES, APÓS R$139,99</v>
          </cell>
          <cell r="F503" t="str">
            <v>Fibra</v>
          </cell>
          <cell r="G503">
            <v>600</v>
          </cell>
          <cell r="H503">
            <v>139.99</v>
          </cell>
          <cell r="I503">
            <v>129.99</v>
          </cell>
          <cell r="J503">
            <v>0</v>
          </cell>
          <cell r="L503">
            <v>3552205</v>
          </cell>
        </row>
        <row r="504">
          <cell r="A504" t="str">
            <v>SOROCABA</v>
          </cell>
          <cell r="B504" t="str">
            <v>OESTE</v>
          </cell>
          <cell r="C504" t="str">
            <v>PADRÃO</v>
          </cell>
          <cell r="D504" t="str">
            <v>Alares</v>
          </cell>
          <cell r="E504" t="str">
            <v>1GB + GLOBOPLAY R$99,90</v>
          </cell>
          <cell r="F504" t="str">
            <v>Fibra</v>
          </cell>
          <cell r="G504">
            <v>1000</v>
          </cell>
          <cell r="H504">
            <v>99.9</v>
          </cell>
          <cell r="I504" t="str">
            <v/>
          </cell>
          <cell r="J504" t="str">
            <v>GLOBOPLAY</v>
          </cell>
          <cell r="L504">
            <v>3552205</v>
          </cell>
        </row>
        <row r="505">
          <cell r="A505" t="str">
            <v>SOROCABA</v>
          </cell>
          <cell r="B505" t="str">
            <v>OESTE</v>
          </cell>
          <cell r="C505" t="str">
            <v>PADRÃO</v>
          </cell>
          <cell r="D505" t="str">
            <v>Vero</v>
          </cell>
          <cell r="E505" t="str">
            <v>850M+60GB=R$149,99 (C/ GLOBOPLAY, HBO, DISNEY+)</v>
          </cell>
          <cell r="F505" t="str">
            <v>Fibra</v>
          </cell>
          <cell r="G505">
            <v>850</v>
          </cell>
          <cell r="H505">
            <v>149.99</v>
          </cell>
          <cell r="I505" t="str">
            <v/>
          </cell>
          <cell r="J505" t="str">
            <v>GLOBOPLAY, HBO, DISNEY+</v>
          </cell>
          <cell r="L505">
            <v>3552205</v>
          </cell>
        </row>
        <row r="506">
          <cell r="A506" t="str">
            <v>SOROCABA</v>
          </cell>
          <cell r="B506" t="str">
            <v>OESTE</v>
          </cell>
          <cell r="C506" t="str">
            <v>PADRÃO</v>
          </cell>
          <cell r="D506" t="str">
            <v>Algar</v>
          </cell>
          <cell r="E506" t="str">
            <v>800M R$99,90</v>
          </cell>
          <cell r="F506" t="str">
            <v>Fibra</v>
          </cell>
          <cell r="G506">
            <v>800</v>
          </cell>
          <cell r="H506">
            <v>99.9</v>
          </cell>
          <cell r="I506" t="str">
            <v/>
          </cell>
          <cell r="J506">
            <v>0</v>
          </cell>
          <cell r="L506">
            <v>3552205</v>
          </cell>
        </row>
        <row r="507">
          <cell r="A507" t="str">
            <v>SOROCABA</v>
          </cell>
          <cell r="B507" t="str">
            <v>OESTE</v>
          </cell>
          <cell r="C507" t="str">
            <v>PADRÃO</v>
          </cell>
          <cell r="D507" t="str">
            <v>ISP LOCAL</v>
          </cell>
          <cell r="E507" t="str">
            <v>POXNET - 500M R$99,90</v>
          </cell>
          <cell r="F507" t="str">
            <v>Fibra</v>
          </cell>
          <cell r="G507">
            <v>500</v>
          </cell>
          <cell r="H507">
            <v>99.9</v>
          </cell>
          <cell r="I507" t="str">
            <v/>
          </cell>
          <cell r="J507">
            <v>0</v>
          </cell>
          <cell r="L507">
            <v>3552205</v>
          </cell>
        </row>
        <row r="508">
          <cell r="A508" t="str">
            <v>SUMARE</v>
          </cell>
          <cell r="B508" t="str">
            <v>CENTRAL</v>
          </cell>
          <cell r="C508" t="str">
            <v>ESPECIAL</v>
          </cell>
          <cell r="D508" t="str">
            <v>Claro</v>
          </cell>
          <cell r="E508" t="str">
            <v>600M+100GB=R$119,90 por 3M, após R$159,90</v>
          </cell>
          <cell r="F508" t="str">
            <v>Fibra</v>
          </cell>
          <cell r="G508">
            <v>600</v>
          </cell>
          <cell r="H508">
            <v>159.9</v>
          </cell>
          <cell r="I508">
            <v>119.9</v>
          </cell>
          <cell r="J508" t="str">
            <v>GLOBOPLAY</v>
          </cell>
          <cell r="L508">
            <v>3552403</v>
          </cell>
        </row>
        <row r="509">
          <cell r="A509" t="str">
            <v>SUMARE</v>
          </cell>
          <cell r="B509" t="str">
            <v>CENTRAL</v>
          </cell>
          <cell r="C509" t="str">
            <v>ESPECIAL</v>
          </cell>
          <cell r="D509" t="str">
            <v>Vivo</v>
          </cell>
          <cell r="E509" t="str">
            <v>500M+70GB=R$160,00</v>
          </cell>
          <cell r="F509" t="str">
            <v>Fibra</v>
          </cell>
          <cell r="I509" t="str">
            <v/>
          </cell>
          <cell r="J509">
            <v>0</v>
          </cell>
          <cell r="L509">
            <v>3552403</v>
          </cell>
        </row>
        <row r="510">
          <cell r="A510" t="str">
            <v>SUMARE</v>
          </cell>
          <cell r="B510" t="str">
            <v>CENTRAL</v>
          </cell>
          <cell r="C510" t="str">
            <v>ESPECIAL</v>
          </cell>
          <cell r="D510" t="str">
            <v>Desktop</v>
          </cell>
          <cell r="E510" t="str">
            <v>600M+15GB=R$129,99 - 6 MESES, APÓS R$139,99</v>
          </cell>
          <cell r="F510" t="str">
            <v>Fibra</v>
          </cell>
          <cell r="G510">
            <v>600</v>
          </cell>
          <cell r="H510">
            <v>139.99</v>
          </cell>
          <cell r="I510">
            <v>129.99</v>
          </cell>
          <cell r="J510">
            <v>0</v>
          </cell>
          <cell r="L510">
            <v>3552403</v>
          </cell>
        </row>
        <row r="511">
          <cell r="A511" t="str">
            <v>SUMARE</v>
          </cell>
          <cell r="B511" t="str">
            <v>CENTRAL</v>
          </cell>
          <cell r="C511" t="str">
            <v>ESPECIAL</v>
          </cell>
          <cell r="D511" t="str">
            <v>ISP LOCAL</v>
          </cell>
          <cell r="E511" t="str">
            <v>FIBRA LÉDER - 500M R$99,90</v>
          </cell>
          <cell r="F511" t="str">
            <v>Fibra</v>
          </cell>
          <cell r="G511">
            <v>500</v>
          </cell>
          <cell r="H511">
            <v>99.9</v>
          </cell>
          <cell r="I511" t="str">
            <v/>
          </cell>
          <cell r="J511">
            <v>0</v>
          </cell>
          <cell r="L511">
            <v>3552403</v>
          </cell>
        </row>
        <row r="512">
          <cell r="A512" t="str">
            <v>TAMBAU</v>
          </cell>
          <cell r="B512" t="str">
            <v>SUDESTE</v>
          </cell>
          <cell r="C512" t="str">
            <v>MD 2</v>
          </cell>
          <cell r="D512" t="str">
            <v>Claro</v>
          </cell>
          <cell r="E512" t="str">
            <v>600M+100GB=R$109,90 por 6M, após R$139,90</v>
          </cell>
          <cell r="F512" t="str">
            <v>Fibra</v>
          </cell>
          <cell r="G512">
            <v>600</v>
          </cell>
          <cell r="H512">
            <v>139.9</v>
          </cell>
          <cell r="I512">
            <v>109.9</v>
          </cell>
          <cell r="J512" t="str">
            <v>GLOBOPLAY</v>
          </cell>
          <cell r="L512">
            <v>3553302</v>
          </cell>
        </row>
        <row r="513">
          <cell r="A513" t="str">
            <v>TAMBAU</v>
          </cell>
          <cell r="B513" t="str">
            <v>SUDESTE</v>
          </cell>
          <cell r="C513" t="str">
            <v>MD 2</v>
          </cell>
          <cell r="D513" t="str">
            <v>Desktop</v>
          </cell>
          <cell r="E513" t="str">
            <v>600M=R$49,99 por 2M, após R$89,99</v>
          </cell>
          <cell r="F513" t="str">
            <v>Fibra</v>
          </cell>
          <cell r="G513">
            <v>600</v>
          </cell>
          <cell r="H513">
            <v>89.99</v>
          </cell>
          <cell r="I513">
            <v>49.99</v>
          </cell>
          <cell r="J513">
            <v>0</v>
          </cell>
          <cell r="L513">
            <v>3553302</v>
          </cell>
        </row>
        <row r="514">
          <cell r="A514" t="str">
            <v>TAMBAU</v>
          </cell>
          <cell r="B514" t="str">
            <v>SUDESTE</v>
          </cell>
          <cell r="C514" t="str">
            <v>MD 2</v>
          </cell>
          <cell r="D514" t="str">
            <v>Alares</v>
          </cell>
          <cell r="E514" t="str">
            <v>1GB + GLOBOPLAY R$99,90</v>
          </cell>
          <cell r="F514" t="str">
            <v>Fibra</v>
          </cell>
          <cell r="G514">
            <v>1000</v>
          </cell>
          <cell r="H514">
            <v>99.9</v>
          </cell>
          <cell r="I514" t="str">
            <v/>
          </cell>
          <cell r="J514" t="str">
            <v>GLOBOPLAY</v>
          </cell>
          <cell r="L514">
            <v>3553302</v>
          </cell>
        </row>
        <row r="515">
          <cell r="A515" t="str">
            <v>TAMBAU</v>
          </cell>
          <cell r="B515" t="str">
            <v>SUDESTE</v>
          </cell>
          <cell r="C515" t="str">
            <v>MD 2</v>
          </cell>
          <cell r="D515" t="str">
            <v>ISP LOCAL</v>
          </cell>
          <cell r="E515" t="str">
            <v>BS NEWS - 400M R$99,90</v>
          </cell>
          <cell r="F515" t="str">
            <v>Fibra</v>
          </cell>
          <cell r="G515">
            <v>400</v>
          </cell>
          <cell r="H515">
            <v>99.9</v>
          </cell>
          <cell r="I515" t="str">
            <v/>
          </cell>
          <cell r="J515">
            <v>0</v>
          </cell>
          <cell r="L515">
            <v>3553302</v>
          </cell>
        </row>
        <row r="516">
          <cell r="A516" t="str">
            <v>TATUI</v>
          </cell>
          <cell r="B516" t="str">
            <v>SUDESTE</v>
          </cell>
          <cell r="C516" t="str">
            <v>MD 1</v>
          </cell>
          <cell r="D516" t="str">
            <v>Claro</v>
          </cell>
          <cell r="E516" t="str">
            <v>600M+100GB=R$119,90 por 6M, após R$139,90</v>
          </cell>
          <cell r="F516" t="str">
            <v>Fibra</v>
          </cell>
          <cell r="G516">
            <v>600</v>
          </cell>
          <cell r="H516">
            <v>139.9</v>
          </cell>
          <cell r="I516">
            <v>119.9</v>
          </cell>
          <cell r="J516" t="str">
            <v>GLOBOPLAY</v>
          </cell>
          <cell r="L516">
            <v>3554003</v>
          </cell>
        </row>
        <row r="517">
          <cell r="A517" t="str">
            <v>TATUI</v>
          </cell>
          <cell r="B517" t="str">
            <v>SUDESTE</v>
          </cell>
          <cell r="C517" t="str">
            <v>MD 1</v>
          </cell>
          <cell r="D517" t="str">
            <v>Vivo</v>
          </cell>
          <cell r="E517" t="str">
            <v>500M+70GB=R$160,00</v>
          </cell>
          <cell r="F517" t="str">
            <v>Fibra</v>
          </cell>
          <cell r="I517" t="str">
            <v/>
          </cell>
          <cell r="J517">
            <v>0</v>
          </cell>
          <cell r="L517">
            <v>3554003</v>
          </cell>
        </row>
        <row r="518">
          <cell r="A518" t="str">
            <v>TATUI</v>
          </cell>
          <cell r="B518" t="str">
            <v>SUDESTE</v>
          </cell>
          <cell r="C518" t="str">
            <v>MD 1</v>
          </cell>
          <cell r="D518" t="str">
            <v>Desktop</v>
          </cell>
          <cell r="E518" t="str">
            <v>600M+15GB=R$129,99 - 6 MESES, APÓS R$139,99</v>
          </cell>
          <cell r="F518" t="str">
            <v>Fibra</v>
          </cell>
          <cell r="G518">
            <v>600</v>
          </cell>
          <cell r="H518">
            <v>139.99</v>
          </cell>
          <cell r="I518">
            <v>129.99</v>
          </cell>
          <cell r="J518">
            <v>0</v>
          </cell>
          <cell r="L518">
            <v>3554003</v>
          </cell>
        </row>
        <row r="519">
          <cell r="A519" t="str">
            <v>TATUI</v>
          </cell>
          <cell r="B519" t="str">
            <v>SUDESTE</v>
          </cell>
          <cell r="C519" t="str">
            <v>MD 1</v>
          </cell>
          <cell r="D519" t="str">
            <v>Alares</v>
          </cell>
          <cell r="E519" t="str">
            <v>1GB + GLOBOPLAY R$99,90</v>
          </cell>
          <cell r="F519" t="str">
            <v>Fibra</v>
          </cell>
          <cell r="G519">
            <v>1000</v>
          </cell>
          <cell r="H519">
            <v>99.9</v>
          </cell>
          <cell r="I519" t="str">
            <v/>
          </cell>
          <cell r="J519" t="str">
            <v>GLOBOPLAY</v>
          </cell>
          <cell r="L519">
            <v>3554003</v>
          </cell>
        </row>
        <row r="520">
          <cell r="A520" t="str">
            <v>TATUI</v>
          </cell>
          <cell r="B520" t="str">
            <v>SUDESTE</v>
          </cell>
          <cell r="C520" t="str">
            <v>MD 1</v>
          </cell>
          <cell r="D520" t="str">
            <v>Vero</v>
          </cell>
          <cell r="E520" t="str">
            <v>850M+60GB=R$149,99 (C/ GLOBOPLAY, HBO, DISNEY+)</v>
          </cell>
          <cell r="F520" t="str">
            <v>Fibra</v>
          </cell>
          <cell r="G520">
            <v>850</v>
          </cell>
          <cell r="H520">
            <v>149.99</v>
          </cell>
          <cell r="I520" t="str">
            <v/>
          </cell>
          <cell r="J520" t="str">
            <v>GLOBOPLAY, HBO, DISNEY+</v>
          </cell>
          <cell r="L520">
            <v>3554003</v>
          </cell>
        </row>
        <row r="521">
          <cell r="A521" t="str">
            <v>TATUI</v>
          </cell>
          <cell r="B521" t="str">
            <v>SUDESTE</v>
          </cell>
          <cell r="C521" t="str">
            <v>MD 1</v>
          </cell>
          <cell r="D521" t="str">
            <v>ISP LOCAL</v>
          </cell>
          <cell r="E521" t="str">
            <v>ZAAZ - 600M R$99,90</v>
          </cell>
          <cell r="F521" t="str">
            <v>Fibra</v>
          </cell>
          <cell r="G521">
            <v>600</v>
          </cell>
          <cell r="H521">
            <v>99.9</v>
          </cell>
          <cell r="I521" t="str">
            <v/>
          </cell>
          <cell r="J521">
            <v>0</v>
          </cell>
          <cell r="L521">
            <v>3554003</v>
          </cell>
        </row>
        <row r="522">
          <cell r="A522" t="str">
            <v>TAUBATE</v>
          </cell>
          <cell r="B522" t="str">
            <v>LITORAL</v>
          </cell>
          <cell r="C522" t="str">
            <v>PADRÃO</v>
          </cell>
          <cell r="D522" t="str">
            <v>Claro</v>
          </cell>
          <cell r="E522" t="str">
            <v>600M+100GB=R$159,90</v>
          </cell>
          <cell r="F522" t="str">
            <v>Fibra</v>
          </cell>
          <cell r="G522">
            <v>600</v>
          </cell>
          <cell r="H522">
            <v>159.9</v>
          </cell>
          <cell r="I522" t="str">
            <v/>
          </cell>
          <cell r="J522" t="str">
            <v>GLOBOPLAY</v>
          </cell>
          <cell r="L522">
            <v>3554102</v>
          </cell>
        </row>
        <row r="523">
          <cell r="A523" t="str">
            <v>TAUBATE</v>
          </cell>
          <cell r="B523" t="str">
            <v>LITORAL</v>
          </cell>
          <cell r="C523" t="str">
            <v>PADRÃO</v>
          </cell>
          <cell r="D523" t="str">
            <v>Vivo</v>
          </cell>
          <cell r="E523" t="str">
            <v>500M+70GB=R$160,00</v>
          </cell>
          <cell r="F523" t="str">
            <v>Fibra</v>
          </cell>
          <cell r="I523" t="str">
            <v/>
          </cell>
          <cell r="J523">
            <v>0</v>
          </cell>
          <cell r="L523">
            <v>3554102</v>
          </cell>
        </row>
        <row r="524">
          <cell r="A524" t="str">
            <v>TAUBATE</v>
          </cell>
          <cell r="B524" t="str">
            <v>LITORAL</v>
          </cell>
          <cell r="C524" t="str">
            <v>PADRÃO</v>
          </cell>
          <cell r="D524" t="str">
            <v>Desktop</v>
          </cell>
          <cell r="E524" t="str">
            <v>600M=R$49,99 por 2M, após R$89,99</v>
          </cell>
          <cell r="F524" t="str">
            <v>Fibra</v>
          </cell>
          <cell r="G524">
            <v>600</v>
          </cell>
          <cell r="H524">
            <v>89.99</v>
          </cell>
          <cell r="I524">
            <v>49.99</v>
          </cell>
          <cell r="J524">
            <v>0</v>
          </cell>
          <cell r="L524">
            <v>3554102</v>
          </cell>
        </row>
        <row r="525">
          <cell r="A525" t="str">
            <v>TAUBATE</v>
          </cell>
          <cell r="B525" t="str">
            <v>LITORAL</v>
          </cell>
          <cell r="C525" t="str">
            <v>PADRÃO</v>
          </cell>
          <cell r="D525" t="str">
            <v>ISP LOCAL</v>
          </cell>
          <cell r="E525" t="str">
            <v>CABONNET - 600M R$49,95 - 3 MESES, APÓS R$99,90</v>
          </cell>
          <cell r="F525" t="str">
            <v>Fibra</v>
          </cell>
          <cell r="G525">
            <v>600</v>
          </cell>
          <cell r="H525">
            <v>99.9</v>
          </cell>
          <cell r="I525">
            <v>49.95</v>
          </cell>
          <cell r="J525">
            <v>0</v>
          </cell>
          <cell r="L525">
            <v>3554102</v>
          </cell>
        </row>
        <row r="526">
          <cell r="A526" t="str">
            <v>TIETE</v>
          </cell>
          <cell r="B526" t="str">
            <v>OESTE</v>
          </cell>
          <cell r="C526" t="str">
            <v>PADRÃO</v>
          </cell>
          <cell r="D526" t="str">
            <v>Claro</v>
          </cell>
          <cell r="E526" t="str">
            <v>600M+100GB=R$159,90</v>
          </cell>
          <cell r="F526" t="str">
            <v>Fibra</v>
          </cell>
          <cell r="G526">
            <v>600</v>
          </cell>
          <cell r="H526">
            <v>159.9</v>
          </cell>
          <cell r="I526" t="str">
            <v/>
          </cell>
          <cell r="J526" t="str">
            <v>GLOBOPLAY</v>
          </cell>
          <cell r="L526">
            <v>3554508</v>
          </cell>
        </row>
        <row r="527">
          <cell r="A527" t="str">
            <v>TIETE</v>
          </cell>
          <cell r="B527" t="str">
            <v>OESTE</v>
          </cell>
          <cell r="C527" t="str">
            <v>PADRÃO</v>
          </cell>
          <cell r="D527" t="str">
            <v>Vivo</v>
          </cell>
          <cell r="E527" t="str">
            <v>500M+70GB=R$160,00</v>
          </cell>
          <cell r="F527" t="str">
            <v>Fibra</v>
          </cell>
          <cell r="I527" t="str">
            <v/>
          </cell>
          <cell r="J527">
            <v>0</v>
          </cell>
          <cell r="L527">
            <v>3554508</v>
          </cell>
        </row>
        <row r="528">
          <cell r="A528" t="str">
            <v>TIETE</v>
          </cell>
          <cell r="B528" t="str">
            <v>OESTE</v>
          </cell>
          <cell r="C528" t="str">
            <v>PADRÃO</v>
          </cell>
          <cell r="D528" t="str">
            <v>Desktop</v>
          </cell>
          <cell r="E528" t="str">
            <v>600M+15GB=R$129,99 - 6 MESES, APÓS R$139,99</v>
          </cell>
          <cell r="F528" t="str">
            <v>Fibra</v>
          </cell>
          <cell r="G528">
            <v>600</v>
          </cell>
          <cell r="H528">
            <v>139.99</v>
          </cell>
          <cell r="I528">
            <v>129.99</v>
          </cell>
          <cell r="J528">
            <v>0</v>
          </cell>
          <cell r="L528">
            <v>3554508</v>
          </cell>
        </row>
        <row r="529">
          <cell r="A529" t="str">
            <v>TIETE</v>
          </cell>
          <cell r="B529" t="str">
            <v>OESTE</v>
          </cell>
          <cell r="C529" t="str">
            <v>PADRÃO</v>
          </cell>
          <cell r="D529" t="str">
            <v>ISP LOCAL</v>
          </cell>
          <cell r="E529" t="str">
            <v>ZAAZ - 600M R$99,90</v>
          </cell>
          <cell r="F529" t="str">
            <v>Fibra</v>
          </cell>
          <cell r="G529">
            <v>600</v>
          </cell>
          <cell r="H529">
            <v>99.9</v>
          </cell>
          <cell r="I529" t="str">
            <v/>
          </cell>
          <cell r="J529">
            <v>0</v>
          </cell>
          <cell r="L529">
            <v>3554508</v>
          </cell>
        </row>
        <row r="530">
          <cell r="A530" t="str">
            <v>TREMEMBE</v>
          </cell>
          <cell r="B530" t="str">
            <v>SUDESTE</v>
          </cell>
          <cell r="C530" t="str">
            <v>MD 1</v>
          </cell>
          <cell r="D530" t="str">
            <v>Claro</v>
          </cell>
          <cell r="E530" t="str">
            <v>600M+100GB=R$119,90 por 6M, após R$139,90</v>
          </cell>
          <cell r="F530" t="str">
            <v>Fibra</v>
          </cell>
          <cell r="G530">
            <v>600</v>
          </cell>
          <cell r="H530">
            <v>139.9</v>
          </cell>
          <cell r="I530">
            <v>119.9</v>
          </cell>
          <cell r="J530" t="str">
            <v>GLOBOPLAY</v>
          </cell>
          <cell r="L530">
            <v>3554805</v>
          </cell>
        </row>
        <row r="531">
          <cell r="A531" t="str">
            <v>TREMEMBE</v>
          </cell>
          <cell r="B531" t="str">
            <v>SUDESTE</v>
          </cell>
          <cell r="C531" t="str">
            <v>MD 1</v>
          </cell>
          <cell r="D531" t="str">
            <v>Vivo</v>
          </cell>
          <cell r="E531" t="str">
            <v>500M+70GB=R$160,00</v>
          </cell>
          <cell r="F531" t="str">
            <v>Fibra</v>
          </cell>
          <cell r="I531" t="str">
            <v/>
          </cell>
          <cell r="J531">
            <v>0</v>
          </cell>
          <cell r="L531">
            <v>3554805</v>
          </cell>
        </row>
        <row r="532">
          <cell r="A532" t="str">
            <v>TREMEMBE</v>
          </cell>
          <cell r="B532" t="str">
            <v>SUDESTE</v>
          </cell>
          <cell r="C532" t="str">
            <v>MD 1</v>
          </cell>
          <cell r="D532" t="str">
            <v>Desktop</v>
          </cell>
          <cell r="E532" t="str">
            <v>600M=R$49,99 por 2M, após R$89,99</v>
          </cell>
          <cell r="F532" t="str">
            <v>Fibra</v>
          </cell>
          <cell r="G532">
            <v>600</v>
          </cell>
          <cell r="H532">
            <v>89.99</v>
          </cell>
          <cell r="I532">
            <v>49.99</v>
          </cell>
          <cell r="J532">
            <v>0</v>
          </cell>
          <cell r="L532">
            <v>3554805</v>
          </cell>
        </row>
        <row r="533">
          <cell r="A533" t="str">
            <v>TREMEMBE</v>
          </cell>
          <cell r="B533" t="str">
            <v>SUDESTE</v>
          </cell>
          <cell r="C533" t="str">
            <v>MD 1</v>
          </cell>
          <cell r="D533" t="str">
            <v>ISP LOCAL</v>
          </cell>
          <cell r="E533" t="str">
            <v>CABONNET - 600M R$49,95 - 3 MESES, APÓS R$99,90</v>
          </cell>
          <cell r="F533" t="str">
            <v>Fibra</v>
          </cell>
          <cell r="G533">
            <v>600</v>
          </cell>
          <cell r="H533">
            <v>99.9</v>
          </cell>
          <cell r="I533">
            <v>49.95</v>
          </cell>
          <cell r="J533">
            <v>0</v>
          </cell>
          <cell r="L533">
            <v>3554805</v>
          </cell>
        </row>
        <row r="534">
          <cell r="A534" t="str">
            <v>UBATUBA</v>
          </cell>
          <cell r="B534" t="str">
            <v>LITORAL</v>
          </cell>
          <cell r="C534" t="str">
            <v>ESPECIAL</v>
          </cell>
          <cell r="D534" t="str">
            <v>Claro</v>
          </cell>
          <cell r="E534" t="str">
            <v>600M+100GB=R$119,90 por 3M, após R$159,90</v>
          </cell>
          <cell r="F534" t="str">
            <v>Fibra</v>
          </cell>
          <cell r="G534">
            <v>600</v>
          </cell>
          <cell r="H534">
            <v>159.9</v>
          </cell>
          <cell r="I534">
            <v>119.9</v>
          </cell>
          <cell r="J534" t="str">
            <v>GLOBOPLAY</v>
          </cell>
          <cell r="L534">
            <v>3555406</v>
          </cell>
        </row>
        <row r="535">
          <cell r="A535" t="str">
            <v>UBATUBA</v>
          </cell>
          <cell r="B535" t="str">
            <v>LITORAL</v>
          </cell>
          <cell r="C535" t="str">
            <v>ESPECIAL</v>
          </cell>
          <cell r="D535" t="str">
            <v>Vivo</v>
          </cell>
          <cell r="E535" t="str">
            <v>500M+70GB=R$160,00</v>
          </cell>
          <cell r="F535" t="str">
            <v>Fibra</v>
          </cell>
          <cell r="I535" t="str">
            <v/>
          </cell>
          <cell r="J535">
            <v>0</v>
          </cell>
          <cell r="L535">
            <v>3555406</v>
          </cell>
        </row>
        <row r="536">
          <cell r="A536" t="str">
            <v>UBATUBA</v>
          </cell>
          <cell r="B536" t="str">
            <v>LITORAL</v>
          </cell>
          <cell r="C536" t="str">
            <v>ESPECIAL</v>
          </cell>
          <cell r="D536" t="str">
            <v>ISP LOCAL</v>
          </cell>
          <cell r="E536" t="str">
            <v>TRIXNET - 600M R$109,00</v>
          </cell>
          <cell r="F536" t="str">
            <v>Fibra</v>
          </cell>
          <cell r="G536">
            <v>600</v>
          </cell>
          <cell r="H536">
            <v>109</v>
          </cell>
          <cell r="I536" t="str">
            <v/>
          </cell>
          <cell r="J536">
            <v>0</v>
          </cell>
          <cell r="L536">
            <v>3555406</v>
          </cell>
        </row>
        <row r="537">
          <cell r="A537" t="str">
            <v>VALINHOS</v>
          </cell>
          <cell r="B537" t="str">
            <v>CENTRAL</v>
          </cell>
          <cell r="C537" t="str">
            <v>PADRÃO</v>
          </cell>
          <cell r="D537" t="str">
            <v>Claro</v>
          </cell>
          <cell r="E537" t="str">
            <v>600M+100GB=R$159,90</v>
          </cell>
          <cell r="F537" t="str">
            <v>Fibra</v>
          </cell>
          <cell r="G537">
            <v>600</v>
          </cell>
          <cell r="H537">
            <v>159.9</v>
          </cell>
          <cell r="I537" t="str">
            <v/>
          </cell>
          <cell r="J537" t="str">
            <v>GLOBOPLAY</v>
          </cell>
          <cell r="L537">
            <v>3556206</v>
          </cell>
        </row>
        <row r="538">
          <cell r="A538" t="str">
            <v>VALINHOS</v>
          </cell>
          <cell r="B538" t="str">
            <v>CENTRAL</v>
          </cell>
          <cell r="C538" t="str">
            <v>PADRÃO</v>
          </cell>
          <cell r="D538" t="str">
            <v>Vivo</v>
          </cell>
          <cell r="E538" t="str">
            <v>500M+70GB=R$160,00</v>
          </cell>
          <cell r="F538" t="str">
            <v>Fibra</v>
          </cell>
          <cell r="I538" t="str">
            <v/>
          </cell>
          <cell r="J538">
            <v>0</v>
          </cell>
          <cell r="L538">
            <v>3556206</v>
          </cell>
        </row>
        <row r="539">
          <cell r="A539" t="str">
            <v>VALINHOS</v>
          </cell>
          <cell r="B539" t="str">
            <v>CENTRAL</v>
          </cell>
          <cell r="C539" t="str">
            <v>PADRÃO</v>
          </cell>
          <cell r="D539" t="str">
            <v>Desktop</v>
          </cell>
          <cell r="E539" t="str">
            <v>600M=R$49,99 por 2M, após R$89,99</v>
          </cell>
          <cell r="F539" t="str">
            <v>Fibra</v>
          </cell>
          <cell r="G539">
            <v>600</v>
          </cell>
          <cell r="H539">
            <v>89.99</v>
          </cell>
          <cell r="I539">
            <v>49.99</v>
          </cell>
          <cell r="J539">
            <v>0</v>
          </cell>
          <cell r="L539">
            <v>3556206</v>
          </cell>
        </row>
        <row r="540">
          <cell r="A540" t="str">
            <v>VALINHOS</v>
          </cell>
          <cell r="B540" t="str">
            <v>CENTRAL</v>
          </cell>
          <cell r="C540" t="str">
            <v>PADRÃO</v>
          </cell>
          <cell r="D540" t="str">
            <v>ISP LOCAL</v>
          </cell>
          <cell r="E540" t="str">
            <v>G2G - 600M R$99,90</v>
          </cell>
          <cell r="F540" t="str">
            <v>Fibra</v>
          </cell>
          <cell r="H540">
            <v>99.9</v>
          </cell>
          <cell r="I540" t="str">
            <v/>
          </cell>
          <cell r="J540">
            <v>0</v>
          </cell>
          <cell r="L540">
            <v>3556206</v>
          </cell>
        </row>
        <row r="541">
          <cell r="A541" t="str">
            <v>VALPARAISO</v>
          </cell>
          <cell r="B541" t="str">
            <v>NOROESTE</v>
          </cell>
          <cell r="C541" t="str">
            <v>MD 2</v>
          </cell>
          <cell r="D541" t="str">
            <v>Claro</v>
          </cell>
          <cell r="E541" t="str">
            <v>600M+100GB=R$109,90 por 6M, após R$139,90</v>
          </cell>
          <cell r="F541" t="str">
            <v>Fibra</v>
          </cell>
          <cell r="G541">
            <v>600</v>
          </cell>
          <cell r="H541">
            <v>139.9</v>
          </cell>
          <cell r="I541">
            <v>109.9</v>
          </cell>
          <cell r="J541" t="str">
            <v>GLOBOPLAY</v>
          </cell>
          <cell r="L541">
            <v>3556305</v>
          </cell>
        </row>
        <row r="542">
          <cell r="A542" t="str">
            <v>VALPARAISO</v>
          </cell>
          <cell r="B542" t="str">
            <v>NOROESTE</v>
          </cell>
          <cell r="C542" t="str">
            <v>MD 2</v>
          </cell>
          <cell r="D542" t="str">
            <v>Vero</v>
          </cell>
          <cell r="E542" t="str">
            <v>850M+60GB=R$149,99 (C/ GLOBOPLAY, HBO, DISNEY+)</v>
          </cell>
          <cell r="F542" t="str">
            <v>Fibra</v>
          </cell>
          <cell r="G542">
            <v>850</v>
          </cell>
          <cell r="H542">
            <v>149.99</v>
          </cell>
          <cell r="I542" t="str">
            <v/>
          </cell>
          <cell r="J542" t="str">
            <v>GLOBOPLAY, HBO, DISNEY+</v>
          </cell>
          <cell r="L542">
            <v>3556305</v>
          </cell>
        </row>
        <row r="543">
          <cell r="A543" t="str">
            <v>VALPARAISO</v>
          </cell>
          <cell r="B543" t="str">
            <v>NOROESTE</v>
          </cell>
          <cell r="C543" t="str">
            <v>MD 2</v>
          </cell>
          <cell r="D543" t="str">
            <v>ISP LOCAL</v>
          </cell>
          <cell r="E543" t="str">
            <v>FNET - 600M R$99,99</v>
          </cell>
          <cell r="F543" t="str">
            <v>Fibra</v>
          </cell>
          <cell r="G543">
            <v>600</v>
          </cell>
          <cell r="H543">
            <v>99.99</v>
          </cell>
          <cell r="I543" t="str">
            <v/>
          </cell>
          <cell r="J543">
            <v>0</v>
          </cell>
          <cell r="L543">
            <v>3556305</v>
          </cell>
        </row>
        <row r="544">
          <cell r="A544" t="str">
            <v>VINHEDO</v>
          </cell>
          <cell r="B544" t="str">
            <v>CENTRAL</v>
          </cell>
          <cell r="C544" t="str">
            <v>PADRÃO</v>
          </cell>
          <cell r="D544" t="str">
            <v>Claro</v>
          </cell>
          <cell r="E544" t="str">
            <v>600M+100GB=R$159,90</v>
          </cell>
          <cell r="F544" t="str">
            <v>Fibra</v>
          </cell>
          <cell r="G544">
            <v>600</v>
          </cell>
          <cell r="H544">
            <v>159.9</v>
          </cell>
          <cell r="I544" t="str">
            <v/>
          </cell>
          <cell r="J544" t="str">
            <v>GLOBOPLAY</v>
          </cell>
          <cell r="L544">
            <v>3556701</v>
          </cell>
        </row>
        <row r="545">
          <cell r="A545" t="str">
            <v>VINHEDO</v>
          </cell>
          <cell r="B545" t="str">
            <v>CENTRAL</v>
          </cell>
          <cell r="C545" t="str">
            <v>PADRÃO</v>
          </cell>
          <cell r="D545" t="str">
            <v>Vivo</v>
          </cell>
          <cell r="E545" t="str">
            <v>500M+70GB=R$160,00</v>
          </cell>
          <cell r="F545" t="str">
            <v>Fibra</v>
          </cell>
          <cell r="I545" t="str">
            <v/>
          </cell>
          <cell r="J545">
            <v>0</v>
          </cell>
          <cell r="L545">
            <v>3556701</v>
          </cell>
        </row>
        <row r="546">
          <cell r="A546" t="str">
            <v>VINHEDO</v>
          </cell>
          <cell r="B546" t="str">
            <v>CENTRAL</v>
          </cell>
          <cell r="C546" t="str">
            <v>PADRÃO</v>
          </cell>
          <cell r="D546" t="str">
            <v>Desktop</v>
          </cell>
          <cell r="E546" t="str">
            <v>600M+15GB=R$129,99 - 6 MESES, APÓS R$139,99</v>
          </cell>
          <cell r="F546" t="str">
            <v>Fibra</v>
          </cell>
          <cell r="G546">
            <v>600</v>
          </cell>
          <cell r="H546">
            <v>139.99</v>
          </cell>
          <cell r="I546">
            <v>129.99</v>
          </cell>
          <cell r="J546">
            <v>0</v>
          </cell>
          <cell r="L546">
            <v>3556701</v>
          </cell>
        </row>
        <row r="547">
          <cell r="A547" t="str">
            <v>VINHEDO</v>
          </cell>
          <cell r="B547" t="str">
            <v>CENTRAL</v>
          </cell>
          <cell r="C547" t="str">
            <v>PADRÃO</v>
          </cell>
          <cell r="D547" t="str">
            <v>Alares</v>
          </cell>
          <cell r="E547" t="str">
            <v>1GB + GLOBOPLAY R$99,90</v>
          </cell>
          <cell r="F547" t="str">
            <v>Fibra</v>
          </cell>
          <cell r="G547">
            <v>1000</v>
          </cell>
          <cell r="H547">
            <v>99.9</v>
          </cell>
          <cell r="I547" t="str">
            <v/>
          </cell>
          <cell r="J547" t="str">
            <v>GLOBOPLAY</v>
          </cell>
          <cell r="L547">
            <v>3556701</v>
          </cell>
        </row>
        <row r="548">
          <cell r="A548" t="str">
            <v>VINHEDO</v>
          </cell>
          <cell r="B548" t="str">
            <v>CENTRAL</v>
          </cell>
          <cell r="C548" t="str">
            <v>PADRÃO</v>
          </cell>
          <cell r="D548" t="str">
            <v>ISP LOCAL</v>
          </cell>
          <cell r="E548" t="str">
            <v>VIA FIBRA - 600M R$99,90</v>
          </cell>
          <cell r="F548" t="str">
            <v>Fibra</v>
          </cell>
          <cell r="G548">
            <v>600</v>
          </cell>
          <cell r="H548">
            <v>99.9</v>
          </cell>
          <cell r="I548" t="str">
            <v/>
          </cell>
          <cell r="J548">
            <v>0</v>
          </cell>
          <cell r="L548">
            <v>3556701</v>
          </cell>
        </row>
        <row r="549">
          <cell r="A549" t="str">
            <v>VOTORANTIM</v>
          </cell>
          <cell r="B549" t="str">
            <v>OESTE</v>
          </cell>
          <cell r="C549" t="str">
            <v>PADRÃO</v>
          </cell>
          <cell r="D549" t="str">
            <v>Claro</v>
          </cell>
          <cell r="E549" t="str">
            <v>600M+100GB=R$159,90</v>
          </cell>
          <cell r="F549" t="str">
            <v>Fibra</v>
          </cell>
          <cell r="G549">
            <v>600</v>
          </cell>
          <cell r="H549">
            <v>159.9</v>
          </cell>
          <cell r="I549" t="str">
            <v/>
          </cell>
          <cell r="J549" t="str">
            <v>GLOBOPLAY</v>
          </cell>
          <cell r="L549">
            <v>3557006</v>
          </cell>
        </row>
        <row r="550">
          <cell r="A550" t="str">
            <v>VOTORANTIM</v>
          </cell>
          <cell r="B550" t="str">
            <v>OESTE</v>
          </cell>
          <cell r="C550" t="str">
            <v>PADRÃO</v>
          </cell>
          <cell r="D550" t="str">
            <v>Vivo</v>
          </cell>
          <cell r="E550" t="str">
            <v>500M+70GB=R$160,00</v>
          </cell>
          <cell r="F550" t="str">
            <v>Fibra</v>
          </cell>
          <cell r="I550" t="str">
            <v/>
          </cell>
          <cell r="J550">
            <v>0</v>
          </cell>
          <cell r="L550">
            <v>3557006</v>
          </cell>
        </row>
        <row r="551">
          <cell r="A551" t="str">
            <v>VOTORANTIM</v>
          </cell>
          <cell r="B551" t="str">
            <v>OESTE</v>
          </cell>
          <cell r="C551" t="str">
            <v>PADRÃO</v>
          </cell>
          <cell r="D551" t="str">
            <v>Desktop</v>
          </cell>
          <cell r="E551" t="str">
            <v>600M+15GB=R$129,99 - 6 MESES, APÓS R$139,99</v>
          </cell>
          <cell r="F551" t="str">
            <v>Fibra</v>
          </cell>
          <cell r="G551">
            <v>600</v>
          </cell>
          <cell r="H551">
            <v>139.99</v>
          </cell>
          <cell r="I551">
            <v>129.99</v>
          </cell>
          <cell r="J551">
            <v>0</v>
          </cell>
          <cell r="L551">
            <v>3557006</v>
          </cell>
        </row>
        <row r="552">
          <cell r="A552" t="str">
            <v>VOTORANTIM</v>
          </cell>
          <cell r="B552" t="str">
            <v>OESTE</v>
          </cell>
          <cell r="C552" t="str">
            <v>PADRÃO</v>
          </cell>
          <cell r="D552" t="str">
            <v>Alares</v>
          </cell>
          <cell r="E552" t="str">
            <v>1GB + GLOBOPLAY R$99,90</v>
          </cell>
          <cell r="F552" t="str">
            <v>Fibra</v>
          </cell>
          <cell r="G552">
            <v>1000</v>
          </cell>
          <cell r="H552">
            <v>99.9</v>
          </cell>
          <cell r="I552" t="str">
            <v/>
          </cell>
          <cell r="J552" t="str">
            <v>GLOBOPLAY</v>
          </cell>
          <cell r="L552">
            <v>3557006</v>
          </cell>
        </row>
        <row r="553">
          <cell r="A553" t="str">
            <v>VOTORANTIM</v>
          </cell>
          <cell r="B553" t="str">
            <v>OESTE</v>
          </cell>
          <cell r="C553" t="str">
            <v>PADRÃO</v>
          </cell>
          <cell r="D553" t="str">
            <v>Vero</v>
          </cell>
          <cell r="E553" t="str">
            <v>850M+60GB=R$149,99 (C/ GLOBOPLAY, HBO, DISNEY+)</v>
          </cell>
          <cell r="F553" t="str">
            <v>Fibra</v>
          </cell>
          <cell r="G553">
            <v>850</v>
          </cell>
          <cell r="H553">
            <v>149.99</v>
          </cell>
          <cell r="I553" t="str">
            <v/>
          </cell>
          <cell r="J553" t="str">
            <v>GLOBOPLAY, HBO, DISNEY+</v>
          </cell>
          <cell r="L553">
            <v>3557006</v>
          </cell>
        </row>
        <row r="554">
          <cell r="A554" t="str">
            <v>VOTORANTIM</v>
          </cell>
          <cell r="B554" t="str">
            <v>OESTE</v>
          </cell>
          <cell r="C554" t="str">
            <v>PADRÃO</v>
          </cell>
          <cell r="D554" t="str">
            <v>ISP LOCAL</v>
          </cell>
          <cell r="E554" t="str">
            <v>POXNET - 500M R$99,90</v>
          </cell>
          <cell r="F554" t="str">
            <v>Fibra</v>
          </cell>
          <cell r="G554">
            <v>500</v>
          </cell>
          <cell r="H554">
            <v>99.9</v>
          </cell>
          <cell r="I554" t="str">
            <v/>
          </cell>
          <cell r="J554">
            <v>0</v>
          </cell>
          <cell r="L554">
            <v>3557006</v>
          </cell>
        </row>
        <row r="555">
          <cell r="A555" t="str">
            <v>VOTUPORANGA</v>
          </cell>
          <cell r="B555" t="str">
            <v>NOROESTE</v>
          </cell>
          <cell r="C555" t="str">
            <v>MD 2</v>
          </cell>
          <cell r="D555" t="str">
            <v>Claro</v>
          </cell>
          <cell r="E555" t="str">
            <v>600M+100GB=R$109,90 por 6M, após R$139,90</v>
          </cell>
          <cell r="F555" t="str">
            <v>Fibra</v>
          </cell>
          <cell r="G555">
            <v>600</v>
          </cell>
          <cell r="H555">
            <v>139.9</v>
          </cell>
          <cell r="I555">
            <v>109.9</v>
          </cell>
          <cell r="J555" t="str">
            <v>GLOBOPLAY</v>
          </cell>
          <cell r="L555">
            <v>3557105</v>
          </cell>
        </row>
        <row r="556">
          <cell r="A556" t="str">
            <v>VOTUPORANGA</v>
          </cell>
          <cell r="B556" t="str">
            <v>NOROESTE</v>
          </cell>
          <cell r="C556" t="str">
            <v>MD 2</v>
          </cell>
          <cell r="D556" t="str">
            <v>Vivo</v>
          </cell>
          <cell r="E556" t="str">
            <v>500M+70GB=R$160,00</v>
          </cell>
          <cell r="F556" t="str">
            <v>Fibra</v>
          </cell>
          <cell r="I556" t="str">
            <v/>
          </cell>
          <cell r="J556">
            <v>0</v>
          </cell>
          <cell r="L556">
            <v>3557105</v>
          </cell>
        </row>
        <row r="557">
          <cell r="A557" t="str">
            <v>VOTUPORANGA</v>
          </cell>
          <cell r="B557" t="str">
            <v>NOROESTE</v>
          </cell>
          <cell r="C557" t="str">
            <v>MD 2</v>
          </cell>
          <cell r="D557" t="str">
            <v>ISP LOCAL</v>
          </cell>
          <cell r="E557" t="str">
            <v>FLASH - 600M R$89,90 - 3 MESES, APÓS R$130,00</v>
          </cell>
          <cell r="F557" t="str">
            <v>Fibra</v>
          </cell>
          <cell r="G557">
            <v>600</v>
          </cell>
          <cell r="H557">
            <v>130</v>
          </cell>
          <cell r="I557">
            <v>89.9</v>
          </cell>
          <cell r="J557">
            <v>0</v>
          </cell>
          <cell r="L557">
            <v>3557105</v>
          </cell>
        </row>
        <row r="558">
          <cell r="A558" t="str">
            <v>TRES LAGOAS</v>
          </cell>
          <cell r="B558" t="str">
            <v/>
          </cell>
          <cell r="C558" t="str">
            <v>MD 2</v>
          </cell>
          <cell r="D558" t="str">
            <v>Claro</v>
          </cell>
          <cell r="E558" t="str">
            <v>600M+100GB=R$109,90 por 6M, após R$139,90</v>
          </cell>
          <cell r="F558" t="str">
            <v>Fibra</v>
          </cell>
          <cell r="G558">
            <v>600</v>
          </cell>
          <cell r="H558">
            <v>139.9</v>
          </cell>
          <cell r="I558">
            <v>109.9</v>
          </cell>
          <cell r="J558" t="str">
            <v/>
          </cell>
          <cell r="L558">
            <v>5008305</v>
          </cell>
        </row>
        <row r="559">
          <cell r="A559" t="str">
            <v>TRES LAGOAS</v>
          </cell>
          <cell r="B559" t="str">
            <v/>
          </cell>
          <cell r="C559" t="str">
            <v>MD 2</v>
          </cell>
          <cell r="D559" t="str">
            <v>Vivo</v>
          </cell>
          <cell r="E559" t="str">
            <v>500M+70GB=R$160,00</v>
          </cell>
          <cell r="F559" t="str">
            <v>Fibra</v>
          </cell>
          <cell r="I559" t="str">
            <v/>
          </cell>
          <cell r="J559" t="str">
            <v/>
          </cell>
          <cell r="L559">
            <v>5008305</v>
          </cell>
        </row>
        <row r="560">
          <cell r="A560" t="str">
            <v>TRES LAGOAS</v>
          </cell>
          <cell r="B560" t="str">
            <v/>
          </cell>
          <cell r="C560" t="str">
            <v>MD 2</v>
          </cell>
          <cell r="D560" t="str">
            <v>Vero</v>
          </cell>
          <cell r="E560" t="str">
            <v>850M+60GB=R$149,99 (C/ GLOBOPLAY, HBO, DISNEY+)</v>
          </cell>
          <cell r="F560" t="str">
            <v>Fibra</v>
          </cell>
          <cell r="G560">
            <v>850</v>
          </cell>
          <cell r="H560">
            <v>149.99</v>
          </cell>
          <cell r="I560" t="str">
            <v/>
          </cell>
          <cell r="J560" t="str">
            <v/>
          </cell>
          <cell r="L560">
            <v>5008305</v>
          </cell>
        </row>
        <row r="561">
          <cell r="A561" t="str">
            <v>TRES LAGOAS</v>
          </cell>
          <cell r="B561" t="str">
            <v/>
          </cell>
          <cell r="C561" t="str">
            <v>MD 2</v>
          </cell>
          <cell r="D561" t="str">
            <v>ISP LOCAL</v>
          </cell>
          <cell r="E561" t="str">
            <v>MV TELECOM - 750M R$99,90</v>
          </cell>
          <cell r="F561" t="str">
            <v>Fibra</v>
          </cell>
          <cell r="G561">
            <v>750</v>
          </cell>
          <cell r="H561">
            <v>99.9</v>
          </cell>
          <cell r="I561" t="str">
            <v/>
          </cell>
          <cell r="J561" t="str">
            <v/>
          </cell>
          <cell r="L561">
            <v>5008305</v>
          </cell>
        </row>
      </sheetData>
      <sheetData sheetId="13">
        <row r="1">
          <cell r="A1" t="str">
            <v>CHAVE</v>
          </cell>
          <cell r="B1" t="str">
            <v>PRECO_CLARO</v>
          </cell>
          <cell r="C1" t="str">
            <v>VELOCIDADE_CLARO</v>
          </cell>
        </row>
        <row r="2">
          <cell r="A2" t="str">
            <v>ADAMANTINA|Claro</v>
          </cell>
          <cell r="B2">
            <v>139.9</v>
          </cell>
          <cell r="C2">
            <v>600</v>
          </cell>
        </row>
        <row r="3">
          <cell r="A3" t="str">
            <v>ADAMANTINA|Vivo</v>
          </cell>
          <cell r="B3">
            <v>160</v>
          </cell>
          <cell r="C3" t="str">
            <v>500 Mbps</v>
          </cell>
        </row>
        <row r="4">
          <cell r="A4" t="str">
            <v>ADAMANTINA|ISP LOCAL</v>
          </cell>
          <cell r="B4">
            <v>99.9</v>
          </cell>
          <cell r="C4">
            <v>600</v>
          </cell>
        </row>
        <row r="5">
          <cell r="A5" t="str">
            <v>AGUDOS|Claro</v>
          </cell>
          <cell r="B5">
            <v>139.9</v>
          </cell>
          <cell r="C5">
            <v>600</v>
          </cell>
        </row>
        <row r="6">
          <cell r="A6" t="str">
            <v>AGUDOS|Desktop</v>
          </cell>
          <cell r="B6">
            <v>139.99</v>
          </cell>
          <cell r="C6">
            <v>600</v>
          </cell>
        </row>
        <row r="7">
          <cell r="A7" t="str">
            <v>AGUDOS|Vero</v>
          </cell>
          <cell r="B7">
            <v>149.99</v>
          </cell>
          <cell r="C7">
            <v>850</v>
          </cell>
        </row>
        <row r="8">
          <cell r="A8" t="str">
            <v>AGUDOS|ISP LOCAL</v>
          </cell>
          <cell r="B8">
            <v>99.99</v>
          </cell>
          <cell r="C8">
            <v>1000</v>
          </cell>
        </row>
        <row r="9">
          <cell r="A9" t="str">
            <v>ALVARES MACHADO|Claro</v>
          </cell>
          <cell r="B9">
            <v>139.9</v>
          </cell>
          <cell r="C9">
            <v>600</v>
          </cell>
        </row>
        <row r="10">
          <cell r="A10" t="str">
            <v>ALVARES MACHADO|Alares</v>
          </cell>
          <cell r="B10">
            <v>99.9</v>
          </cell>
          <cell r="C10">
            <v>1000</v>
          </cell>
        </row>
        <row r="11">
          <cell r="A11" t="str">
            <v>ALVARES MACHADO|ISP LOCAL</v>
          </cell>
          <cell r="B11">
            <v>99.99</v>
          </cell>
          <cell r="C11">
            <v>750</v>
          </cell>
        </row>
        <row r="12">
          <cell r="A12" t="str">
            <v>AMERICANA|Claro</v>
          </cell>
          <cell r="B12">
            <v>159.9</v>
          </cell>
          <cell r="C12">
            <v>600</v>
          </cell>
        </row>
        <row r="13">
          <cell r="A13" t="str">
            <v>AMERICANA|Vivo</v>
          </cell>
          <cell r="B13">
            <v>160</v>
          </cell>
          <cell r="C13" t="str">
            <v>500 Mbps</v>
          </cell>
        </row>
        <row r="14">
          <cell r="A14" t="str">
            <v>AMERICANA|Desktop</v>
          </cell>
          <cell r="B14">
            <v>139.99</v>
          </cell>
          <cell r="C14">
            <v>600</v>
          </cell>
        </row>
        <row r="15">
          <cell r="A15" t="str">
            <v>AMERICANA|Vero</v>
          </cell>
          <cell r="B15">
            <v>149.99</v>
          </cell>
          <cell r="C15">
            <v>850</v>
          </cell>
        </row>
        <row r="16">
          <cell r="A16" t="str">
            <v>AMERICANA|ISP LOCAL</v>
          </cell>
          <cell r="B16">
            <v>115.8</v>
          </cell>
          <cell r="C16">
            <v>500</v>
          </cell>
        </row>
        <row r="17">
          <cell r="A17" t="str">
            <v>AMERICO BRASILIENSE|Claro</v>
          </cell>
          <cell r="B17">
            <v>99.9</v>
          </cell>
          <cell r="C17">
            <v>1000</v>
          </cell>
        </row>
        <row r="18">
          <cell r="A18" t="str">
            <v>AMERICO BRASILIENSE|Vivo</v>
          </cell>
          <cell r="B18">
            <v>160</v>
          </cell>
          <cell r="C18" t="str">
            <v>500 Mbps</v>
          </cell>
        </row>
        <row r="19">
          <cell r="A19" t="str">
            <v>AMERICO BRASILIENSE|Desktop</v>
          </cell>
          <cell r="B19">
            <v>139.99</v>
          </cell>
          <cell r="C19">
            <v>600</v>
          </cell>
        </row>
        <row r="20">
          <cell r="A20" t="str">
            <v>AMERICO BRASILIENSE|Weclix</v>
          </cell>
          <cell r="B20">
            <v>99.9</v>
          </cell>
          <cell r="C20">
            <v>1000</v>
          </cell>
        </row>
        <row r="21">
          <cell r="A21" t="str">
            <v>AMERICO BRASILIENSE|ISP LOCAL</v>
          </cell>
          <cell r="B21">
            <v>99.9</v>
          </cell>
          <cell r="C21">
            <v>600</v>
          </cell>
        </row>
        <row r="22">
          <cell r="A22" t="str">
            <v>AMPARO|Claro</v>
          </cell>
          <cell r="B22">
            <v>139.9</v>
          </cell>
          <cell r="C22">
            <v>600</v>
          </cell>
        </row>
        <row r="23">
          <cell r="A23" t="str">
            <v>AMPARO|Vivo</v>
          </cell>
          <cell r="B23">
            <v>160</v>
          </cell>
          <cell r="C23" t="str">
            <v>500 Mbps</v>
          </cell>
        </row>
        <row r="24">
          <cell r="A24" t="str">
            <v>AMPARO|Desktop</v>
          </cell>
          <cell r="B24">
            <v>139.99</v>
          </cell>
          <cell r="C24">
            <v>600</v>
          </cell>
        </row>
        <row r="25">
          <cell r="A25" t="str">
            <v>AMPARO|ISP LOCAL</v>
          </cell>
          <cell r="B25">
            <v>159.9</v>
          </cell>
          <cell r="C25">
            <v>500</v>
          </cell>
        </row>
        <row r="26">
          <cell r="A26" t="str">
            <v>ANDRADINA|Claro</v>
          </cell>
          <cell r="B26">
            <v>139.9</v>
          </cell>
          <cell r="C26">
            <v>600</v>
          </cell>
        </row>
        <row r="27">
          <cell r="A27" t="str">
            <v>ANDRADINA|Vivo</v>
          </cell>
          <cell r="B27">
            <v>160</v>
          </cell>
          <cell r="C27" t="str">
            <v>500 Mbps</v>
          </cell>
        </row>
        <row r="28">
          <cell r="A28" t="str">
            <v>ANDRADINA|Vero</v>
          </cell>
          <cell r="B28">
            <v>149.99</v>
          </cell>
          <cell r="C28">
            <v>850</v>
          </cell>
        </row>
        <row r="29">
          <cell r="A29" t="str">
            <v>ANDRADINA|ISP LOCAL</v>
          </cell>
          <cell r="B29">
            <v>99.9</v>
          </cell>
          <cell r="C29">
            <v>600</v>
          </cell>
        </row>
        <row r="30">
          <cell r="A30" t="str">
            <v>APARECIDA|Claro</v>
          </cell>
          <cell r="B30">
            <v>139.9</v>
          </cell>
          <cell r="C30">
            <v>600</v>
          </cell>
        </row>
        <row r="31">
          <cell r="A31" t="str">
            <v>APARECIDA|Vivo</v>
          </cell>
          <cell r="B31">
            <v>160</v>
          </cell>
          <cell r="C31" t="str">
            <v>500 Mbps</v>
          </cell>
        </row>
        <row r="32">
          <cell r="A32" t="str">
            <v>APARECIDA|Vero</v>
          </cell>
          <cell r="B32">
            <v>149.99</v>
          </cell>
          <cell r="C32">
            <v>850</v>
          </cell>
        </row>
        <row r="33">
          <cell r="A33" t="str">
            <v>ARACATUBA|Claro</v>
          </cell>
          <cell r="B33">
            <v>139.9</v>
          </cell>
          <cell r="C33">
            <v>600</v>
          </cell>
        </row>
        <row r="34">
          <cell r="A34" t="str">
            <v>ARACATUBA|Vivo</v>
          </cell>
          <cell r="B34">
            <v>160</v>
          </cell>
          <cell r="C34" t="str">
            <v>500 Mbps</v>
          </cell>
        </row>
        <row r="35">
          <cell r="A35" t="str">
            <v>ARACATUBA|Vero</v>
          </cell>
          <cell r="B35">
            <v>149.99</v>
          </cell>
          <cell r="C35">
            <v>850</v>
          </cell>
        </row>
        <row r="36">
          <cell r="A36" t="str">
            <v>ARACATUBA|ISP LOCAL</v>
          </cell>
          <cell r="B36">
            <v>99.9</v>
          </cell>
          <cell r="C36">
            <v>800</v>
          </cell>
        </row>
        <row r="37">
          <cell r="A37" t="str">
            <v>ARARAQUARA|Claro</v>
          </cell>
          <cell r="B37">
            <v>99.9</v>
          </cell>
          <cell r="C37">
            <v>1000</v>
          </cell>
        </row>
        <row r="38">
          <cell r="A38" t="str">
            <v>ARARAQUARA|Vivo</v>
          </cell>
          <cell r="B38">
            <v>160</v>
          </cell>
          <cell r="C38" t="str">
            <v>500 Mbps</v>
          </cell>
        </row>
        <row r="39">
          <cell r="A39" t="str">
            <v>ARARAQUARA|Desktop</v>
          </cell>
          <cell r="B39">
            <v>139.99</v>
          </cell>
          <cell r="C39">
            <v>600</v>
          </cell>
        </row>
        <row r="40">
          <cell r="A40" t="str">
            <v>ARARAQUARA|Algar</v>
          </cell>
          <cell r="B40">
            <v>99.9</v>
          </cell>
          <cell r="C40">
            <v>800</v>
          </cell>
        </row>
        <row r="41">
          <cell r="A41" t="str">
            <v>ARARAQUARA|Weclix</v>
          </cell>
          <cell r="B41">
            <v>99.9</v>
          </cell>
          <cell r="C41">
            <v>1000</v>
          </cell>
        </row>
        <row r="42">
          <cell r="A42" t="str">
            <v>ARARAQUARA|ISP LOCAL</v>
          </cell>
          <cell r="B42">
            <v>109.99</v>
          </cell>
          <cell r="C42">
            <v>600</v>
          </cell>
        </row>
        <row r="43">
          <cell r="A43" t="str">
            <v>ARARAS|Claro</v>
          </cell>
          <cell r="B43">
            <v>159.9</v>
          </cell>
          <cell r="C43">
            <v>600</v>
          </cell>
        </row>
        <row r="44">
          <cell r="A44" t="str">
            <v>ARARAS|Vivo</v>
          </cell>
          <cell r="B44">
            <v>160</v>
          </cell>
          <cell r="C44" t="str">
            <v>500 Mbps</v>
          </cell>
        </row>
        <row r="45">
          <cell r="A45" t="str">
            <v>ARARAS|Desktop</v>
          </cell>
          <cell r="B45">
            <v>89.99</v>
          </cell>
          <cell r="C45">
            <v>600</v>
          </cell>
        </row>
        <row r="46">
          <cell r="A46" t="str">
            <v>ARARAS|Alares</v>
          </cell>
          <cell r="B46">
            <v>99.9</v>
          </cell>
          <cell r="C46">
            <v>1000</v>
          </cell>
        </row>
        <row r="47">
          <cell r="A47" t="str">
            <v>ARARAS|ISP LOCAL</v>
          </cell>
          <cell r="B47">
            <v>99.9</v>
          </cell>
          <cell r="C47">
            <v>600</v>
          </cell>
        </row>
        <row r="48">
          <cell r="A48" t="str">
            <v>ARTUR NOGUEIRA|Claro</v>
          </cell>
          <cell r="B48">
            <v>159.9</v>
          </cell>
          <cell r="C48">
            <v>600</v>
          </cell>
        </row>
        <row r="49">
          <cell r="A49" t="str">
            <v>ARTUR NOGUEIRA|Vivo</v>
          </cell>
          <cell r="B49">
            <v>160</v>
          </cell>
          <cell r="C49" t="str">
            <v>500 Mbps</v>
          </cell>
        </row>
        <row r="50">
          <cell r="A50" t="str">
            <v>ARTUR NOGUEIRA|Desktop</v>
          </cell>
          <cell r="B50">
            <v>89.99</v>
          </cell>
          <cell r="C50">
            <v>600</v>
          </cell>
        </row>
        <row r="51">
          <cell r="A51" t="str">
            <v>ARTUR NOGUEIRA|ISP LOCAL</v>
          </cell>
          <cell r="B51">
            <v>99.9</v>
          </cell>
          <cell r="C51">
            <v>600</v>
          </cell>
        </row>
        <row r="52">
          <cell r="A52" t="str">
            <v>AVARE|Claro</v>
          </cell>
          <cell r="B52">
            <v>139.9</v>
          </cell>
          <cell r="C52">
            <v>600</v>
          </cell>
        </row>
        <row r="53">
          <cell r="A53" t="str">
            <v>AVARE|Vivo</v>
          </cell>
          <cell r="B53">
            <v>160</v>
          </cell>
          <cell r="C53" t="str">
            <v>500 Mbps</v>
          </cell>
        </row>
        <row r="54">
          <cell r="A54" t="str">
            <v>AVARE|Desktop</v>
          </cell>
          <cell r="B54">
            <v>89.99</v>
          </cell>
          <cell r="C54">
            <v>600</v>
          </cell>
        </row>
        <row r="55">
          <cell r="A55" t="str">
            <v>AVARE|ISP LOCAL</v>
          </cell>
          <cell r="B55">
            <v>99.9</v>
          </cell>
          <cell r="C55">
            <v>600</v>
          </cell>
        </row>
        <row r="56">
          <cell r="A56" t="str">
            <v>BADY BASSITT|Claro</v>
          </cell>
          <cell r="B56">
            <v>139.9</v>
          </cell>
          <cell r="C56">
            <v>600</v>
          </cell>
        </row>
        <row r="57">
          <cell r="A57" t="str">
            <v>BADY BASSITT|Desktop</v>
          </cell>
          <cell r="B57">
            <v>89.99</v>
          </cell>
          <cell r="C57">
            <v>600</v>
          </cell>
        </row>
        <row r="58">
          <cell r="A58" t="str">
            <v>BADY BASSITT|Weclix</v>
          </cell>
          <cell r="B58">
            <v>99.9</v>
          </cell>
          <cell r="C58">
            <v>1000</v>
          </cell>
        </row>
        <row r="59">
          <cell r="A59" t="str">
            <v>BADY BASSITT|ISP LOCAL</v>
          </cell>
          <cell r="B59">
            <v>99.9</v>
          </cell>
          <cell r="C59">
            <v>600</v>
          </cell>
        </row>
        <row r="60">
          <cell r="A60" t="str">
            <v>BARRETOS|Claro</v>
          </cell>
          <cell r="B60">
            <v>139.9</v>
          </cell>
          <cell r="C60">
            <v>600</v>
          </cell>
        </row>
        <row r="61">
          <cell r="A61" t="str">
            <v>BARRETOS|Vivo</v>
          </cell>
          <cell r="B61">
            <v>160</v>
          </cell>
          <cell r="C61" t="str">
            <v>500 Mbps</v>
          </cell>
        </row>
        <row r="62">
          <cell r="A62" t="str">
            <v>BARRETOS|Desktop</v>
          </cell>
          <cell r="B62">
            <v>89.99</v>
          </cell>
          <cell r="C62">
            <v>600</v>
          </cell>
        </row>
        <row r="63">
          <cell r="A63" t="str">
            <v>BARRETOS|Algar</v>
          </cell>
          <cell r="B63">
            <v>99.9</v>
          </cell>
          <cell r="C63">
            <v>800</v>
          </cell>
        </row>
        <row r="64">
          <cell r="A64" t="str">
            <v>BARRETOS|ISP LOCAL</v>
          </cell>
          <cell r="B64">
            <v>99.9</v>
          </cell>
          <cell r="C64">
            <v>800</v>
          </cell>
        </row>
        <row r="65">
          <cell r="A65" t="str">
            <v>BARRINHA|Claro</v>
          </cell>
          <cell r="B65">
            <v>139.9</v>
          </cell>
          <cell r="C65">
            <v>600</v>
          </cell>
        </row>
        <row r="66">
          <cell r="A66" t="str">
            <v>BARRINHA|Weclix</v>
          </cell>
          <cell r="B66">
            <v>99.9</v>
          </cell>
          <cell r="C66">
            <v>1000</v>
          </cell>
        </row>
        <row r="67">
          <cell r="A67" t="str">
            <v>BARRINHA|ISP LOCAL</v>
          </cell>
          <cell r="B67">
            <v>99.9</v>
          </cell>
          <cell r="C67">
            <v>800</v>
          </cell>
        </row>
        <row r="68">
          <cell r="A68" t="str">
            <v>BATATAIS|Claro</v>
          </cell>
          <cell r="B68">
            <v>139.9</v>
          </cell>
          <cell r="C68">
            <v>600</v>
          </cell>
        </row>
        <row r="69">
          <cell r="A69" t="str">
            <v>BATATAIS|Algar</v>
          </cell>
          <cell r="B69">
            <v>99.9</v>
          </cell>
          <cell r="C69">
            <v>800</v>
          </cell>
        </row>
        <row r="70">
          <cell r="A70" t="str">
            <v>BATATAIS|Weclix</v>
          </cell>
          <cell r="B70">
            <v>99.9</v>
          </cell>
          <cell r="C70">
            <v>1000</v>
          </cell>
        </row>
        <row r="71">
          <cell r="A71" t="str">
            <v>BATATAIS|ISP LOCAL</v>
          </cell>
          <cell r="B71">
            <v>109</v>
          </cell>
          <cell r="C71">
            <v>1000</v>
          </cell>
        </row>
        <row r="72">
          <cell r="A72" t="str">
            <v>BAURU|Claro</v>
          </cell>
          <cell r="B72">
            <v>99.9</v>
          </cell>
          <cell r="C72">
            <v>1000</v>
          </cell>
        </row>
        <row r="73">
          <cell r="A73" t="str">
            <v>BAURU|Vivo</v>
          </cell>
          <cell r="B73">
            <v>160</v>
          </cell>
          <cell r="C73" t="str">
            <v>500 Mbps</v>
          </cell>
        </row>
        <row r="74">
          <cell r="A74" t="str">
            <v>BAURU|Desktop</v>
          </cell>
          <cell r="B74">
            <v>139.99</v>
          </cell>
          <cell r="C74">
            <v>600</v>
          </cell>
        </row>
        <row r="75">
          <cell r="A75" t="str">
            <v>BAURU|Vero</v>
          </cell>
          <cell r="B75">
            <v>149.99</v>
          </cell>
          <cell r="C75">
            <v>850</v>
          </cell>
        </row>
        <row r="76">
          <cell r="A76" t="str">
            <v>BAURU|ISP LOCAL</v>
          </cell>
          <cell r="B76">
            <v>109.9</v>
          </cell>
          <cell r="C76">
            <v>1000</v>
          </cell>
        </row>
        <row r="77">
          <cell r="A77" t="str">
            <v>BEBEDOURO|Claro</v>
          </cell>
          <cell r="B77">
            <v>139.9</v>
          </cell>
          <cell r="C77">
            <v>600</v>
          </cell>
        </row>
        <row r="78">
          <cell r="A78" t="str">
            <v>BEBEDOURO|Vivo</v>
          </cell>
          <cell r="B78">
            <v>160</v>
          </cell>
          <cell r="C78" t="str">
            <v>500 Mbps</v>
          </cell>
        </row>
        <row r="79">
          <cell r="A79" t="str">
            <v>BEBEDOURO|Desktop</v>
          </cell>
          <cell r="B79">
            <v>89.99</v>
          </cell>
          <cell r="C79">
            <v>600</v>
          </cell>
        </row>
        <row r="80">
          <cell r="A80" t="str">
            <v>BEBEDOURO|Weclix</v>
          </cell>
          <cell r="B80">
            <v>99.9</v>
          </cell>
          <cell r="C80">
            <v>1000</v>
          </cell>
        </row>
        <row r="81">
          <cell r="A81" t="str">
            <v>BEBEDOURO|ISP LOCAL</v>
          </cell>
          <cell r="B81">
            <v>99.9</v>
          </cell>
          <cell r="C81">
            <v>800</v>
          </cell>
        </row>
        <row r="82">
          <cell r="A82" t="str">
            <v>BERTIOGA|Claro</v>
          </cell>
          <cell r="B82">
            <v>159.9</v>
          </cell>
          <cell r="C82">
            <v>600</v>
          </cell>
        </row>
        <row r="83">
          <cell r="A83" t="str">
            <v>BERTIOGA|Vivo</v>
          </cell>
          <cell r="B83">
            <v>160</v>
          </cell>
          <cell r="C83" t="str">
            <v>500 Mbps</v>
          </cell>
        </row>
        <row r="84">
          <cell r="A84" t="str">
            <v>BERTIOGA|ISP LOCAL</v>
          </cell>
          <cell r="B84">
            <v>109.99</v>
          </cell>
          <cell r="C84">
            <v>600</v>
          </cell>
        </row>
        <row r="85">
          <cell r="A85" t="str">
            <v>BIRIGUI|Claro</v>
          </cell>
          <cell r="B85">
            <v>139.9</v>
          </cell>
          <cell r="C85">
            <v>600</v>
          </cell>
        </row>
        <row r="86">
          <cell r="A86" t="str">
            <v>BIRIGUI|Vivo</v>
          </cell>
          <cell r="B86">
            <v>160</v>
          </cell>
          <cell r="C86" t="str">
            <v>500 Mbps</v>
          </cell>
        </row>
        <row r="87">
          <cell r="A87" t="str">
            <v>BIRIGUI|Vero</v>
          </cell>
          <cell r="B87">
            <v>149.99</v>
          </cell>
          <cell r="C87">
            <v>850</v>
          </cell>
        </row>
        <row r="88">
          <cell r="A88" t="str">
            <v>BIRIGUI|ISP LOCAL</v>
          </cell>
          <cell r="B88">
            <v>89.99</v>
          </cell>
          <cell r="C88">
            <v>500</v>
          </cell>
        </row>
        <row r="89">
          <cell r="A89" t="str">
            <v>BOITUVA|Claro</v>
          </cell>
          <cell r="B89">
            <v>139.9</v>
          </cell>
          <cell r="C89">
            <v>600</v>
          </cell>
        </row>
        <row r="90">
          <cell r="A90" t="str">
            <v>BOITUVA|Vivo</v>
          </cell>
          <cell r="B90">
            <v>160</v>
          </cell>
          <cell r="C90" t="str">
            <v>500 Mbps</v>
          </cell>
        </row>
        <row r="91">
          <cell r="A91" t="str">
            <v>BOITUVA|Desktop</v>
          </cell>
          <cell r="B91">
            <v>139.99</v>
          </cell>
          <cell r="C91">
            <v>600</v>
          </cell>
        </row>
        <row r="92">
          <cell r="A92" t="str">
            <v>BOITUVA|ISP LOCAL</v>
          </cell>
          <cell r="B92">
            <v>99.9</v>
          </cell>
          <cell r="C92">
            <v>600</v>
          </cell>
        </row>
        <row r="93">
          <cell r="A93" t="str">
            <v>BOTUCATU|Claro</v>
          </cell>
          <cell r="B93">
            <v>139.9</v>
          </cell>
          <cell r="C93">
            <v>600</v>
          </cell>
        </row>
        <row r="94">
          <cell r="A94" t="str">
            <v>BOTUCATU|Vivo</v>
          </cell>
          <cell r="B94">
            <v>160</v>
          </cell>
          <cell r="C94" t="str">
            <v>500 Mbps</v>
          </cell>
        </row>
        <row r="95">
          <cell r="A95" t="str">
            <v>BOTUCATU|Desktop</v>
          </cell>
          <cell r="B95">
            <v>139.99</v>
          </cell>
          <cell r="C95">
            <v>600</v>
          </cell>
        </row>
        <row r="96">
          <cell r="A96" t="str">
            <v>BOTUCATU|Vero</v>
          </cell>
          <cell r="B96">
            <v>149.99</v>
          </cell>
          <cell r="C96">
            <v>850</v>
          </cell>
        </row>
        <row r="97">
          <cell r="A97" t="str">
            <v>BOTUCATU|ISP LOCAL</v>
          </cell>
          <cell r="B97">
            <v>129.9</v>
          </cell>
          <cell r="C97">
            <v>1000</v>
          </cell>
        </row>
        <row r="98">
          <cell r="A98" t="str">
            <v>CACAPAVA|Claro</v>
          </cell>
          <cell r="B98">
            <v>159.9</v>
          </cell>
          <cell r="C98">
            <v>600</v>
          </cell>
        </row>
        <row r="99">
          <cell r="A99" t="str">
            <v>CACAPAVA|Vivo</v>
          </cell>
          <cell r="B99">
            <v>160</v>
          </cell>
          <cell r="C99" t="str">
            <v>500 Mbps</v>
          </cell>
        </row>
        <row r="100">
          <cell r="A100" t="str">
            <v>CACAPAVA|Desktop</v>
          </cell>
          <cell r="B100">
            <v>89.99</v>
          </cell>
          <cell r="C100">
            <v>600</v>
          </cell>
        </row>
        <row r="101">
          <cell r="A101" t="str">
            <v>CACAPAVA|Vero</v>
          </cell>
          <cell r="B101">
            <v>149.99</v>
          </cell>
          <cell r="C101">
            <v>850</v>
          </cell>
        </row>
        <row r="102">
          <cell r="A102" t="str">
            <v>CACHOEIRA PAULISTA|Claro</v>
          </cell>
          <cell r="B102">
            <v>139.9</v>
          </cell>
          <cell r="C102">
            <v>600</v>
          </cell>
        </row>
        <row r="103">
          <cell r="A103" t="str">
            <v>CACHOEIRA PAULISTA|Vero</v>
          </cell>
          <cell r="B103">
            <v>149.99</v>
          </cell>
          <cell r="C103">
            <v>850</v>
          </cell>
        </row>
        <row r="104">
          <cell r="A104" t="str">
            <v>CACHOEIRA PAULISTA|Weclix</v>
          </cell>
          <cell r="B104">
            <v>99.9</v>
          </cell>
          <cell r="C104">
            <v>1000</v>
          </cell>
        </row>
        <row r="105">
          <cell r="A105" t="str">
            <v>CAMPINAS|Claro</v>
          </cell>
          <cell r="B105">
            <v>159.9</v>
          </cell>
          <cell r="C105">
            <v>600</v>
          </cell>
        </row>
        <row r="106">
          <cell r="A106" t="str">
            <v>CAMPINAS|Vivo</v>
          </cell>
          <cell r="B106">
            <v>160</v>
          </cell>
          <cell r="C106" t="str">
            <v>500 Mbps</v>
          </cell>
        </row>
        <row r="107">
          <cell r="A107" t="str">
            <v>CAMPINAS|Desktop</v>
          </cell>
          <cell r="B107">
            <v>139.99</v>
          </cell>
          <cell r="C107">
            <v>600</v>
          </cell>
        </row>
        <row r="108">
          <cell r="A108" t="str">
            <v>CAMPINAS|ISP LOCAL</v>
          </cell>
          <cell r="B108">
            <v>99.9</v>
          </cell>
          <cell r="C108" t="str">
            <v>500 Mbps</v>
          </cell>
        </row>
        <row r="109">
          <cell r="A109" t="str">
            <v>CAMPOS DO JORDAO|Claro</v>
          </cell>
          <cell r="B109">
            <v>139.9</v>
          </cell>
          <cell r="C109">
            <v>600</v>
          </cell>
        </row>
        <row r="110">
          <cell r="A110" t="str">
            <v>CAMPOS DO JORDAO|Vivo</v>
          </cell>
          <cell r="B110">
            <v>160</v>
          </cell>
          <cell r="C110" t="str">
            <v>500 Mbps</v>
          </cell>
        </row>
        <row r="111">
          <cell r="A111" t="str">
            <v>CAMPOS DO JORDAO|ISP LOCAL</v>
          </cell>
          <cell r="B111">
            <v>99.9</v>
          </cell>
          <cell r="C111">
            <v>700</v>
          </cell>
        </row>
        <row r="112">
          <cell r="A112" t="str">
            <v>CAPIVARI|Claro</v>
          </cell>
          <cell r="B112">
            <v>159.9</v>
          </cell>
          <cell r="C112">
            <v>600</v>
          </cell>
        </row>
        <row r="113">
          <cell r="A113" t="str">
            <v>CAPIVARI|Desktop</v>
          </cell>
          <cell r="B113">
            <v>139.99</v>
          </cell>
          <cell r="C113">
            <v>600</v>
          </cell>
        </row>
        <row r="114">
          <cell r="A114" t="str">
            <v>CAPIVARI|ISP LOCAL</v>
          </cell>
          <cell r="B114">
            <v>99.9</v>
          </cell>
          <cell r="C114">
            <v>700</v>
          </cell>
        </row>
        <row r="115">
          <cell r="A115" t="str">
            <v>CARAGUATATUBA|Claro</v>
          </cell>
          <cell r="B115">
            <v>159.9</v>
          </cell>
          <cell r="C115">
            <v>600</v>
          </cell>
        </row>
        <row r="116">
          <cell r="A116" t="str">
            <v>CARAGUATATUBA|Vivo</v>
          </cell>
          <cell r="B116">
            <v>160</v>
          </cell>
          <cell r="C116" t="str">
            <v>500 Mbps</v>
          </cell>
        </row>
        <row r="117">
          <cell r="A117" t="str">
            <v>CARAGUATATUBA|ISP LOCAL</v>
          </cell>
          <cell r="B117">
            <v>109.99</v>
          </cell>
          <cell r="C117">
            <v>600</v>
          </cell>
        </row>
        <row r="118">
          <cell r="A118" t="str">
            <v>CASA BRANCA|Claro</v>
          </cell>
          <cell r="B118">
            <v>139.9</v>
          </cell>
          <cell r="C118">
            <v>600</v>
          </cell>
        </row>
        <row r="119">
          <cell r="A119" t="str">
            <v>CASA BRANCA|Desktop</v>
          </cell>
          <cell r="B119">
            <v>139.99</v>
          </cell>
          <cell r="C119">
            <v>600</v>
          </cell>
        </row>
        <row r="120">
          <cell r="A120" t="str">
            <v>CASA BRANCA|Alares</v>
          </cell>
          <cell r="B120">
            <v>99.9</v>
          </cell>
          <cell r="C120">
            <v>1000</v>
          </cell>
        </row>
        <row r="121">
          <cell r="A121" t="str">
            <v>CASA BRANCA|ISP LOCAL</v>
          </cell>
          <cell r="B121">
            <v>119</v>
          </cell>
          <cell r="C121">
            <v>600</v>
          </cell>
        </row>
        <row r="122">
          <cell r="A122" t="str">
            <v>CATANDUVA|Claro</v>
          </cell>
          <cell r="B122">
            <v>139.9</v>
          </cell>
          <cell r="C122">
            <v>600</v>
          </cell>
        </row>
        <row r="123">
          <cell r="A123" t="str">
            <v>CATANDUVA|Vivo</v>
          </cell>
          <cell r="B123">
            <v>160</v>
          </cell>
          <cell r="C123" t="str">
            <v>500 Mbps</v>
          </cell>
        </row>
        <row r="124">
          <cell r="A124" t="str">
            <v>CATANDUVA|Weclix</v>
          </cell>
          <cell r="B124">
            <v>99.9</v>
          </cell>
          <cell r="C124">
            <v>1000</v>
          </cell>
        </row>
        <row r="125">
          <cell r="A125" t="str">
            <v>CATANDUVA|ISP LOCAL</v>
          </cell>
          <cell r="B125">
            <v>99.99</v>
          </cell>
          <cell r="C125">
            <v>1000</v>
          </cell>
        </row>
        <row r="126">
          <cell r="A126" t="str">
            <v>CERQUILHO|Claro</v>
          </cell>
          <cell r="B126">
            <v>139.9</v>
          </cell>
          <cell r="C126">
            <v>600</v>
          </cell>
        </row>
        <row r="127">
          <cell r="A127" t="str">
            <v>CERQUILHO|Desktop</v>
          </cell>
          <cell r="B127">
            <v>139.99</v>
          </cell>
          <cell r="C127">
            <v>600</v>
          </cell>
        </row>
        <row r="128">
          <cell r="A128" t="str">
            <v>CERQUILHO|ISP LOCAL</v>
          </cell>
          <cell r="B128">
            <v>99.9</v>
          </cell>
          <cell r="C128">
            <v>600</v>
          </cell>
        </row>
        <row r="129">
          <cell r="A129" t="str">
            <v>CORDEIROPOLIS|Claro</v>
          </cell>
          <cell r="B129">
            <v>159.9</v>
          </cell>
          <cell r="C129">
            <v>600</v>
          </cell>
        </row>
        <row r="130">
          <cell r="A130" t="str">
            <v>CORDEIROPOLIS|Desktop</v>
          </cell>
          <cell r="B130">
            <v>139.99</v>
          </cell>
          <cell r="C130">
            <v>600</v>
          </cell>
        </row>
        <row r="131">
          <cell r="A131" t="str">
            <v>CORDEIROPOLIS|Vero</v>
          </cell>
          <cell r="B131">
            <v>149.99</v>
          </cell>
          <cell r="C131">
            <v>850</v>
          </cell>
        </row>
        <row r="132">
          <cell r="A132" t="str">
            <v>CORDEIROPOLIS|ISP LOCAL</v>
          </cell>
          <cell r="B132">
            <v>119</v>
          </cell>
          <cell r="C132">
            <v>600</v>
          </cell>
        </row>
        <row r="133">
          <cell r="A133" t="str">
            <v>COSMOPOLIS|Claro</v>
          </cell>
          <cell r="B133">
            <v>159.9</v>
          </cell>
          <cell r="C133">
            <v>600</v>
          </cell>
        </row>
        <row r="134">
          <cell r="A134" t="str">
            <v>COSMOPOLIS|Vivo</v>
          </cell>
          <cell r="B134">
            <v>160</v>
          </cell>
          <cell r="C134" t="str">
            <v>500 Mbps</v>
          </cell>
        </row>
        <row r="135">
          <cell r="A135" t="str">
            <v>COSMOPOLIS|Desktop</v>
          </cell>
          <cell r="B135">
            <v>89.99</v>
          </cell>
          <cell r="C135">
            <v>600</v>
          </cell>
        </row>
        <row r="136">
          <cell r="A136" t="str">
            <v>COSMOPOLIS|Algar</v>
          </cell>
          <cell r="B136">
            <v>99.9</v>
          </cell>
          <cell r="C136">
            <v>800</v>
          </cell>
        </row>
        <row r="137">
          <cell r="A137" t="str">
            <v>COSMOPOLIS|ISP LOCAL</v>
          </cell>
          <cell r="B137">
            <v>99.9</v>
          </cell>
          <cell r="C137">
            <v>300</v>
          </cell>
        </row>
        <row r="138">
          <cell r="A138" t="str">
            <v>CRAVINHOS|Claro</v>
          </cell>
          <cell r="B138">
            <v>139.9</v>
          </cell>
          <cell r="C138">
            <v>600</v>
          </cell>
        </row>
        <row r="139">
          <cell r="A139" t="str">
            <v>CRAVINHOS|Desktop</v>
          </cell>
          <cell r="B139">
            <v>89.99</v>
          </cell>
          <cell r="C139">
            <v>600</v>
          </cell>
        </row>
        <row r="140">
          <cell r="A140" t="str">
            <v>CRAVINHOS|Algar</v>
          </cell>
          <cell r="B140">
            <v>99.9</v>
          </cell>
          <cell r="C140">
            <v>800</v>
          </cell>
        </row>
        <row r="141">
          <cell r="A141" t="str">
            <v>CRAVINHOS|ISP LOCAL</v>
          </cell>
          <cell r="B141">
            <v>99.9</v>
          </cell>
          <cell r="C141">
            <v>800</v>
          </cell>
        </row>
        <row r="142">
          <cell r="A142" t="str">
            <v>CRUZEIRO|Claro</v>
          </cell>
          <cell r="B142">
            <v>139.9</v>
          </cell>
          <cell r="C142">
            <v>600</v>
          </cell>
        </row>
        <row r="143">
          <cell r="A143" t="str">
            <v>CRUZEIRO|Vivo</v>
          </cell>
          <cell r="B143">
            <v>160</v>
          </cell>
          <cell r="C143" t="str">
            <v>500 Mbps</v>
          </cell>
        </row>
        <row r="144">
          <cell r="A144" t="str">
            <v>CRUZEIRO|Vero</v>
          </cell>
          <cell r="B144">
            <v>149.99</v>
          </cell>
          <cell r="C144">
            <v>850</v>
          </cell>
        </row>
        <row r="145">
          <cell r="A145" t="str">
            <v>CRUZEIRO|Weclix</v>
          </cell>
          <cell r="B145">
            <v>99.9</v>
          </cell>
          <cell r="C145">
            <v>1000</v>
          </cell>
        </row>
        <row r="146">
          <cell r="A146" t="str">
            <v>CRUZEIRO|ISP LOCAL</v>
          </cell>
          <cell r="B146">
            <v>99.9</v>
          </cell>
          <cell r="C146">
            <v>600</v>
          </cell>
        </row>
        <row r="147">
          <cell r="A147" t="str">
            <v>CUBATAO|Claro</v>
          </cell>
          <cell r="B147">
            <v>159.9</v>
          </cell>
          <cell r="C147">
            <v>600</v>
          </cell>
        </row>
        <row r="148">
          <cell r="A148" t="str">
            <v>CUBATAO|Vivo</v>
          </cell>
          <cell r="B148">
            <v>160</v>
          </cell>
          <cell r="C148" t="str">
            <v>500 Mbps</v>
          </cell>
        </row>
        <row r="149">
          <cell r="A149" t="str">
            <v>CUBATAO|Desktop</v>
          </cell>
          <cell r="B149">
            <v>139.99</v>
          </cell>
          <cell r="C149">
            <v>600</v>
          </cell>
        </row>
        <row r="150">
          <cell r="A150" t="str">
            <v>CUBATAO|ISP LOCAL</v>
          </cell>
          <cell r="B150">
            <v>99.9</v>
          </cell>
          <cell r="C150">
            <v>600</v>
          </cell>
        </row>
        <row r="151">
          <cell r="A151" t="str">
            <v>DESCALVADO|Claro</v>
          </cell>
          <cell r="B151">
            <v>139.9</v>
          </cell>
          <cell r="C151">
            <v>600</v>
          </cell>
        </row>
        <row r="152">
          <cell r="A152" t="str">
            <v>DESCALVADO|Vivo</v>
          </cell>
          <cell r="B152">
            <v>160</v>
          </cell>
          <cell r="C152" t="str">
            <v>500 Mbps</v>
          </cell>
        </row>
        <row r="153">
          <cell r="A153" t="str">
            <v>DESCALVADO|Desktop</v>
          </cell>
          <cell r="B153">
            <v>139.99</v>
          </cell>
          <cell r="C153">
            <v>600</v>
          </cell>
        </row>
        <row r="154">
          <cell r="A154" t="str">
            <v>DESCALVADO|ISP LOCAL</v>
          </cell>
          <cell r="B154">
            <v>99.9</v>
          </cell>
          <cell r="C154">
            <v>650</v>
          </cell>
        </row>
        <row r="155">
          <cell r="A155" t="str">
            <v>DRACENA|Claro</v>
          </cell>
          <cell r="B155">
            <v>139.9</v>
          </cell>
          <cell r="C155">
            <v>600</v>
          </cell>
        </row>
        <row r="156">
          <cell r="A156" t="str">
            <v>DRACENA|Vivo</v>
          </cell>
          <cell r="B156">
            <v>160</v>
          </cell>
          <cell r="C156" t="str">
            <v>500 Mbps</v>
          </cell>
        </row>
        <row r="157">
          <cell r="A157" t="str">
            <v>DRACENA|ISP LOCAL</v>
          </cell>
          <cell r="B157">
            <v>99.9</v>
          </cell>
          <cell r="C157">
            <v>600</v>
          </cell>
        </row>
        <row r="158">
          <cell r="A158" t="str">
            <v>ELIAS FAUSTO|Claro</v>
          </cell>
          <cell r="B158">
            <v>159.9</v>
          </cell>
          <cell r="C158">
            <v>600</v>
          </cell>
        </row>
        <row r="159">
          <cell r="A159" t="str">
            <v>ELIAS FAUSTO|Desktop</v>
          </cell>
          <cell r="B159">
            <v>139.99</v>
          </cell>
          <cell r="C159">
            <v>600</v>
          </cell>
        </row>
        <row r="160">
          <cell r="A160" t="str">
            <v>ELIAS FAUSTO|Alares</v>
          </cell>
          <cell r="B160">
            <v>99.9</v>
          </cell>
          <cell r="C160">
            <v>1000</v>
          </cell>
        </row>
        <row r="161">
          <cell r="A161" t="str">
            <v>ESPIRITO SANTO DO PINHAL|Claro</v>
          </cell>
          <cell r="B161">
            <v>139.9</v>
          </cell>
          <cell r="C161">
            <v>600</v>
          </cell>
        </row>
        <row r="162">
          <cell r="A162" t="str">
            <v>ESPIRITO SANTO DO PINHAL|Vivo</v>
          </cell>
          <cell r="B162">
            <v>160</v>
          </cell>
          <cell r="C162" t="str">
            <v>500 Mbps</v>
          </cell>
        </row>
        <row r="163">
          <cell r="A163" t="str">
            <v>ESPIRITO SANTO DO PINHAL|Alares</v>
          </cell>
          <cell r="B163">
            <v>99.9</v>
          </cell>
          <cell r="C163">
            <v>1000</v>
          </cell>
        </row>
        <row r="164">
          <cell r="A164" t="str">
            <v>ESPIRITO SANTO DO PINHAL|ISP LOCAL</v>
          </cell>
          <cell r="B164">
            <v>109.9</v>
          </cell>
          <cell r="C164">
            <v>800</v>
          </cell>
        </row>
        <row r="165">
          <cell r="A165" t="str">
            <v>FERNANDOPOLIS|Claro</v>
          </cell>
          <cell r="B165">
            <v>139.9</v>
          </cell>
          <cell r="C165">
            <v>600</v>
          </cell>
        </row>
        <row r="166">
          <cell r="A166" t="str">
            <v>FERNANDOPOLIS|Vivo</v>
          </cell>
          <cell r="B166">
            <v>160</v>
          </cell>
          <cell r="C166" t="str">
            <v>500 Mbps</v>
          </cell>
        </row>
        <row r="167">
          <cell r="A167" t="str">
            <v>FERNANDOPOLIS|Vero</v>
          </cell>
          <cell r="B167">
            <v>149.99</v>
          </cell>
          <cell r="C167">
            <v>850</v>
          </cell>
        </row>
        <row r="168">
          <cell r="A168" t="str">
            <v>FERNANDOPOLIS|Weclix</v>
          </cell>
          <cell r="B168">
            <v>99.9</v>
          </cell>
          <cell r="C168">
            <v>1000</v>
          </cell>
        </row>
        <row r="169">
          <cell r="A169" t="str">
            <v>FERNANDOPOLIS|ISP LOCAL</v>
          </cell>
          <cell r="B169">
            <v>130</v>
          </cell>
          <cell r="C169">
            <v>600</v>
          </cell>
        </row>
        <row r="170">
          <cell r="A170" t="str">
            <v>FRANCA|Claro</v>
          </cell>
          <cell r="B170">
            <v>159.9</v>
          </cell>
          <cell r="C170">
            <v>600</v>
          </cell>
        </row>
        <row r="171">
          <cell r="A171" t="str">
            <v>FRANCA|Vivo</v>
          </cell>
          <cell r="B171">
            <v>160</v>
          </cell>
          <cell r="C171" t="str">
            <v>500 Mbps</v>
          </cell>
        </row>
        <row r="172">
          <cell r="A172" t="str">
            <v>FRANCA|Desktop</v>
          </cell>
          <cell r="B172">
            <v>139.99</v>
          </cell>
          <cell r="C172">
            <v>600</v>
          </cell>
        </row>
        <row r="173">
          <cell r="A173" t="str">
            <v>FRANCA|Algar</v>
          </cell>
          <cell r="B173">
            <v>99.9</v>
          </cell>
          <cell r="C173">
            <v>800</v>
          </cell>
        </row>
        <row r="174">
          <cell r="A174" t="str">
            <v>FRANCA|Weclix</v>
          </cell>
          <cell r="B174">
            <v>99.9</v>
          </cell>
          <cell r="C174">
            <v>1000</v>
          </cell>
        </row>
        <row r="175">
          <cell r="A175" t="str">
            <v>FRANCA|ISP LOCAL</v>
          </cell>
          <cell r="B175">
            <v>109.99</v>
          </cell>
          <cell r="C175">
            <v>600</v>
          </cell>
        </row>
        <row r="176">
          <cell r="A176" t="str">
            <v>GARCA|Claro</v>
          </cell>
          <cell r="B176">
            <v>139.9</v>
          </cell>
          <cell r="C176">
            <v>600</v>
          </cell>
        </row>
        <row r="177">
          <cell r="A177" t="str">
            <v>GARCA|Vivo</v>
          </cell>
          <cell r="B177">
            <v>160</v>
          </cell>
          <cell r="C177" t="str">
            <v>500 Mbps</v>
          </cell>
        </row>
        <row r="178">
          <cell r="A178" t="str">
            <v>GARCA|ISP LOCAL</v>
          </cell>
          <cell r="B178">
            <v>99.9</v>
          </cell>
          <cell r="C178">
            <v>600</v>
          </cell>
        </row>
        <row r="179">
          <cell r="A179" t="str">
            <v>GUAIRA|Claro</v>
          </cell>
          <cell r="B179">
            <v>139.9</v>
          </cell>
          <cell r="C179">
            <v>600</v>
          </cell>
        </row>
        <row r="180">
          <cell r="A180" t="str">
            <v>GUAIRA|Desktop</v>
          </cell>
          <cell r="B180">
            <v>139.99</v>
          </cell>
          <cell r="C180">
            <v>600</v>
          </cell>
        </row>
        <row r="181">
          <cell r="A181" t="str">
            <v>GUAIRA|Algar</v>
          </cell>
          <cell r="B181">
            <v>114.8</v>
          </cell>
          <cell r="C181">
            <v>600</v>
          </cell>
        </row>
        <row r="182">
          <cell r="A182" t="str">
            <v>GUAIRA|ISP LOCAL</v>
          </cell>
          <cell r="B182">
            <v>99.9</v>
          </cell>
          <cell r="C182">
            <v>800</v>
          </cell>
        </row>
        <row r="183">
          <cell r="A183" t="str">
            <v>GUAPIACU|Claro</v>
          </cell>
          <cell r="B183">
            <v>139.9</v>
          </cell>
          <cell r="C183">
            <v>600</v>
          </cell>
        </row>
        <row r="184">
          <cell r="A184" t="str">
            <v>GUAPIACU|Desktop</v>
          </cell>
          <cell r="B184">
            <v>89.99</v>
          </cell>
          <cell r="C184">
            <v>600</v>
          </cell>
        </row>
        <row r="185">
          <cell r="A185" t="str">
            <v>GUAPIACU|ISP LOCAL</v>
          </cell>
          <cell r="B185">
            <v>99.9</v>
          </cell>
          <cell r="C185">
            <v>1000</v>
          </cell>
        </row>
        <row r="186">
          <cell r="A186" t="str">
            <v>GUARARAPES|Claro</v>
          </cell>
          <cell r="B186">
            <v>139.9</v>
          </cell>
          <cell r="C186">
            <v>600</v>
          </cell>
        </row>
        <row r="187">
          <cell r="A187" t="str">
            <v>GUARARAPES|Vivo</v>
          </cell>
          <cell r="B187">
            <v>160</v>
          </cell>
          <cell r="C187" t="str">
            <v>500 Mbps</v>
          </cell>
        </row>
        <row r="188">
          <cell r="A188" t="str">
            <v>GUARARAPES|Vero</v>
          </cell>
          <cell r="B188">
            <v>149.99</v>
          </cell>
          <cell r="C188">
            <v>850</v>
          </cell>
        </row>
        <row r="189">
          <cell r="A189" t="str">
            <v>GUARARAPES|ISP LOCAL</v>
          </cell>
          <cell r="B189">
            <v>89.99</v>
          </cell>
          <cell r="C189">
            <v>500</v>
          </cell>
        </row>
        <row r="190">
          <cell r="A190" t="str">
            <v>GUARATINGUETA|Claro</v>
          </cell>
          <cell r="B190">
            <v>139.9</v>
          </cell>
          <cell r="C190">
            <v>600</v>
          </cell>
        </row>
        <row r="191">
          <cell r="A191" t="str">
            <v>GUARATINGUETA|Vivo</v>
          </cell>
          <cell r="B191">
            <v>160</v>
          </cell>
          <cell r="C191" t="str">
            <v>500 Mbps</v>
          </cell>
        </row>
        <row r="192">
          <cell r="A192" t="str">
            <v>GUARATINGUETA|ISP LOCAL</v>
          </cell>
          <cell r="B192">
            <v>99.9</v>
          </cell>
          <cell r="C192">
            <v>600</v>
          </cell>
        </row>
        <row r="193">
          <cell r="A193" t="str">
            <v>GUARUJA|Claro</v>
          </cell>
          <cell r="B193">
            <v>159.9</v>
          </cell>
          <cell r="C193">
            <v>600</v>
          </cell>
        </row>
        <row r="194">
          <cell r="A194" t="str">
            <v>GUARUJA|Vivo</v>
          </cell>
          <cell r="B194">
            <v>160</v>
          </cell>
          <cell r="C194" t="str">
            <v>500 Mbps</v>
          </cell>
        </row>
        <row r="195">
          <cell r="A195" t="str">
            <v>GUARUJA|Desktop</v>
          </cell>
          <cell r="B195">
            <v>139.99</v>
          </cell>
          <cell r="C195">
            <v>600</v>
          </cell>
        </row>
        <row r="196">
          <cell r="A196" t="str">
            <v>GUARUJA|ISP LOCAL</v>
          </cell>
          <cell r="B196">
            <v>109.99</v>
          </cell>
          <cell r="C196">
            <v>600</v>
          </cell>
        </row>
        <row r="197">
          <cell r="A197" t="str">
            <v>HORTOLANDIA|Claro</v>
          </cell>
          <cell r="B197">
            <v>159.9</v>
          </cell>
          <cell r="C197">
            <v>600</v>
          </cell>
        </row>
        <row r="198">
          <cell r="A198" t="str">
            <v>HORTOLANDIA|Vivo</v>
          </cell>
          <cell r="B198">
            <v>160</v>
          </cell>
          <cell r="C198" t="str">
            <v>500 Mbps</v>
          </cell>
        </row>
        <row r="199">
          <cell r="A199" t="str">
            <v>HORTOLANDIA|Desktop</v>
          </cell>
          <cell r="B199">
            <v>139.99</v>
          </cell>
          <cell r="C199">
            <v>600</v>
          </cell>
        </row>
        <row r="200">
          <cell r="A200" t="str">
            <v>HORTOLANDIA|ISP LOCAL</v>
          </cell>
          <cell r="B200">
            <v>99.99</v>
          </cell>
          <cell r="C200">
            <v>700</v>
          </cell>
        </row>
        <row r="201">
          <cell r="A201" t="str">
            <v>IBATE|Claro</v>
          </cell>
          <cell r="B201">
            <v>139.9</v>
          </cell>
          <cell r="C201">
            <v>600</v>
          </cell>
        </row>
        <row r="202">
          <cell r="A202" t="str">
            <v>IBATE|Desktop</v>
          </cell>
          <cell r="B202">
            <v>139.99</v>
          </cell>
          <cell r="C202">
            <v>600</v>
          </cell>
        </row>
        <row r="203">
          <cell r="A203" t="str">
            <v>IBATE|ISP LOCAL</v>
          </cell>
          <cell r="B203">
            <v>99</v>
          </cell>
          <cell r="C203">
            <v>500</v>
          </cell>
        </row>
        <row r="204">
          <cell r="A204" t="str">
            <v>IBIUNA|Claro</v>
          </cell>
          <cell r="B204">
            <v>139.9</v>
          </cell>
          <cell r="C204">
            <v>600</v>
          </cell>
        </row>
        <row r="205">
          <cell r="A205" t="str">
            <v>IBIUNA|Alares</v>
          </cell>
          <cell r="B205">
            <v>99.9</v>
          </cell>
          <cell r="C205">
            <v>1000</v>
          </cell>
        </row>
        <row r="206">
          <cell r="A206" t="str">
            <v>IBIUNA|ISP LOCAL</v>
          </cell>
          <cell r="B206">
            <v>99.9</v>
          </cell>
          <cell r="C206">
            <v>600</v>
          </cell>
        </row>
        <row r="207">
          <cell r="A207" t="str">
            <v>INDAIATUBA|Claro</v>
          </cell>
          <cell r="B207">
            <v>159.9</v>
          </cell>
          <cell r="C207">
            <v>600</v>
          </cell>
        </row>
        <row r="208">
          <cell r="A208" t="str">
            <v>INDAIATUBA|Vivo</v>
          </cell>
          <cell r="B208">
            <v>160</v>
          </cell>
          <cell r="C208" t="str">
            <v>500 Mbps</v>
          </cell>
        </row>
        <row r="209">
          <cell r="A209" t="str">
            <v>INDAIATUBA|Desktop</v>
          </cell>
          <cell r="B209">
            <v>139.99</v>
          </cell>
          <cell r="C209">
            <v>600</v>
          </cell>
        </row>
        <row r="210">
          <cell r="A210" t="str">
            <v>INDAIATUBA|Alares</v>
          </cell>
          <cell r="B210">
            <v>99.9</v>
          </cell>
          <cell r="C210">
            <v>1000</v>
          </cell>
        </row>
        <row r="211">
          <cell r="A211" t="str">
            <v>INDAIATUBA|ISP LOCAL</v>
          </cell>
          <cell r="B211">
            <v>99.9</v>
          </cell>
          <cell r="C211">
            <v>300</v>
          </cell>
        </row>
        <row r="212">
          <cell r="A212" t="str">
            <v>IPERO|Claro</v>
          </cell>
          <cell r="B212">
            <v>139.9</v>
          </cell>
          <cell r="C212">
            <v>600</v>
          </cell>
        </row>
        <row r="213">
          <cell r="A213" t="str">
            <v>IPERO|Desktop</v>
          </cell>
          <cell r="B213">
            <v>139.99</v>
          </cell>
          <cell r="C213">
            <v>600</v>
          </cell>
        </row>
        <row r="214">
          <cell r="A214" t="str">
            <v>IPERO|Vero</v>
          </cell>
          <cell r="B214">
            <v>149.99</v>
          </cell>
          <cell r="C214">
            <v>850</v>
          </cell>
        </row>
        <row r="215">
          <cell r="A215" t="str">
            <v>IPERO|ISP LOCAL</v>
          </cell>
          <cell r="B215">
            <v>99.9</v>
          </cell>
          <cell r="C215">
            <v>600</v>
          </cell>
        </row>
        <row r="216">
          <cell r="A216" t="str">
            <v>ITANHAEM|Claro</v>
          </cell>
          <cell r="B216">
            <v>159.9</v>
          </cell>
          <cell r="C216">
            <v>600</v>
          </cell>
        </row>
        <row r="217">
          <cell r="A217" t="str">
            <v>ITANHAEM|Vivo</v>
          </cell>
          <cell r="B217">
            <v>160</v>
          </cell>
          <cell r="C217" t="str">
            <v>500 Mbps</v>
          </cell>
        </row>
        <row r="218">
          <cell r="A218" t="str">
            <v>ITANHAEM|Desktop</v>
          </cell>
          <cell r="B218">
            <v>89.99</v>
          </cell>
          <cell r="C218">
            <v>600</v>
          </cell>
        </row>
        <row r="219">
          <cell r="A219" t="str">
            <v>ITANHAEM|ISP LOCAL</v>
          </cell>
          <cell r="B219">
            <v>109.9</v>
          </cell>
          <cell r="C219">
            <v>600</v>
          </cell>
        </row>
        <row r="220">
          <cell r="A220" t="str">
            <v>ITAPETININGA|Claro</v>
          </cell>
          <cell r="B220">
            <v>139.9</v>
          </cell>
          <cell r="C220">
            <v>600</v>
          </cell>
        </row>
        <row r="221">
          <cell r="A221" t="str">
            <v>ITAPETININGA|Vivo</v>
          </cell>
          <cell r="B221">
            <v>160</v>
          </cell>
          <cell r="C221" t="str">
            <v>500 Mbps</v>
          </cell>
        </row>
        <row r="222">
          <cell r="A222" t="str">
            <v>ITAPETININGA|Desktop</v>
          </cell>
          <cell r="B222">
            <v>89.99</v>
          </cell>
          <cell r="C222">
            <v>600</v>
          </cell>
        </row>
        <row r="223">
          <cell r="A223" t="str">
            <v>ITAPETININGA|Alares</v>
          </cell>
          <cell r="B223">
            <v>99.9</v>
          </cell>
          <cell r="C223">
            <v>1000</v>
          </cell>
        </row>
        <row r="224">
          <cell r="A224" t="str">
            <v>ITAPETININGA|ISP LOCAL</v>
          </cell>
          <cell r="B224">
            <v>99.9</v>
          </cell>
          <cell r="C224">
            <v>500</v>
          </cell>
        </row>
        <row r="225">
          <cell r="A225" t="str">
            <v>ITAPEVA|Claro</v>
          </cell>
          <cell r="B225">
            <v>139.9</v>
          </cell>
          <cell r="C225">
            <v>600</v>
          </cell>
        </row>
        <row r="226">
          <cell r="A226" t="str">
            <v>ITAPEVA|Vivo</v>
          </cell>
          <cell r="B226">
            <v>160</v>
          </cell>
          <cell r="C226" t="str">
            <v>500 Mbps</v>
          </cell>
        </row>
        <row r="227">
          <cell r="A227" t="str">
            <v>ITAPEVA|ISP LOCAL</v>
          </cell>
          <cell r="B227">
            <v>99.9</v>
          </cell>
          <cell r="C227">
            <v>600</v>
          </cell>
        </row>
        <row r="228">
          <cell r="A228" t="str">
            <v>ITAPIRA|Claro</v>
          </cell>
          <cell r="B228">
            <v>139.9</v>
          </cell>
          <cell r="C228">
            <v>600</v>
          </cell>
        </row>
        <row r="229">
          <cell r="A229" t="str">
            <v>ITAPIRA|Vivo</v>
          </cell>
          <cell r="B229">
            <v>160</v>
          </cell>
          <cell r="C229" t="str">
            <v>500 Mbps</v>
          </cell>
        </row>
        <row r="230">
          <cell r="A230" t="str">
            <v>ITAPIRA|Weclix</v>
          </cell>
          <cell r="B230">
            <v>99.9</v>
          </cell>
          <cell r="C230">
            <v>1000</v>
          </cell>
        </row>
        <row r="231">
          <cell r="A231" t="str">
            <v>ITAPIRA|ISP LOCAL</v>
          </cell>
          <cell r="B231">
            <v>99.9</v>
          </cell>
          <cell r="C231">
            <v>600</v>
          </cell>
        </row>
        <row r="232">
          <cell r="A232" t="str">
            <v>ITUVERAVA|Claro</v>
          </cell>
          <cell r="B232">
            <v>139.9</v>
          </cell>
          <cell r="C232">
            <v>600</v>
          </cell>
        </row>
        <row r="233">
          <cell r="A233" t="str">
            <v>ITUVERAVA|Algar</v>
          </cell>
          <cell r="B233">
            <v>99.9</v>
          </cell>
          <cell r="C233">
            <v>800</v>
          </cell>
        </row>
        <row r="234">
          <cell r="A234" t="str">
            <v>ITUVERAVA|ISP LOCAL</v>
          </cell>
          <cell r="B234">
            <v>99.9</v>
          </cell>
          <cell r="C234">
            <v>600</v>
          </cell>
        </row>
        <row r="235">
          <cell r="A235" t="str">
            <v>JABOTICABAL|Claro</v>
          </cell>
          <cell r="B235">
            <v>139.9</v>
          </cell>
          <cell r="C235">
            <v>600</v>
          </cell>
        </row>
        <row r="236">
          <cell r="A236" t="str">
            <v>JABOTICABAL|Vivo</v>
          </cell>
          <cell r="B236">
            <v>160</v>
          </cell>
          <cell r="C236" t="str">
            <v>500 Mbps</v>
          </cell>
        </row>
        <row r="237">
          <cell r="A237" t="str">
            <v>JABOTICABAL|Desktop</v>
          </cell>
          <cell r="B237">
            <v>139.99</v>
          </cell>
          <cell r="C237">
            <v>600</v>
          </cell>
        </row>
        <row r="238">
          <cell r="A238" t="str">
            <v>JABOTICABAL|Algar</v>
          </cell>
          <cell r="B238">
            <v>99.9</v>
          </cell>
          <cell r="C238">
            <v>800</v>
          </cell>
        </row>
        <row r="239">
          <cell r="A239" t="str">
            <v>JABOTICABAL|Weclix</v>
          </cell>
          <cell r="B239">
            <v>99.9</v>
          </cell>
          <cell r="C239">
            <v>1000</v>
          </cell>
        </row>
        <row r="240">
          <cell r="A240" t="str">
            <v>JABOTICABAL|ISP LOCAL</v>
          </cell>
          <cell r="B240">
            <v>109</v>
          </cell>
          <cell r="C240">
            <v>1000</v>
          </cell>
        </row>
        <row r="241">
          <cell r="A241" t="str">
            <v>JACAREI|Claro</v>
          </cell>
          <cell r="B241">
            <v>159.9</v>
          </cell>
          <cell r="C241">
            <v>600</v>
          </cell>
        </row>
        <row r="242">
          <cell r="A242" t="str">
            <v>JACAREI|Vivo</v>
          </cell>
          <cell r="B242">
            <v>160</v>
          </cell>
          <cell r="C242" t="str">
            <v>500 Mbps</v>
          </cell>
        </row>
        <row r="243">
          <cell r="A243" t="str">
            <v>JACAREI|Desktop</v>
          </cell>
          <cell r="B243">
            <v>139.99</v>
          </cell>
          <cell r="C243">
            <v>600</v>
          </cell>
        </row>
        <row r="244">
          <cell r="A244" t="str">
            <v>JACAREI|ISP LOCAL</v>
          </cell>
          <cell r="B244">
            <v>109.9</v>
          </cell>
          <cell r="C244">
            <v>600</v>
          </cell>
        </row>
        <row r="245">
          <cell r="A245" t="str">
            <v>JAGUARIUNA|Claro</v>
          </cell>
          <cell r="B245">
            <v>159.9</v>
          </cell>
          <cell r="C245">
            <v>600</v>
          </cell>
        </row>
        <row r="246">
          <cell r="A246" t="str">
            <v>JAGUARIUNA|Vivo</v>
          </cell>
          <cell r="B246">
            <v>160</v>
          </cell>
          <cell r="C246" t="str">
            <v>500 Mbps</v>
          </cell>
        </row>
        <row r="247">
          <cell r="A247" t="str">
            <v>JAGUARIUNA|Desktop</v>
          </cell>
          <cell r="B247">
            <v>139.99</v>
          </cell>
          <cell r="C247">
            <v>600</v>
          </cell>
        </row>
        <row r="248">
          <cell r="A248" t="str">
            <v>JAGUARIUNA|ISP LOCAL</v>
          </cell>
          <cell r="B248">
            <v>159.9</v>
          </cell>
          <cell r="C248">
            <v>500</v>
          </cell>
        </row>
        <row r="249">
          <cell r="A249" t="str">
            <v>JALES|Claro</v>
          </cell>
          <cell r="B249">
            <v>139.9</v>
          </cell>
          <cell r="C249">
            <v>600</v>
          </cell>
        </row>
        <row r="250">
          <cell r="A250" t="str">
            <v>JALES|Vivo</v>
          </cell>
          <cell r="B250">
            <v>160</v>
          </cell>
          <cell r="C250" t="str">
            <v>500 Mbps</v>
          </cell>
        </row>
        <row r="251">
          <cell r="A251" t="str">
            <v>JALES|Vero</v>
          </cell>
          <cell r="B251">
            <v>149.99</v>
          </cell>
          <cell r="C251">
            <v>850</v>
          </cell>
        </row>
        <row r="252">
          <cell r="A252" t="str">
            <v>JALES|ISP LOCAL</v>
          </cell>
          <cell r="B252">
            <v>99.39</v>
          </cell>
          <cell r="C252" t="str">
            <v/>
          </cell>
        </row>
        <row r="253">
          <cell r="A253" t="str">
            <v>JARDINOPOLIS|Claro</v>
          </cell>
          <cell r="B253">
            <v>139.9</v>
          </cell>
          <cell r="C253">
            <v>600</v>
          </cell>
        </row>
        <row r="254">
          <cell r="A254" t="str">
            <v>JARDINOPOLIS|Algar</v>
          </cell>
          <cell r="B254">
            <v>99.9</v>
          </cell>
          <cell r="C254">
            <v>800</v>
          </cell>
        </row>
        <row r="255">
          <cell r="A255" t="str">
            <v>JARDINOPOLIS|Weclix</v>
          </cell>
          <cell r="B255">
            <v>99.9</v>
          </cell>
          <cell r="C255">
            <v>1000</v>
          </cell>
        </row>
        <row r="256">
          <cell r="A256" t="str">
            <v>JARDINOPOLIS|ISP LOCAL</v>
          </cell>
          <cell r="B256">
            <v>109</v>
          </cell>
          <cell r="C256">
            <v>1000</v>
          </cell>
        </row>
        <row r="257">
          <cell r="A257" t="str">
            <v>JAU|Claro</v>
          </cell>
          <cell r="B257">
            <v>99.9</v>
          </cell>
          <cell r="C257">
            <v>1000</v>
          </cell>
        </row>
        <row r="258">
          <cell r="A258" t="str">
            <v>JAU|Vivo</v>
          </cell>
          <cell r="B258">
            <v>160</v>
          </cell>
          <cell r="C258" t="str">
            <v>500 Mbps</v>
          </cell>
        </row>
        <row r="259">
          <cell r="A259" t="str">
            <v>JAU|Desktop</v>
          </cell>
          <cell r="B259">
            <v>139.99</v>
          </cell>
          <cell r="C259">
            <v>600</v>
          </cell>
        </row>
        <row r="260">
          <cell r="A260" t="str">
            <v>JAU|Vero</v>
          </cell>
          <cell r="B260">
            <v>149.99</v>
          </cell>
          <cell r="C260">
            <v>850</v>
          </cell>
        </row>
        <row r="261">
          <cell r="A261" t="str">
            <v>JAU|ISP LOCAL</v>
          </cell>
          <cell r="B261">
            <v>99.9</v>
          </cell>
          <cell r="C261">
            <v>600</v>
          </cell>
        </row>
        <row r="262">
          <cell r="A262" t="str">
            <v>JOSE BONIFACIO|Claro</v>
          </cell>
          <cell r="B262">
            <v>139.9</v>
          </cell>
          <cell r="C262">
            <v>600</v>
          </cell>
        </row>
        <row r="263">
          <cell r="A263" t="str">
            <v>JOSE BONIFACIO|ISP LOCAL</v>
          </cell>
          <cell r="B263">
            <v>99.9</v>
          </cell>
          <cell r="C263">
            <v>600</v>
          </cell>
        </row>
        <row r="264">
          <cell r="A264" t="str">
            <v>LARANJAL PAULISTA|Claro</v>
          </cell>
          <cell r="B264">
            <v>139.9</v>
          </cell>
          <cell r="C264">
            <v>600</v>
          </cell>
        </row>
        <row r="265">
          <cell r="A265" t="str">
            <v>LARANJAL PAULISTA|Desktop</v>
          </cell>
          <cell r="B265">
            <v>139.99</v>
          </cell>
          <cell r="C265">
            <v>600</v>
          </cell>
        </row>
        <row r="266">
          <cell r="A266" t="str">
            <v>LARANJAL PAULISTA|ISP LOCAL</v>
          </cell>
          <cell r="B266">
            <v>99.9</v>
          </cell>
          <cell r="C266">
            <v>600</v>
          </cell>
        </row>
        <row r="267">
          <cell r="A267" t="str">
            <v>LEME|Claro</v>
          </cell>
          <cell r="B267">
            <v>139.9</v>
          </cell>
          <cell r="C267">
            <v>600</v>
          </cell>
        </row>
        <row r="268">
          <cell r="A268" t="str">
            <v>LEME|Vivo</v>
          </cell>
          <cell r="B268">
            <v>160</v>
          </cell>
          <cell r="C268" t="str">
            <v>500 Mbps</v>
          </cell>
        </row>
        <row r="269">
          <cell r="A269" t="str">
            <v>LEME|Desktop</v>
          </cell>
          <cell r="B269">
            <v>89.99</v>
          </cell>
          <cell r="C269">
            <v>600</v>
          </cell>
        </row>
        <row r="270">
          <cell r="A270" t="str">
            <v>LEME|Vero</v>
          </cell>
          <cell r="B270">
            <v>149.99</v>
          </cell>
          <cell r="C270">
            <v>850</v>
          </cell>
        </row>
        <row r="271">
          <cell r="A271" t="str">
            <v>LEME|ISP LOCAL</v>
          </cell>
          <cell r="B271">
            <v>99.9</v>
          </cell>
          <cell r="C271">
            <v>600</v>
          </cell>
        </row>
        <row r="272">
          <cell r="A272" t="str">
            <v>LENCOIS PAULISTA|Claro</v>
          </cell>
          <cell r="B272">
            <v>139.9</v>
          </cell>
          <cell r="C272">
            <v>600</v>
          </cell>
        </row>
        <row r="273">
          <cell r="A273" t="str">
            <v>LENCOIS PAULISTA|Vivo</v>
          </cell>
          <cell r="B273">
            <v>160</v>
          </cell>
          <cell r="C273" t="str">
            <v>500 Mbps</v>
          </cell>
        </row>
        <row r="274">
          <cell r="A274" t="str">
            <v>LENCOIS PAULISTA|Desktop</v>
          </cell>
          <cell r="B274">
            <v>139.99</v>
          </cell>
          <cell r="C274">
            <v>600</v>
          </cell>
        </row>
        <row r="275">
          <cell r="A275" t="str">
            <v>LENCOIS PAULISTA|ISP LOCAL</v>
          </cell>
          <cell r="B275">
            <v>99.9</v>
          </cell>
          <cell r="C275">
            <v>600</v>
          </cell>
        </row>
        <row r="276">
          <cell r="A276" t="str">
            <v>LIMEIRA|Claro</v>
          </cell>
          <cell r="B276">
            <v>159.9</v>
          </cell>
          <cell r="C276">
            <v>600</v>
          </cell>
        </row>
        <row r="277">
          <cell r="A277" t="str">
            <v>LIMEIRA|Vivo</v>
          </cell>
          <cell r="B277">
            <v>160</v>
          </cell>
          <cell r="C277" t="str">
            <v>500 Mbps</v>
          </cell>
        </row>
        <row r="278">
          <cell r="A278" t="str">
            <v>LIMEIRA|Desktop</v>
          </cell>
          <cell r="B278">
            <v>89.99</v>
          </cell>
          <cell r="C278">
            <v>600</v>
          </cell>
        </row>
        <row r="279">
          <cell r="A279" t="str">
            <v>LIMEIRA|Alares</v>
          </cell>
          <cell r="B279">
            <v>99.9</v>
          </cell>
          <cell r="C279">
            <v>1000</v>
          </cell>
        </row>
        <row r="280">
          <cell r="A280" t="str">
            <v>LIMEIRA|Vero</v>
          </cell>
          <cell r="B280">
            <v>149.99</v>
          </cell>
          <cell r="C280">
            <v>850</v>
          </cell>
        </row>
        <row r="281">
          <cell r="A281" t="str">
            <v>LINS|Claro</v>
          </cell>
          <cell r="B281">
            <v>139.9</v>
          </cell>
          <cell r="C281">
            <v>600</v>
          </cell>
        </row>
        <row r="282">
          <cell r="A282" t="str">
            <v>LINS|Vivo</v>
          </cell>
          <cell r="B282">
            <v>160</v>
          </cell>
          <cell r="C282" t="str">
            <v>500 Mbps</v>
          </cell>
        </row>
        <row r="283">
          <cell r="A283" t="str">
            <v>LINS|Desktop</v>
          </cell>
          <cell r="B283">
            <v>89.99</v>
          </cell>
          <cell r="C283">
            <v>600</v>
          </cell>
        </row>
        <row r="284">
          <cell r="A284" t="str">
            <v>LINS|Vero</v>
          </cell>
          <cell r="B284">
            <v>149.99</v>
          </cell>
          <cell r="C284">
            <v>850</v>
          </cell>
        </row>
        <row r="285">
          <cell r="A285" t="str">
            <v>LINS|ISP LOCAL</v>
          </cell>
          <cell r="B285">
            <v>99.9</v>
          </cell>
          <cell r="C285">
            <v>600</v>
          </cell>
        </row>
        <row r="286">
          <cell r="A286" t="str">
            <v>LORENA|Claro</v>
          </cell>
          <cell r="B286">
            <v>139.9</v>
          </cell>
          <cell r="C286">
            <v>600</v>
          </cell>
        </row>
        <row r="287">
          <cell r="A287" t="str">
            <v>LORENA|Vivo</v>
          </cell>
          <cell r="B287">
            <v>160</v>
          </cell>
          <cell r="C287" t="str">
            <v>500 Mbps</v>
          </cell>
        </row>
        <row r="288">
          <cell r="A288" t="str">
            <v>LORENA|Vero</v>
          </cell>
          <cell r="B288">
            <v>149.99</v>
          </cell>
          <cell r="C288">
            <v>850</v>
          </cell>
        </row>
        <row r="289">
          <cell r="A289" t="str">
            <v>LORENA|ISP LOCAL</v>
          </cell>
          <cell r="B289">
            <v>99.9</v>
          </cell>
          <cell r="C289">
            <v>600</v>
          </cell>
        </row>
        <row r="290">
          <cell r="A290" t="str">
            <v>LOUVEIRA|Claro</v>
          </cell>
          <cell r="B290">
            <v>139.9</v>
          </cell>
          <cell r="C290">
            <v>600</v>
          </cell>
        </row>
        <row r="291">
          <cell r="A291" t="str">
            <v>LOUVEIRA|Vivo</v>
          </cell>
          <cell r="B291">
            <v>160</v>
          </cell>
          <cell r="C291" t="str">
            <v>500 Mbps</v>
          </cell>
        </row>
        <row r="292">
          <cell r="A292" t="str">
            <v>LOUVEIRA|Desktop</v>
          </cell>
          <cell r="B292">
            <v>139.99</v>
          </cell>
          <cell r="C292">
            <v>600</v>
          </cell>
        </row>
        <row r="293">
          <cell r="A293" t="str">
            <v>LOUVEIRA|Alares</v>
          </cell>
          <cell r="B293">
            <v>99.9</v>
          </cell>
          <cell r="C293">
            <v>1000</v>
          </cell>
        </row>
        <row r="294">
          <cell r="A294" t="str">
            <v>LOUVEIRA|ISP LOCAL</v>
          </cell>
          <cell r="B294">
            <v>99.9</v>
          </cell>
          <cell r="C294">
            <v>600</v>
          </cell>
        </row>
        <row r="295">
          <cell r="A295" t="str">
            <v>MARILIA|Claro</v>
          </cell>
          <cell r="B295">
            <v>139.9</v>
          </cell>
          <cell r="C295">
            <v>600</v>
          </cell>
        </row>
        <row r="296">
          <cell r="A296" t="str">
            <v>MARILIA|Vivo</v>
          </cell>
          <cell r="B296">
            <v>160</v>
          </cell>
          <cell r="C296" t="str">
            <v>500 Mbps</v>
          </cell>
        </row>
        <row r="297">
          <cell r="A297" t="str">
            <v>MARILIA|Alares</v>
          </cell>
          <cell r="B297">
            <v>99.9</v>
          </cell>
          <cell r="C297">
            <v>1000</v>
          </cell>
        </row>
        <row r="298">
          <cell r="A298" t="str">
            <v>MARILIA|ISP LOCAL</v>
          </cell>
          <cell r="B298">
            <v>99.9</v>
          </cell>
          <cell r="C298">
            <v>600</v>
          </cell>
        </row>
        <row r="299">
          <cell r="A299" t="str">
            <v>MATAO|Claro</v>
          </cell>
          <cell r="B299">
            <v>139.9</v>
          </cell>
          <cell r="C299">
            <v>600</v>
          </cell>
        </row>
        <row r="300">
          <cell r="A300" t="str">
            <v>MATAO|Vivo</v>
          </cell>
          <cell r="B300">
            <v>160</v>
          </cell>
          <cell r="C300" t="str">
            <v>500 Mbps</v>
          </cell>
        </row>
        <row r="301">
          <cell r="A301" t="str">
            <v>MATAO|Desktop</v>
          </cell>
          <cell r="B301">
            <v>139.99</v>
          </cell>
          <cell r="C301">
            <v>600</v>
          </cell>
        </row>
        <row r="302">
          <cell r="A302" t="str">
            <v>MATAO|Algar</v>
          </cell>
          <cell r="B302">
            <v>99.9</v>
          </cell>
          <cell r="C302">
            <v>800</v>
          </cell>
        </row>
        <row r="303">
          <cell r="A303" t="str">
            <v>MATAO|Weclix</v>
          </cell>
          <cell r="B303">
            <v>99.9</v>
          </cell>
          <cell r="C303">
            <v>1000</v>
          </cell>
        </row>
        <row r="304">
          <cell r="A304" t="str">
            <v>MATAO|ISP LOCAL</v>
          </cell>
          <cell r="B304">
            <v>109.9</v>
          </cell>
          <cell r="C304">
            <v>500</v>
          </cell>
        </row>
        <row r="305">
          <cell r="A305" t="str">
            <v>MIRANDOPOLIS|Claro</v>
          </cell>
          <cell r="B305">
            <v>139.9</v>
          </cell>
          <cell r="C305">
            <v>600</v>
          </cell>
        </row>
        <row r="306">
          <cell r="A306" t="str">
            <v>MIRANDOPOLIS|Vero</v>
          </cell>
          <cell r="B306">
            <v>149.99</v>
          </cell>
          <cell r="C306">
            <v>850</v>
          </cell>
        </row>
        <row r="307">
          <cell r="A307" t="str">
            <v>MIRANDOPOLIS|ISP LOCAL</v>
          </cell>
          <cell r="B307">
            <v>99.9</v>
          </cell>
          <cell r="C307">
            <v>800</v>
          </cell>
        </row>
        <row r="308">
          <cell r="A308" t="str">
            <v>MIRASSOL|Claro</v>
          </cell>
          <cell r="B308">
            <v>159.9</v>
          </cell>
          <cell r="C308">
            <v>600</v>
          </cell>
        </row>
        <row r="309">
          <cell r="A309" t="str">
            <v>MIRASSOL|Vivo</v>
          </cell>
          <cell r="B309">
            <v>160</v>
          </cell>
          <cell r="C309" t="str">
            <v>500 Mbps</v>
          </cell>
        </row>
        <row r="310">
          <cell r="A310" t="str">
            <v>MIRASSOL|Desktop</v>
          </cell>
          <cell r="B310">
            <v>89.99</v>
          </cell>
          <cell r="C310">
            <v>600</v>
          </cell>
        </row>
        <row r="311">
          <cell r="A311" t="str">
            <v>MIRASSOL|ISP LOCAL</v>
          </cell>
          <cell r="B311">
            <v>145</v>
          </cell>
          <cell r="C311">
            <v>600</v>
          </cell>
        </row>
        <row r="312">
          <cell r="A312" t="str">
            <v>MOCOCA|Claro</v>
          </cell>
          <cell r="B312">
            <v>139.9</v>
          </cell>
          <cell r="C312">
            <v>600</v>
          </cell>
        </row>
        <row r="313">
          <cell r="A313" t="str">
            <v>MOCOCA|Vivo</v>
          </cell>
          <cell r="B313">
            <v>160</v>
          </cell>
          <cell r="C313" t="str">
            <v>500 Mbps</v>
          </cell>
        </row>
        <row r="314">
          <cell r="A314" t="str">
            <v>MOCOCA|Alares</v>
          </cell>
          <cell r="B314">
            <v>99.9</v>
          </cell>
          <cell r="C314">
            <v>1000</v>
          </cell>
        </row>
        <row r="315">
          <cell r="A315" t="str">
            <v>MOCOCA|ISP LOCAL</v>
          </cell>
          <cell r="B315">
            <v>119</v>
          </cell>
          <cell r="C315">
            <v>600</v>
          </cell>
        </row>
        <row r="316">
          <cell r="A316" t="str">
            <v>MOGI GUACU|Claro</v>
          </cell>
          <cell r="B316">
            <v>159.9</v>
          </cell>
          <cell r="C316">
            <v>600</v>
          </cell>
        </row>
        <row r="317">
          <cell r="A317" t="str">
            <v>MOGI GUACU|Vivo</v>
          </cell>
          <cell r="B317">
            <v>160</v>
          </cell>
          <cell r="C317" t="str">
            <v>500 Mbps</v>
          </cell>
        </row>
        <row r="318">
          <cell r="A318" t="str">
            <v>MOGI GUACU|Desktop</v>
          </cell>
          <cell r="B318">
            <v>89.99</v>
          </cell>
          <cell r="C318">
            <v>600</v>
          </cell>
        </row>
        <row r="319">
          <cell r="A319" t="str">
            <v>MOGI GUACU|Alares</v>
          </cell>
          <cell r="B319">
            <v>99.9</v>
          </cell>
          <cell r="C319">
            <v>1000</v>
          </cell>
        </row>
        <row r="320">
          <cell r="A320" t="str">
            <v>MOGI GUACU|ISP LOCAL</v>
          </cell>
          <cell r="B320">
            <v>99.9</v>
          </cell>
          <cell r="C320">
            <v>550</v>
          </cell>
        </row>
        <row r="321">
          <cell r="A321" t="str">
            <v>MOGI MIRIM|Claro</v>
          </cell>
          <cell r="B321">
            <v>159.9</v>
          </cell>
          <cell r="C321">
            <v>600</v>
          </cell>
        </row>
        <row r="322">
          <cell r="A322" t="str">
            <v>MOGI MIRIM|Vivo</v>
          </cell>
          <cell r="B322">
            <v>160</v>
          </cell>
          <cell r="C322" t="str">
            <v>500 Mbps</v>
          </cell>
        </row>
        <row r="323">
          <cell r="A323" t="str">
            <v>MOGI MIRIM|Desktop</v>
          </cell>
          <cell r="B323">
            <v>89.99</v>
          </cell>
          <cell r="C323">
            <v>600</v>
          </cell>
        </row>
        <row r="324">
          <cell r="A324" t="str">
            <v>MOGI MIRIM|Alares</v>
          </cell>
          <cell r="B324">
            <v>99.9</v>
          </cell>
          <cell r="C324">
            <v>1000</v>
          </cell>
        </row>
        <row r="325">
          <cell r="A325" t="str">
            <v>MOGI MIRIM|ISP LOCAL</v>
          </cell>
          <cell r="B325">
            <v>99.9</v>
          </cell>
          <cell r="C325">
            <v>600</v>
          </cell>
        </row>
        <row r="326">
          <cell r="A326" t="str">
            <v>MONGAGUA|Claro</v>
          </cell>
          <cell r="B326">
            <v>159.9</v>
          </cell>
          <cell r="C326">
            <v>600</v>
          </cell>
        </row>
        <row r="327">
          <cell r="A327" t="str">
            <v>MONGAGUA|Desktop</v>
          </cell>
          <cell r="B327">
            <v>89.99</v>
          </cell>
          <cell r="C327">
            <v>600</v>
          </cell>
        </row>
        <row r="328">
          <cell r="A328" t="str">
            <v>MONGAGUA|ISP LOCAL</v>
          </cell>
          <cell r="B328">
            <v>109.9</v>
          </cell>
          <cell r="C328">
            <v>600</v>
          </cell>
        </row>
        <row r="329">
          <cell r="A329" t="str">
            <v>MONTE ALTO|Claro</v>
          </cell>
          <cell r="B329">
            <v>139.9</v>
          </cell>
          <cell r="C329">
            <v>600</v>
          </cell>
        </row>
        <row r="330">
          <cell r="A330" t="str">
            <v>MONTE ALTO|Desktop</v>
          </cell>
          <cell r="B330">
            <v>139.99</v>
          </cell>
          <cell r="C330">
            <v>600</v>
          </cell>
        </row>
        <row r="331">
          <cell r="A331" t="str">
            <v>MONTE ALTO|Weclix</v>
          </cell>
          <cell r="B331">
            <v>99.9</v>
          </cell>
          <cell r="C331">
            <v>1000</v>
          </cell>
        </row>
        <row r="332">
          <cell r="A332" t="str">
            <v>MONTE ALTO|ISP LOCAL</v>
          </cell>
          <cell r="B332">
            <v>99.9</v>
          </cell>
          <cell r="C332">
            <v>400</v>
          </cell>
        </row>
        <row r="333">
          <cell r="A333" t="str">
            <v>MONTE MOR|Claro</v>
          </cell>
          <cell r="B333">
            <v>159.9</v>
          </cell>
          <cell r="C333">
            <v>600</v>
          </cell>
        </row>
        <row r="334">
          <cell r="A334" t="str">
            <v>MONTE MOR|Desktop</v>
          </cell>
          <cell r="B334">
            <v>139.99</v>
          </cell>
          <cell r="C334">
            <v>600</v>
          </cell>
        </row>
        <row r="335">
          <cell r="A335" t="str">
            <v>MONTE MOR|Alares</v>
          </cell>
          <cell r="B335">
            <v>99.9</v>
          </cell>
          <cell r="C335">
            <v>1000</v>
          </cell>
        </row>
        <row r="336">
          <cell r="A336" t="str">
            <v>MONTE MOR|ISP LOCAL</v>
          </cell>
          <cell r="B336">
            <v>99.99</v>
          </cell>
          <cell r="C336">
            <v>700</v>
          </cell>
        </row>
        <row r="337">
          <cell r="A337" t="str">
            <v>NOVA ODESSA|Claro</v>
          </cell>
          <cell r="B337">
            <v>159.9</v>
          </cell>
          <cell r="C337">
            <v>600</v>
          </cell>
        </row>
        <row r="338">
          <cell r="A338" t="str">
            <v>NOVA ODESSA|Vivo</v>
          </cell>
          <cell r="B338">
            <v>160</v>
          </cell>
          <cell r="C338" t="str">
            <v>500 Mbps</v>
          </cell>
        </row>
        <row r="339">
          <cell r="A339" t="str">
            <v>NOVA ODESSA|Desktop</v>
          </cell>
          <cell r="B339">
            <v>139.99</v>
          </cell>
          <cell r="C339">
            <v>600</v>
          </cell>
        </row>
        <row r="340">
          <cell r="A340" t="str">
            <v>NOVA ODESSA|ISP LOCAL</v>
          </cell>
          <cell r="B340">
            <v>99.99</v>
          </cell>
          <cell r="C340">
            <v>700</v>
          </cell>
        </row>
        <row r="341">
          <cell r="A341" t="str">
            <v>OLIMPIA|Claro</v>
          </cell>
          <cell r="B341">
            <v>139.9</v>
          </cell>
          <cell r="C341">
            <v>600</v>
          </cell>
        </row>
        <row r="342">
          <cell r="A342" t="str">
            <v>OLIMPIA|Vivo</v>
          </cell>
          <cell r="B342">
            <v>160</v>
          </cell>
          <cell r="C342" t="str">
            <v>500 Mbps</v>
          </cell>
        </row>
        <row r="343">
          <cell r="A343" t="str">
            <v>OLIMPIA|Desktop</v>
          </cell>
          <cell r="B343">
            <v>139.99</v>
          </cell>
          <cell r="C343">
            <v>600</v>
          </cell>
        </row>
        <row r="344">
          <cell r="A344" t="str">
            <v>OLIMPIA|ISP LOCAL</v>
          </cell>
          <cell r="B344">
            <v>89.9</v>
          </cell>
          <cell r="C344">
            <v>500</v>
          </cell>
        </row>
        <row r="345">
          <cell r="A345" t="str">
            <v>ORLANDIA|Claro</v>
          </cell>
          <cell r="B345">
            <v>139.9</v>
          </cell>
          <cell r="C345">
            <v>600</v>
          </cell>
        </row>
        <row r="346">
          <cell r="A346" t="str">
            <v>ORLANDIA|Algar</v>
          </cell>
          <cell r="B346">
            <v>99.9</v>
          </cell>
          <cell r="C346">
            <v>800</v>
          </cell>
        </row>
        <row r="347">
          <cell r="A347" t="str">
            <v>ORLANDIA|Weclix</v>
          </cell>
          <cell r="B347">
            <v>99.9</v>
          </cell>
          <cell r="C347">
            <v>1000</v>
          </cell>
        </row>
        <row r="348">
          <cell r="A348" t="str">
            <v>ORLANDIA|ISP LOCAL</v>
          </cell>
          <cell r="B348">
            <v>109.99</v>
          </cell>
          <cell r="C348">
            <v>600</v>
          </cell>
        </row>
        <row r="349">
          <cell r="A349" t="str">
            <v>OURINHOS|Claro</v>
          </cell>
          <cell r="B349">
            <v>139.9</v>
          </cell>
          <cell r="C349">
            <v>600</v>
          </cell>
        </row>
        <row r="350">
          <cell r="A350" t="str">
            <v>OURINHOS|Vivo</v>
          </cell>
          <cell r="B350">
            <v>160</v>
          </cell>
          <cell r="C350" t="str">
            <v>500 Mbps</v>
          </cell>
        </row>
        <row r="351">
          <cell r="A351" t="str">
            <v>OURINHOS|Alares</v>
          </cell>
          <cell r="B351">
            <v>99.9</v>
          </cell>
          <cell r="C351">
            <v>1000</v>
          </cell>
        </row>
        <row r="352">
          <cell r="A352" t="str">
            <v>OURINHOS|ISP LOCAL</v>
          </cell>
          <cell r="B352">
            <v>99.9</v>
          </cell>
          <cell r="C352">
            <v>600</v>
          </cell>
        </row>
        <row r="353">
          <cell r="A353" t="str">
            <v>PAULINIA|Claro</v>
          </cell>
          <cell r="B353">
            <v>159.9</v>
          </cell>
          <cell r="C353">
            <v>600</v>
          </cell>
        </row>
        <row r="354">
          <cell r="A354" t="str">
            <v>PAULINIA|Vivo</v>
          </cell>
          <cell r="B354">
            <v>160</v>
          </cell>
          <cell r="C354" t="str">
            <v>500 Mbps</v>
          </cell>
        </row>
        <row r="355">
          <cell r="A355" t="str">
            <v>PAULINIA|Desktop</v>
          </cell>
          <cell r="B355">
            <v>139.99</v>
          </cell>
          <cell r="C355">
            <v>600</v>
          </cell>
        </row>
        <row r="356">
          <cell r="A356" t="str">
            <v>PAULINIA|Algar</v>
          </cell>
          <cell r="B356">
            <v>99.9</v>
          </cell>
          <cell r="C356">
            <v>800</v>
          </cell>
        </row>
        <row r="357">
          <cell r="A357" t="str">
            <v>PAULINIA|ISP LOCAL</v>
          </cell>
          <cell r="B357">
            <v>99.9</v>
          </cell>
          <cell r="C357">
            <v>600</v>
          </cell>
        </row>
        <row r="358">
          <cell r="A358" t="str">
            <v>PEDREIRA|Claro</v>
          </cell>
          <cell r="B358">
            <v>139.9</v>
          </cell>
          <cell r="C358">
            <v>600</v>
          </cell>
        </row>
        <row r="359">
          <cell r="A359" t="str">
            <v>PEDREIRA|Vivo</v>
          </cell>
          <cell r="B359">
            <v>160</v>
          </cell>
          <cell r="C359" t="str">
            <v>500 Mbps</v>
          </cell>
        </row>
        <row r="360">
          <cell r="A360" t="str">
            <v>PEDREIRA|Desktop</v>
          </cell>
          <cell r="B360">
            <v>139.99</v>
          </cell>
          <cell r="C360">
            <v>600</v>
          </cell>
        </row>
        <row r="361">
          <cell r="A361" t="str">
            <v>PEDREIRA|ISP LOCAL</v>
          </cell>
          <cell r="B361">
            <v>159.9</v>
          </cell>
          <cell r="C361">
            <v>500</v>
          </cell>
        </row>
        <row r="362">
          <cell r="A362" t="str">
            <v>PENAPOLIS|Claro</v>
          </cell>
          <cell r="B362">
            <v>139.9</v>
          </cell>
          <cell r="C362">
            <v>600</v>
          </cell>
        </row>
        <row r="363">
          <cell r="A363" t="str">
            <v>PENAPOLIS|Vivo</v>
          </cell>
          <cell r="B363">
            <v>160</v>
          </cell>
          <cell r="C363" t="str">
            <v>500 Mbps</v>
          </cell>
        </row>
        <row r="364">
          <cell r="A364" t="str">
            <v>PENAPOLIS|ISP LOCAL</v>
          </cell>
          <cell r="B364">
            <v>99.9</v>
          </cell>
          <cell r="C364">
            <v>600</v>
          </cell>
        </row>
        <row r="365">
          <cell r="A365" t="str">
            <v>PERUIBE|Claro</v>
          </cell>
          <cell r="B365">
            <v>159.9</v>
          </cell>
          <cell r="C365">
            <v>600</v>
          </cell>
        </row>
        <row r="366">
          <cell r="A366" t="str">
            <v>PERUIBE|Vivo</v>
          </cell>
          <cell r="B366">
            <v>160</v>
          </cell>
          <cell r="C366" t="str">
            <v>500 Mbps</v>
          </cell>
        </row>
        <row r="367">
          <cell r="A367" t="str">
            <v>PERUIBE|Desktop</v>
          </cell>
          <cell r="B367">
            <v>89.99</v>
          </cell>
          <cell r="C367">
            <v>600</v>
          </cell>
        </row>
        <row r="368">
          <cell r="A368" t="str">
            <v>PERUIBE|ISP LOCAL</v>
          </cell>
          <cell r="B368">
            <v>109.9</v>
          </cell>
          <cell r="C368">
            <v>600</v>
          </cell>
        </row>
        <row r="369">
          <cell r="A369" t="str">
            <v>PIEDADE|Claro</v>
          </cell>
          <cell r="B369">
            <v>139.9</v>
          </cell>
          <cell r="C369">
            <v>600</v>
          </cell>
        </row>
        <row r="370">
          <cell r="A370" t="str">
            <v>PIEDADE|Alares</v>
          </cell>
          <cell r="B370">
            <v>99.9</v>
          </cell>
          <cell r="C370">
            <v>1000</v>
          </cell>
        </row>
        <row r="371">
          <cell r="A371" t="str">
            <v>PIEDADE|Vero</v>
          </cell>
          <cell r="B371">
            <v>149.99</v>
          </cell>
          <cell r="C371">
            <v>850</v>
          </cell>
        </row>
        <row r="372">
          <cell r="A372" t="str">
            <v>PIEDADE|ISP LOCAL</v>
          </cell>
          <cell r="B372">
            <v>129.9</v>
          </cell>
          <cell r="C372">
            <v>700</v>
          </cell>
        </row>
        <row r="373">
          <cell r="A373" t="str">
            <v>PINDAMONHANGABA|Claro</v>
          </cell>
          <cell r="B373">
            <v>139.9</v>
          </cell>
          <cell r="C373">
            <v>600</v>
          </cell>
        </row>
        <row r="374">
          <cell r="A374" t="str">
            <v>PINDAMONHANGABA|Vivo</v>
          </cell>
          <cell r="B374">
            <v>160</v>
          </cell>
          <cell r="C374" t="str">
            <v>500 Mbps</v>
          </cell>
        </row>
        <row r="375">
          <cell r="A375" t="str">
            <v>PINDAMONHANGABA|Vero</v>
          </cell>
          <cell r="B375">
            <v>149.99</v>
          </cell>
          <cell r="C375">
            <v>850</v>
          </cell>
        </row>
        <row r="376">
          <cell r="A376" t="str">
            <v>PINDAMONHANGABA|ISP LOCAL</v>
          </cell>
          <cell r="B376">
            <v>99.9</v>
          </cell>
          <cell r="C376">
            <v>600</v>
          </cell>
        </row>
        <row r="377">
          <cell r="A377" t="str">
            <v>PIRACICABA|Claro</v>
          </cell>
          <cell r="B377">
            <v>159.9</v>
          </cell>
          <cell r="C377">
            <v>600</v>
          </cell>
        </row>
        <row r="378">
          <cell r="A378" t="str">
            <v>PIRACICABA|Vivo</v>
          </cell>
          <cell r="B378">
            <v>160</v>
          </cell>
          <cell r="C378" t="str">
            <v>500 Mbps</v>
          </cell>
        </row>
        <row r="379">
          <cell r="A379" t="str">
            <v>PIRACICABA|Desktop</v>
          </cell>
          <cell r="B379">
            <v>139.99</v>
          </cell>
          <cell r="C379">
            <v>600</v>
          </cell>
        </row>
        <row r="380">
          <cell r="A380" t="str">
            <v>PIRACICABA|Vero</v>
          </cell>
          <cell r="B380">
            <v>149.99</v>
          </cell>
          <cell r="C380">
            <v>850</v>
          </cell>
        </row>
        <row r="381">
          <cell r="A381" t="str">
            <v>PIRACICABA|ISP LOCAL</v>
          </cell>
          <cell r="B381">
            <v>119.9</v>
          </cell>
          <cell r="C381">
            <v>500</v>
          </cell>
        </row>
        <row r="382">
          <cell r="A382" t="str">
            <v>PIRASSUNUNGA|Claro</v>
          </cell>
          <cell r="B382">
            <v>139.9</v>
          </cell>
          <cell r="C382">
            <v>600</v>
          </cell>
        </row>
        <row r="383">
          <cell r="A383" t="str">
            <v>PIRASSUNUNGA|Vivo</v>
          </cell>
          <cell r="B383">
            <v>160</v>
          </cell>
          <cell r="C383" t="str">
            <v>500 Mbps</v>
          </cell>
        </row>
        <row r="384">
          <cell r="A384" t="str">
            <v>PIRASSUNUNGA|Desktop</v>
          </cell>
          <cell r="B384">
            <v>89.99</v>
          </cell>
          <cell r="C384">
            <v>600</v>
          </cell>
        </row>
        <row r="385">
          <cell r="A385" t="str">
            <v>PIRASSUNUNGA|Vero</v>
          </cell>
          <cell r="B385">
            <v>149.99</v>
          </cell>
          <cell r="C385">
            <v>850</v>
          </cell>
        </row>
        <row r="386">
          <cell r="A386" t="str">
            <v>PIRASSUNUNGA|ISP LOCAL</v>
          </cell>
          <cell r="B386">
            <v>109.9</v>
          </cell>
          <cell r="C386">
            <v>400</v>
          </cell>
        </row>
        <row r="387">
          <cell r="A387" t="str">
            <v>PONTAL|Claro</v>
          </cell>
          <cell r="B387">
            <v>139.9</v>
          </cell>
          <cell r="C387">
            <v>600</v>
          </cell>
        </row>
        <row r="388">
          <cell r="A388" t="str">
            <v>PONTAL|ISP LOCAL</v>
          </cell>
          <cell r="B388">
            <v>99.9</v>
          </cell>
          <cell r="C388">
            <v>800</v>
          </cell>
        </row>
        <row r="389">
          <cell r="A389" t="str">
            <v>PORTO FELIZ|Claro</v>
          </cell>
          <cell r="B389">
            <v>159.9</v>
          </cell>
          <cell r="C389">
            <v>600</v>
          </cell>
        </row>
        <row r="390">
          <cell r="A390" t="str">
            <v>PORTO FELIZ|Vivo</v>
          </cell>
          <cell r="B390">
            <v>160</v>
          </cell>
          <cell r="C390" t="str">
            <v>500 Mbps</v>
          </cell>
        </row>
        <row r="391">
          <cell r="A391" t="str">
            <v>PORTO FELIZ|ISP LOCAL</v>
          </cell>
          <cell r="B391">
            <v>95</v>
          </cell>
          <cell r="C391">
            <v>900</v>
          </cell>
        </row>
        <row r="392">
          <cell r="A392" t="str">
            <v>PORTO FERREIRA|Claro</v>
          </cell>
          <cell r="B392">
            <v>139.9</v>
          </cell>
          <cell r="C392">
            <v>600</v>
          </cell>
        </row>
        <row r="393">
          <cell r="A393" t="str">
            <v>PORTO FERREIRA|Desktop</v>
          </cell>
          <cell r="B393">
            <v>89.99</v>
          </cell>
          <cell r="C393">
            <v>600</v>
          </cell>
        </row>
        <row r="394">
          <cell r="A394" t="str">
            <v>PORTO FERREIRA|ISP LOCAL</v>
          </cell>
          <cell r="B394">
            <v>99.9</v>
          </cell>
          <cell r="C394">
            <v>700</v>
          </cell>
        </row>
        <row r="395">
          <cell r="A395" t="str">
            <v>POTIM|Claro</v>
          </cell>
          <cell r="B395">
            <v>139.9</v>
          </cell>
          <cell r="C395">
            <v>600</v>
          </cell>
        </row>
        <row r="396">
          <cell r="A396" t="str">
            <v>POTIM|Vero</v>
          </cell>
          <cell r="B396">
            <v>149.99</v>
          </cell>
          <cell r="C396">
            <v>850</v>
          </cell>
        </row>
        <row r="397">
          <cell r="A397" t="str">
            <v>POTIM|ISP LOCAL</v>
          </cell>
          <cell r="B397">
            <v>99.9</v>
          </cell>
          <cell r="C397">
            <v>600</v>
          </cell>
        </row>
        <row r="398">
          <cell r="A398" t="str">
            <v>POTIRENDABA|Claro</v>
          </cell>
          <cell r="B398">
            <v>139.9</v>
          </cell>
          <cell r="C398">
            <v>600</v>
          </cell>
        </row>
        <row r="399">
          <cell r="A399" t="str">
            <v>POTIRENDABA|Weclix</v>
          </cell>
          <cell r="B399">
            <v>99.9</v>
          </cell>
          <cell r="C399">
            <v>1000</v>
          </cell>
        </row>
        <row r="400">
          <cell r="A400" t="str">
            <v>POTIRENDABA|ISP LOCAL</v>
          </cell>
          <cell r="B400">
            <v>99.9</v>
          </cell>
          <cell r="C400">
            <v>600</v>
          </cell>
        </row>
        <row r="401">
          <cell r="A401" t="str">
            <v>PRAIA GRANDE|Claro</v>
          </cell>
          <cell r="B401">
            <v>159.9</v>
          </cell>
          <cell r="C401">
            <v>600</v>
          </cell>
        </row>
        <row r="402">
          <cell r="A402" t="str">
            <v>PRAIA GRANDE|Vivo</v>
          </cell>
          <cell r="B402">
            <v>160</v>
          </cell>
          <cell r="C402" t="str">
            <v>500 Mbps</v>
          </cell>
        </row>
        <row r="403">
          <cell r="A403" t="str">
            <v>PRAIA GRANDE|Desktop</v>
          </cell>
          <cell r="B403">
            <v>139.99</v>
          </cell>
          <cell r="C403">
            <v>600</v>
          </cell>
        </row>
        <row r="404">
          <cell r="A404" t="str">
            <v>PRAIA GRANDE|ISP LOCAL</v>
          </cell>
          <cell r="B404">
            <v>109.99</v>
          </cell>
          <cell r="C404">
            <v>600</v>
          </cell>
        </row>
        <row r="405">
          <cell r="A405" t="str">
            <v>PRESIDENTE BERNARDES|Claro</v>
          </cell>
          <cell r="B405">
            <v>139.9</v>
          </cell>
          <cell r="C405">
            <v>600</v>
          </cell>
        </row>
        <row r="406">
          <cell r="A406" t="str">
            <v>PRESIDENTE BERNARDES|Vero</v>
          </cell>
          <cell r="B406">
            <v>149.99</v>
          </cell>
          <cell r="C406">
            <v>850</v>
          </cell>
        </row>
        <row r="407">
          <cell r="A407" t="str">
            <v>PRESIDENTE PRUDENTE|Claro</v>
          </cell>
          <cell r="B407">
            <v>139.9</v>
          </cell>
          <cell r="C407">
            <v>600</v>
          </cell>
        </row>
        <row r="408">
          <cell r="A408" t="str">
            <v>PRESIDENTE PRUDENTE|Vivo</v>
          </cell>
          <cell r="B408">
            <v>160</v>
          </cell>
          <cell r="C408" t="str">
            <v>500 Mbps</v>
          </cell>
        </row>
        <row r="409">
          <cell r="A409" t="str">
            <v>PRESIDENTE PRUDENTE|Alares</v>
          </cell>
          <cell r="B409">
            <v>99.9</v>
          </cell>
          <cell r="C409">
            <v>1000</v>
          </cell>
        </row>
        <row r="410">
          <cell r="A410" t="str">
            <v>PRESIDENTE PRUDENTE|Vero</v>
          </cell>
          <cell r="B410">
            <v>149.99</v>
          </cell>
          <cell r="C410">
            <v>850</v>
          </cell>
        </row>
        <row r="411">
          <cell r="A411" t="str">
            <v>PRESIDENTE PRUDENTE|ISP LOCAL</v>
          </cell>
          <cell r="B411">
            <v>99.9</v>
          </cell>
          <cell r="C411">
            <v>600</v>
          </cell>
        </row>
        <row r="412">
          <cell r="A412" t="str">
            <v>PROMISSAO|Claro</v>
          </cell>
          <cell r="B412">
            <v>139.9</v>
          </cell>
          <cell r="C412">
            <v>600</v>
          </cell>
        </row>
        <row r="413">
          <cell r="A413" t="str">
            <v>PROMISSAO|Vero</v>
          </cell>
          <cell r="B413">
            <v>149.99</v>
          </cell>
          <cell r="C413">
            <v>850</v>
          </cell>
        </row>
        <row r="414">
          <cell r="A414" t="str">
            <v>PROMISSAO|ISP LOCAL</v>
          </cell>
          <cell r="B414">
            <v>99.99</v>
          </cell>
          <cell r="C414">
            <v>1000</v>
          </cell>
        </row>
        <row r="415">
          <cell r="A415" t="str">
            <v>RAFARD|Claro</v>
          </cell>
          <cell r="B415">
            <v>159.9</v>
          </cell>
          <cell r="C415">
            <v>600</v>
          </cell>
        </row>
        <row r="416">
          <cell r="A416" t="str">
            <v>RAFARD|Desktop</v>
          </cell>
          <cell r="B416">
            <v>139.99</v>
          </cell>
          <cell r="C416">
            <v>600</v>
          </cell>
        </row>
        <row r="417">
          <cell r="A417" t="str">
            <v>RAFARD|ISP LOCAL</v>
          </cell>
          <cell r="B417">
            <v>99.9</v>
          </cell>
          <cell r="C417">
            <v>700</v>
          </cell>
        </row>
        <row r="418">
          <cell r="A418" t="str">
            <v>REGISTRO|Claro</v>
          </cell>
          <cell r="B418">
            <v>139.9</v>
          </cell>
          <cell r="C418">
            <v>600</v>
          </cell>
        </row>
        <row r="419">
          <cell r="A419" t="str">
            <v>REGISTRO|Vivo</v>
          </cell>
          <cell r="B419">
            <v>160</v>
          </cell>
          <cell r="C419" t="str">
            <v>500 Mbps</v>
          </cell>
        </row>
        <row r="420">
          <cell r="A420" t="str">
            <v>REGISTRO|Alares</v>
          </cell>
          <cell r="B420">
            <v>99.9</v>
          </cell>
          <cell r="C420">
            <v>1000</v>
          </cell>
        </row>
        <row r="421">
          <cell r="A421" t="str">
            <v>REGISTRO|ISP LOCAL</v>
          </cell>
          <cell r="B421">
            <v>99.9</v>
          </cell>
          <cell r="C421">
            <v>800</v>
          </cell>
        </row>
        <row r="422">
          <cell r="A422" t="str">
            <v>RIBEIRAO PRETO|Claro</v>
          </cell>
          <cell r="B422">
            <v>159.9</v>
          </cell>
          <cell r="C422">
            <v>600</v>
          </cell>
        </row>
        <row r="423">
          <cell r="A423" t="str">
            <v>RIBEIRAO PRETO|Vivo</v>
          </cell>
          <cell r="B423">
            <v>160</v>
          </cell>
          <cell r="C423" t="str">
            <v>500 Mbps</v>
          </cell>
        </row>
        <row r="424">
          <cell r="A424" t="str">
            <v>RIBEIRAO PRETO|Desktop</v>
          </cell>
          <cell r="B424">
            <v>89.99</v>
          </cell>
          <cell r="C424">
            <v>600</v>
          </cell>
        </row>
        <row r="425">
          <cell r="A425" t="str">
            <v>RIBEIRAO PRETO|Algar</v>
          </cell>
          <cell r="B425">
            <v>99.9</v>
          </cell>
          <cell r="C425">
            <v>800</v>
          </cell>
        </row>
        <row r="426">
          <cell r="A426" t="str">
            <v>RIBEIRAO PRETO|Weclix</v>
          </cell>
          <cell r="B426">
            <v>99.9</v>
          </cell>
          <cell r="C426">
            <v>1000</v>
          </cell>
        </row>
        <row r="427">
          <cell r="A427" t="str">
            <v>RIBEIRAO PRETO|ISP LOCAL</v>
          </cell>
          <cell r="B427">
            <v>109</v>
          </cell>
          <cell r="C427">
            <v>1000</v>
          </cell>
        </row>
        <row r="428">
          <cell r="A428" t="str">
            <v>RIO CLARO|Claro</v>
          </cell>
          <cell r="B428">
            <v>159.9</v>
          </cell>
          <cell r="C428">
            <v>600</v>
          </cell>
        </row>
        <row r="429">
          <cell r="A429" t="str">
            <v>RIO CLARO|Vivo</v>
          </cell>
          <cell r="B429">
            <v>160</v>
          </cell>
          <cell r="C429" t="str">
            <v>500 Mbps</v>
          </cell>
        </row>
        <row r="430">
          <cell r="A430" t="str">
            <v>RIO CLARO|Desktop</v>
          </cell>
          <cell r="B430">
            <v>89.99</v>
          </cell>
          <cell r="C430">
            <v>600</v>
          </cell>
        </row>
        <row r="431">
          <cell r="A431" t="str">
            <v>RIO CLARO|Alares</v>
          </cell>
          <cell r="B431">
            <v>99.9</v>
          </cell>
          <cell r="C431">
            <v>1000</v>
          </cell>
        </row>
        <row r="432">
          <cell r="A432" t="str">
            <v>RIO CLARO|ISP LOCAL</v>
          </cell>
          <cell r="B432">
            <v>139.9</v>
          </cell>
          <cell r="C432">
            <v>700</v>
          </cell>
        </row>
        <row r="433">
          <cell r="A433" t="str">
            <v>SANTA BARBARA D OESTE|Claro</v>
          </cell>
          <cell r="B433">
            <v>159.9</v>
          </cell>
          <cell r="C433">
            <v>600</v>
          </cell>
        </row>
        <row r="434">
          <cell r="A434" t="str">
            <v>SANTA BARBARA D OESTE|Vivo</v>
          </cell>
          <cell r="B434">
            <v>160</v>
          </cell>
          <cell r="C434" t="str">
            <v>500 Mbps</v>
          </cell>
        </row>
        <row r="435">
          <cell r="A435" t="str">
            <v>SANTA BARBARA D OESTE|Desktop</v>
          </cell>
          <cell r="B435">
            <v>139.99</v>
          </cell>
          <cell r="C435">
            <v>600</v>
          </cell>
        </row>
        <row r="436">
          <cell r="A436" t="str">
            <v>SANTA BARBARA D OESTE|Vero</v>
          </cell>
          <cell r="B436">
            <v>149.99</v>
          </cell>
          <cell r="C436">
            <v>850</v>
          </cell>
        </row>
        <row r="437">
          <cell r="A437" t="str">
            <v>SANTA BARBARA D OESTE|ISP LOCAL</v>
          </cell>
          <cell r="B437">
            <v>115.8</v>
          </cell>
          <cell r="C437">
            <v>500</v>
          </cell>
        </row>
        <row r="438">
          <cell r="A438" t="str">
            <v>SANTA CRUZ DAS PALMEIRAS|Claro</v>
          </cell>
          <cell r="B438">
            <v>139.9</v>
          </cell>
          <cell r="C438">
            <v>600</v>
          </cell>
        </row>
        <row r="439">
          <cell r="A439" t="str">
            <v>SANTA CRUZ DAS PALMEIRAS|Desktop</v>
          </cell>
          <cell r="B439">
            <v>89.99</v>
          </cell>
          <cell r="C439">
            <v>600</v>
          </cell>
        </row>
        <row r="440">
          <cell r="A440" t="str">
            <v>SANTA CRUZ DAS PALMEIRAS|ISP LOCAL</v>
          </cell>
          <cell r="B440">
            <v>99.9</v>
          </cell>
          <cell r="C440">
            <v>400</v>
          </cell>
        </row>
        <row r="441">
          <cell r="A441" t="str">
            <v>SANTA CRUZ DO RIO PARDO|Claro</v>
          </cell>
          <cell r="B441">
            <v>139.9</v>
          </cell>
          <cell r="C441">
            <v>600</v>
          </cell>
        </row>
        <row r="442">
          <cell r="A442" t="str">
            <v>SANTA CRUZ DO RIO PARDO|Vivo</v>
          </cell>
          <cell r="B442">
            <v>160</v>
          </cell>
          <cell r="C442" t="str">
            <v>500 Mbps</v>
          </cell>
        </row>
        <row r="443">
          <cell r="A443" t="str">
            <v>SANTA CRUZ DO RIO PARDO|Alares</v>
          </cell>
          <cell r="B443">
            <v>99.9</v>
          </cell>
          <cell r="C443">
            <v>1000</v>
          </cell>
        </row>
        <row r="444">
          <cell r="A444" t="str">
            <v>SANTA CRUZ DO RIO PARDO|ISP LOCAL</v>
          </cell>
          <cell r="B444">
            <v>99.9</v>
          </cell>
          <cell r="C444">
            <v>600</v>
          </cell>
        </row>
        <row r="445">
          <cell r="A445" t="str">
            <v>SANTA GERTRUDES|Claro</v>
          </cell>
          <cell r="B445">
            <v>159.9</v>
          </cell>
          <cell r="C445">
            <v>600</v>
          </cell>
        </row>
        <row r="446">
          <cell r="A446" t="str">
            <v>SANTA GERTRUDES|Desktop</v>
          </cell>
          <cell r="B446">
            <v>89.99</v>
          </cell>
          <cell r="C446">
            <v>600</v>
          </cell>
        </row>
        <row r="447">
          <cell r="A447" t="str">
            <v>SANTA GERTRUDES|ISP LOCAL</v>
          </cell>
          <cell r="B447">
            <v>119</v>
          </cell>
          <cell r="C447">
            <v>600</v>
          </cell>
        </row>
        <row r="448">
          <cell r="A448" t="str">
            <v>SANTA ROSA DE VITERBO|Claro</v>
          </cell>
          <cell r="B448">
            <v>139.9</v>
          </cell>
          <cell r="C448">
            <v>600</v>
          </cell>
        </row>
        <row r="449">
          <cell r="A449" t="str">
            <v>SANTA ROSA DE VITERBO|Desktop</v>
          </cell>
          <cell r="B449">
            <v>89.99</v>
          </cell>
          <cell r="C449">
            <v>600</v>
          </cell>
        </row>
        <row r="450">
          <cell r="A450" t="str">
            <v>SANTA ROSA DE VITERBO|ISP LOCAL</v>
          </cell>
          <cell r="B450">
            <v>109</v>
          </cell>
          <cell r="C450">
            <v>1000</v>
          </cell>
        </row>
        <row r="451">
          <cell r="A451" t="str">
            <v>SANTOS|Claro</v>
          </cell>
          <cell r="B451">
            <v>159.9</v>
          </cell>
          <cell r="C451">
            <v>600</v>
          </cell>
        </row>
        <row r="452">
          <cell r="A452" t="str">
            <v>SANTOS|Vivo</v>
          </cell>
          <cell r="B452">
            <v>160</v>
          </cell>
          <cell r="C452" t="str">
            <v>500 Mbps</v>
          </cell>
        </row>
        <row r="453">
          <cell r="A453" t="str">
            <v>SANTOS|Desktop</v>
          </cell>
          <cell r="B453">
            <v>139.99</v>
          </cell>
          <cell r="C453">
            <v>600</v>
          </cell>
        </row>
        <row r="454">
          <cell r="A454" t="str">
            <v>SANTOS|Algar</v>
          </cell>
          <cell r="B454">
            <v>99.9</v>
          </cell>
          <cell r="C454">
            <v>800</v>
          </cell>
        </row>
        <row r="455">
          <cell r="A455" t="str">
            <v>SANTOS|ISP LOCAL</v>
          </cell>
          <cell r="B455">
            <v>109.99</v>
          </cell>
          <cell r="C455">
            <v>600</v>
          </cell>
        </row>
        <row r="456">
          <cell r="A456" t="str">
            <v>SAO CARLOS|Claro</v>
          </cell>
          <cell r="B456">
            <v>159.9</v>
          </cell>
          <cell r="C456">
            <v>600</v>
          </cell>
        </row>
        <row r="457">
          <cell r="A457" t="str">
            <v>SAO CARLOS|Vivo</v>
          </cell>
          <cell r="B457">
            <v>160</v>
          </cell>
          <cell r="C457" t="str">
            <v>500 Mbps</v>
          </cell>
        </row>
        <row r="458">
          <cell r="A458" t="str">
            <v>SAO CARLOS|Desktop</v>
          </cell>
          <cell r="B458">
            <v>139.99</v>
          </cell>
          <cell r="C458">
            <v>600</v>
          </cell>
        </row>
        <row r="459">
          <cell r="A459" t="str">
            <v>SAO CARLOS|Algar</v>
          </cell>
          <cell r="B459">
            <v>99.9</v>
          </cell>
          <cell r="C459">
            <v>800</v>
          </cell>
        </row>
        <row r="460">
          <cell r="A460" t="str">
            <v>SAO CARLOS|ISP LOCAL</v>
          </cell>
          <cell r="B460">
            <v>109</v>
          </cell>
          <cell r="C460">
            <v>1000</v>
          </cell>
        </row>
        <row r="461">
          <cell r="A461" t="str">
            <v>SAO JOAO DA BOA VISTA|Claro</v>
          </cell>
          <cell r="B461">
            <v>139.9</v>
          </cell>
          <cell r="C461">
            <v>600</v>
          </cell>
        </row>
        <row r="462">
          <cell r="A462" t="str">
            <v>SAO JOAO DA BOA VISTA|Vivo</v>
          </cell>
          <cell r="B462">
            <v>160</v>
          </cell>
          <cell r="C462" t="str">
            <v>500 Mbps</v>
          </cell>
        </row>
        <row r="463">
          <cell r="A463" t="str">
            <v>SAO JOAO DA BOA VISTA|Alares</v>
          </cell>
          <cell r="B463">
            <v>99.9</v>
          </cell>
          <cell r="C463">
            <v>1000</v>
          </cell>
        </row>
        <row r="464">
          <cell r="A464" t="str">
            <v>SAO JOAO DA BOA VISTA|Vero</v>
          </cell>
          <cell r="B464">
            <v>149.99</v>
          </cell>
          <cell r="C464">
            <v>850</v>
          </cell>
        </row>
        <row r="465">
          <cell r="A465" t="str">
            <v>SAO JOAO DA BOA VISTA|ISP LOCAL</v>
          </cell>
          <cell r="B465">
            <v>109.9</v>
          </cell>
          <cell r="C465">
            <v>800</v>
          </cell>
        </row>
        <row r="466">
          <cell r="A466" t="str">
            <v>SAO JOAQUIM DA BARRA|Claro</v>
          </cell>
          <cell r="B466">
            <v>139.9</v>
          </cell>
          <cell r="C466">
            <v>600</v>
          </cell>
        </row>
        <row r="467">
          <cell r="A467" t="str">
            <v>SAO JOAQUIM DA BARRA|Algar</v>
          </cell>
          <cell r="B467">
            <v>99.9</v>
          </cell>
          <cell r="C467">
            <v>800</v>
          </cell>
        </row>
        <row r="468">
          <cell r="A468" t="str">
            <v>SAO JOAQUIM DA BARRA|ISP LOCAL</v>
          </cell>
          <cell r="B468">
            <v>109.99</v>
          </cell>
          <cell r="C468">
            <v>600</v>
          </cell>
        </row>
        <row r="469">
          <cell r="A469" t="str">
            <v>SAO JOSE DO RIO PARDO|Claro</v>
          </cell>
          <cell r="B469">
            <v>139.9</v>
          </cell>
          <cell r="C469">
            <v>600</v>
          </cell>
        </row>
        <row r="470">
          <cell r="A470" t="str">
            <v>SAO JOSE DO RIO PARDO|Vivo</v>
          </cell>
          <cell r="B470">
            <v>160</v>
          </cell>
          <cell r="C470" t="str">
            <v>500 Mbps</v>
          </cell>
        </row>
        <row r="471">
          <cell r="A471" t="str">
            <v>SAO JOSE DO RIO PARDO|Alares</v>
          </cell>
          <cell r="B471">
            <v>99.9</v>
          </cell>
          <cell r="C471">
            <v>1000</v>
          </cell>
        </row>
        <row r="472">
          <cell r="A472" t="str">
            <v>SAO JOSE DO RIO PARDO|ISP LOCAL</v>
          </cell>
          <cell r="B472">
            <v>99.9</v>
          </cell>
          <cell r="C472">
            <v>500</v>
          </cell>
        </row>
        <row r="473">
          <cell r="A473" t="str">
            <v>SAO JOSE DO RIO PRETO|Claro</v>
          </cell>
          <cell r="B473">
            <v>99.9</v>
          </cell>
          <cell r="C473">
            <v>1000</v>
          </cell>
        </row>
        <row r="474">
          <cell r="A474" t="str">
            <v>SAO JOSE DO RIO PRETO|Vivo</v>
          </cell>
          <cell r="B474">
            <v>160</v>
          </cell>
          <cell r="C474" t="str">
            <v>500 Mbps</v>
          </cell>
        </row>
        <row r="475">
          <cell r="A475" t="str">
            <v>SAO JOSE DO RIO PRETO|Desktop</v>
          </cell>
          <cell r="B475">
            <v>89.99</v>
          </cell>
          <cell r="C475">
            <v>600</v>
          </cell>
        </row>
        <row r="476">
          <cell r="A476" t="str">
            <v>SAO JOSE DO RIO PRETO|Vero</v>
          </cell>
          <cell r="B476">
            <v>149.99</v>
          </cell>
          <cell r="C476">
            <v>850</v>
          </cell>
        </row>
        <row r="477">
          <cell r="A477" t="str">
            <v>SAO JOSE DO RIO PRETO|Algar</v>
          </cell>
          <cell r="B477">
            <v>99.9</v>
          </cell>
          <cell r="C477">
            <v>800</v>
          </cell>
        </row>
        <row r="478">
          <cell r="A478" t="str">
            <v>SAO JOSE DO RIO PRETO|Weclix</v>
          </cell>
          <cell r="B478">
            <v>99.9</v>
          </cell>
          <cell r="C478">
            <v>1000</v>
          </cell>
        </row>
        <row r="479">
          <cell r="A479" t="str">
            <v>SAO JOSE DO RIO PRETO|ISP LOCAL</v>
          </cell>
          <cell r="B479">
            <v>149.9</v>
          </cell>
          <cell r="C479">
            <v>600</v>
          </cell>
        </row>
        <row r="480">
          <cell r="A480" t="str">
            <v>SAO JOSE DOS CAMPOS|Claro</v>
          </cell>
          <cell r="B480">
            <v>99.9</v>
          </cell>
          <cell r="C480">
            <v>1000</v>
          </cell>
        </row>
        <row r="481">
          <cell r="A481" t="str">
            <v>SAO JOSE DOS CAMPOS|Vivo</v>
          </cell>
          <cell r="B481">
            <v>160</v>
          </cell>
          <cell r="C481" t="str">
            <v>500 Mbps</v>
          </cell>
        </row>
        <row r="482">
          <cell r="A482" t="str">
            <v>SAO JOSE DOS CAMPOS|Desktop</v>
          </cell>
          <cell r="B482">
            <v>139.99</v>
          </cell>
          <cell r="C482">
            <v>600</v>
          </cell>
        </row>
        <row r="483">
          <cell r="A483" t="str">
            <v>SAO JOSE DOS CAMPOS|Vero</v>
          </cell>
          <cell r="B483">
            <v>149.99</v>
          </cell>
          <cell r="C483">
            <v>850</v>
          </cell>
        </row>
        <row r="484">
          <cell r="A484" t="str">
            <v>SAO JOSE DOS CAMPOS|ISP LOCAL</v>
          </cell>
          <cell r="B484">
            <v>119.99</v>
          </cell>
          <cell r="C484">
            <v>600</v>
          </cell>
        </row>
        <row r="485">
          <cell r="A485" t="str">
            <v>SAO SEBASTIAO|Claro</v>
          </cell>
          <cell r="B485">
            <v>159.9</v>
          </cell>
          <cell r="C485">
            <v>600</v>
          </cell>
        </row>
        <row r="486">
          <cell r="A486" t="str">
            <v>SAO SEBASTIAO|Vivo</v>
          </cell>
          <cell r="B486">
            <v>160</v>
          </cell>
          <cell r="C486" t="str">
            <v>500 Mbps</v>
          </cell>
        </row>
        <row r="487">
          <cell r="A487" t="str">
            <v>SAO SEBASTIAO|ISP LOCAL</v>
          </cell>
          <cell r="B487">
            <v>109.99</v>
          </cell>
          <cell r="C487">
            <v>600</v>
          </cell>
        </row>
        <row r="488">
          <cell r="A488" t="str">
            <v>SAO VICENTE|Claro</v>
          </cell>
          <cell r="B488">
            <v>159.9</v>
          </cell>
          <cell r="C488">
            <v>600</v>
          </cell>
        </row>
        <row r="489">
          <cell r="A489" t="str">
            <v>SAO VICENTE|Vivo</v>
          </cell>
          <cell r="B489">
            <v>160</v>
          </cell>
          <cell r="C489" t="str">
            <v>500 Mbps</v>
          </cell>
        </row>
        <row r="490">
          <cell r="A490" t="str">
            <v>SAO VICENTE|Desktop</v>
          </cell>
          <cell r="B490">
            <v>139.99</v>
          </cell>
          <cell r="C490">
            <v>600</v>
          </cell>
        </row>
        <row r="491">
          <cell r="A491" t="str">
            <v>SAO VICENTE|ISP LOCAL</v>
          </cell>
          <cell r="B491">
            <v>109.99</v>
          </cell>
          <cell r="C491">
            <v>600</v>
          </cell>
        </row>
        <row r="492">
          <cell r="A492" t="str">
            <v>SERRA NEGRA|Claro</v>
          </cell>
          <cell r="B492">
            <v>139.9</v>
          </cell>
          <cell r="C492">
            <v>600</v>
          </cell>
        </row>
        <row r="493">
          <cell r="A493" t="str">
            <v>SERRA NEGRA|Vivo</v>
          </cell>
          <cell r="B493">
            <v>160</v>
          </cell>
          <cell r="C493" t="str">
            <v>500 Mbps</v>
          </cell>
        </row>
        <row r="494">
          <cell r="A494" t="str">
            <v>SERRA NEGRA|ISP LOCAL</v>
          </cell>
          <cell r="B494">
            <v>159.9</v>
          </cell>
          <cell r="C494">
            <v>500</v>
          </cell>
        </row>
        <row r="495">
          <cell r="A495" t="str">
            <v>SERRANA|Claro</v>
          </cell>
          <cell r="B495">
            <v>139.9</v>
          </cell>
          <cell r="C495">
            <v>600</v>
          </cell>
        </row>
        <row r="496">
          <cell r="A496" t="str">
            <v>SERRANA|ISP LOCAL</v>
          </cell>
          <cell r="B496">
            <v>109</v>
          </cell>
          <cell r="C496">
            <v>1000</v>
          </cell>
        </row>
        <row r="497">
          <cell r="A497" t="str">
            <v>SERTAOZINHO|Claro</v>
          </cell>
          <cell r="B497">
            <v>159.9</v>
          </cell>
          <cell r="C497">
            <v>600</v>
          </cell>
        </row>
        <row r="498">
          <cell r="A498" t="str">
            <v>SERTAOZINHO|Vivo</v>
          </cell>
          <cell r="B498">
            <v>160</v>
          </cell>
          <cell r="C498" t="str">
            <v>500 Mbps</v>
          </cell>
        </row>
        <row r="499">
          <cell r="A499" t="str">
            <v>SERTAOZINHO|Weclix</v>
          </cell>
          <cell r="B499">
            <v>99.9</v>
          </cell>
          <cell r="C499">
            <v>1000</v>
          </cell>
        </row>
        <row r="500">
          <cell r="A500" t="str">
            <v>SERTAOZINHO|ISP LOCAL</v>
          </cell>
          <cell r="B500">
            <v>99.9</v>
          </cell>
          <cell r="C500">
            <v>800</v>
          </cell>
        </row>
        <row r="501">
          <cell r="A501" t="str">
            <v>SOROCABA|Claro</v>
          </cell>
          <cell r="B501">
            <v>159.9</v>
          </cell>
          <cell r="C501">
            <v>600</v>
          </cell>
        </row>
        <row r="502">
          <cell r="A502" t="str">
            <v>SOROCABA|Vivo</v>
          </cell>
          <cell r="B502">
            <v>160</v>
          </cell>
          <cell r="C502" t="str">
            <v>500 Mbps</v>
          </cell>
        </row>
        <row r="503">
          <cell r="A503" t="str">
            <v>SOROCABA|Desktop</v>
          </cell>
          <cell r="B503">
            <v>139.99</v>
          </cell>
          <cell r="C503">
            <v>600</v>
          </cell>
        </row>
        <row r="504">
          <cell r="A504" t="str">
            <v>SOROCABA|Alares</v>
          </cell>
          <cell r="B504">
            <v>99.9</v>
          </cell>
          <cell r="C504">
            <v>1000</v>
          </cell>
        </row>
        <row r="505">
          <cell r="A505" t="str">
            <v>SOROCABA|Vero</v>
          </cell>
          <cell r="B505">
            <v>149.99</v>
          </cell>
          <cell r="C505">
            <v>850</v>
          </cell>
        </row>
        <row r="506">
          <cell r="A506" t="str">
            <v>SOROCABA|Algar</v>
          </cell>
          <cell r="B506">
            <v>99.9</v>
          </cell>
          <cell r="C506">
            <v>800</v>
          </cell>
        </row>
        <row r="507">
          <cell r="A507" t="str">
            <v>SOROCABA|ISP LOCAL</v>
          </cell>
          <cell r="B507">
            <v>99.9</v>
          </cell>
          <cell r="C507">
            <v>500</v>
          </cell>
        </row>
        <row r="508">
          <cell r="A508" t="str">
            <v>SUMARE|Claro</v>
          </cell>
          <cell r="B508">
            <v>159.9</v>
          </cell>
          <cell r="C508">
            <v>600</v>
          </cell>
        </row>
        <row r="509">
          <cell r="A509" t="str">
            <v>SUMARE|Vivo</v>
          </cell>
          <cell r="B509">
            <v>160</v>
          </cell>
          <cell r="C509" t="str">
            <v>500 Mbps</v>
          </cell>
        </row>
        <row r="510">
          <cell r="A510" t="str">
            <v>SUMARE|Desktop</v>
          </cell>
          <cell r="B510">
            <v>139.99</v>
          </cell>
          <cell r="C510">
            <v>600</v>
          </cell>
        </row>
        <row r="511">
          <cell r="A511" t="str">
            <v>SUMARE|ISP LOCAL</v>
          </cell>
          <cell r="B511">
            <v>99.9</v>
          </cell>
          <cell r="C511">
            <v>500</v>
          </cell>
        </row>
        <row r="512">
          <cell r="A512" t="str">
            <v>TAMBAU|Claro</v>
          </cell>
          <cell r="B512">
            <v>139.9</v>
          </cell>
          <cell r="C512">
            <v>600</v>
          </cell>
        </row>
        <row r="513">
          <cell r="A513" t="str">
            <v>TAMBAU|Desktop</v>
          </cell>
          <cell r="B513">
            <v>89.99</v>
          </cell>
          <cell r="C513">
            <v>600</v>
          </cell>
        </row>
        <row r="514">
          <cell r="A514" t="str">
            <v>TAMBAU|Alares</v>
          </cell>
          <cell r="B514">
            <v>99.9</v>
          </cell>
          <cell r="C514">
            <v>1000</v>
          </cell>
        </row>
        <row r="515">
          <cell r="A515" t="str">
            <v>TAMBAU|ISP LOCAL</v>
          </cell>
          <cell r="B515">
            <v>99.9</v>
          </cell>
          <cell r="C515">
            <v>400</v>
          </cell>
        </row>
        <row r="516">
          <cell r="A516" t="str">
            <v>TATUI|Claro</v>
          </cell>
          <cell r="B516">
            <v>139.9</v>
          </cell>
          <cell r="C516">
            <v>600</v>
          </cell>
        </row>
        <row r="517">
          <cell r="A517" t="str">
            <v>TATUI|Vivo</v>
          </cell>
          <cell r="B517">
            <v>160</v>
          </cell>
          <cell r="C517" t="str">
            <v>500 Mbps</v>
          </cell>
        </row>
        <row r="518">
          <cell r="A518" t="str">
            <v>TATUI|Desktop</v>
          </cell>
          <cell r="B518">
            <v>139.99</v>
          </cell>
          <cell r="C518">
            <v>600</v>
          </cell>
        </row>
        <row r="519">
          <cell r="A519" t="str">
            <v>TATUI|Alares</v>
          </cell>
          <cell r="B519">
            <v>99.9</v>
          </cell>
          <cell r="C519">
            <v>1000</v>
          </cell>
        </row>
        <row r="520">
          <cell r="A520" t="str">
            <v>TATUI|Vero</v>
          </cell>
          <cell r="B520">
            <v>149.99</v>
          </cell>
          <cell r="C520">
            <v>850</v>
          </cell>
        </row>
        <row r="521">
          <cell r="A521" t="str">
            <v>TATUI|ISP LOCAL</v>
          </cell>
          <cell r="B521">
            <v>99.9</v>
          </cell>
          <cell r="C521">
            <v>600</v>
          </cell>
        </row>
        <row r="522">
          <cell r="A522" t="str">
            <v>TAUBATE|Claro</v>
          </cell>
          <cell r="B522">
            <v>159.9</v>
          </cell>
          <cell r="C522">
            <v>600</v>
          </cell>
        </row>
        <row r="523">
          <cell r="A523" t="str">
            <v>TAUBATE|Vivo</v>
          </cell>
          <cell r="B523">
            <v>160</v>
          </cell>
          <cell r="C523" t="str">
            <v>500 Mbps</v>
          </cell>
        </row>
        <row r="524">
          <cell r="A524" t="str">
            <v>TAUBATE|Desktop</v>
          </cell>
          <cell r="B524">
            <v>89.99</v>
          </cell>
          <cell r="C524">
            <v>600</v>
          </cell>
        </row>
        <row r="525">
          <cell r="A525" t="str">
            <v>TAUBATE|ISP LOCAL</v>
          </cell>
          <cell r="B525">
            <v>99.9</v>
          </cell>
          <cell r="C525">
            <v>600</v>
          </cell>
        </row>
        <row r="526">
          <cell r="A526" t="str">
            <v>TIETE|Claro</v>
          </cell>
          <cell r="B526">
            <v>159.9</v>
          </cell>
          <cell r="C526">
            <v>600</v>
          </cell>
        </row>
        <row r="527">
          <cell r="A527" t="str">
            <v>TIETE|Vivo</v>
          </cell>
          <cell r="B527">
            <v>160</v>
          </cell>
          <cell r="C527" t="str">
            <v>500 Mbps</v>
          </cell>
        </row>
        <row r="528">
          <cell r="A528" t="str">
            <v>TIETE|Desktop</v>
          </cell>
          <cell r="B528">
            <v>139.99</v>
          </cell>
          <cell r="C528">
            <v>600</v>
          </cell>
        </row>
        <row r="529">
          <cell r="A529" t="str">
            <v>TIETE|ISP LOCAL</v>
          </cell>
          <cell r="B529">
            <v>99.9</v>
          </cell>
          <cell r="C529">
            <v>600</v>
          </cell>
        </row>
        <row r="530">
          <cell r="A530" t="str">
            <v>TREMEMBE|Claro</v>
          </cell>
          <cell r="B530">
            <v>139.9</v>
          </cell>
          <cell r="C530">
            <v>600</v>
          </cell>
        </row>
        <row r="531">
          <cell r="A531" t="str">
            <v>TREMEMBE|Vivo</v>
          </cell>
          <cell r="B531">
            <v>160</v>
          </cell>
          <cell r="C531" t="str">
            <v>500 Mbps</v>
          </cell>
        </row>
        <row r="532">
          <cell r="A532" t="str">
            <v>TREMEMBE|Desktop</v>
          </cell>
          <cell r="B532">
            <v>89.99</v>
          </cell>
          <cell r="C532">
            <v>600</v>
          </cell>
        </row>
        <row r="533">
          <cell r="A533" t="str">
            <v>TREMEMBE|ISP LOCAL</v>
          </cell>
          <cell r="B533">
            <v>99.9</v>
          </cell>
          <cell r="C533">
            <v>600</v>
          </cell>
        </row>
        <row r="534">
          <cell r="A534" t="str">
            <v>UBATUBA|Claro</v>
          </cell>
          <cell r="B534">
            <v>159.9</v>
          </cell>
          <cell r="C534">
            <v>600</v>
          </cell>
        </row>
        <row r="535">
          <cell r="A535" t="str">
            <v>UBATUBA|Vivo</v>
          </cell>
          <cell r="B535">
            <v>160</v>
          </cell>
          <cell r="C535" t="str">
            <v>500 Mbps</v>
          </cell>
        </row>
        <row r="536">
          <cell r="A536" t="str">
            <v>UBATUBA|ISP LOCAL</v>
          </cell>
          <cell r="B536">
            <v>109</v>
          </cell>
          <cell r="C536">
            <v>600</v>
          </cell>
        </row>
        <row r="537">
          <cell r="A537" t="str">
            <v>VALINHOS|Claro</v>
          </cell>
          <cell r="B537">
            <v>159.9</v>
          </cell>
          <cell r="C537">
            <v>600</v>
          </cell>
        </row>
        <row r="538">
          <cell r="A538" t="str">
            <v>VALINHOS|Vivo</v>
          </cell>
          <cell r="B538">
            <v>160</v>
          </cell>
          <cell r="C538" t="str">
            <v>500 Mbps</v>
          </cell>
        </row>
        <row r="539">
          <cell r="A539" t="str">
            <v>VALINHOS|Desktop</v>
          </cell>
          <cell r="B539">
            <v>89.99</v>
          </cell>
          <cell r="C539">
            <v>600</v>
          </cell>
        </row>
        <row r="540">
          <cell r="A540" t="str">
            <v>VALINHOS|ISP LOCAL</v>
          </cell>
          <cell r="B540">
            <v>99.9</v>
          </cell>
          <cell r="C540" t="str">
            <v>500 Mbps</v>
          </cell>
        </row>
        <row r="541">
          <cell r="A541" t="str">
            <v>VALPARAISO|Claro</v>
          </cell>
          <cell r="B541">
            <v>139.9</v>
          </cell>
          <cell r="C541">
            <v>600</v>
          </cell>
        </row>
        <row r="542">
          <cell r="A542" t="str">
            <v>VALPARAISO|Vero</v>
          </cell>
          <cell r="B542">
            <v>149.99</v>
          </cell>
          <cell r="C542">
            <v>850</v>
          </cell>
        </row>
        <row r="543">
          <cell r="A543" t="str">
            <v>VALPARAISO|ISP LOCAL</v>
          </cell>
          <cell r="B543">
            <v>99.99</v>
          </cell>
          <cell r="C543">
            <v>600</v>
          </cell>
        </row>
        <row r="544">
          <cell r="A544" t="str">
            <v>VINHEDO|Claro</v>
          </cell>
          <cell r="B544">
            <v>159.9</v>
          </cell>
          <cell r="C544">
            <v>600</v>
          </cell>
        </row>
        <row r="545">
          <cell r="A545" t="str">
            <v>VINHEDO|Vivo</v>
          </cell>
          <cell r="B545">
            <v>160</v>
          </cell>
          <cell r="C545" t="str">
            <v>500 Mbps</v>
          </cell>
        </row>
        <row r="546">
          <cell r="A546" t="str">
            <v>VINHEDO|Desktop</v>
          </cell>
          <cell r="B546">
            <v>139.99</v>
          </cell>
          <cell r="C546">
            <v>600</v>
          </cell>
        </row>
        <row r="547">
          <cell r="A547" t="str">
            <v>VINHEDO|Alares</v>
          </cell>
          <cell r="B547">
            <v>99.9</v>
          </cell>
          <cell r="C547">
            <v>1000</v>
          </cell>
        </row>
        <row r="548">
          <cell r="A548" t="str">
            <v>VINHEDO|ISP LOCAL</v>
          </cell>
          <cell r="B548">
            <v>99.9</v>
          </cell>
          <cell r="C548">
            <v>600</v>
          </cell>
        </row>
        <row r="549">
          <cell r="A549" t="str">
            <v>VOTORANTIM|Claro</v>
          </cell>
          <cell r="B549">
            <v>159.9</v>
          </cell>
          <cell r="C549">
            <v>600</v>
          </cell>
        </row>
        <row r="550">
          <cell r="A550" t="str">
            <v>VOTORANTIM|Vivo</v>
          </cell>
          <cell r="B550">
            <v>160</v>
          </cell>
          <cell r="C550" t="str">
            <v>500 Mbps</v>
          </cell>
        </row>
        <row r="551">
          <cell r="A551" t="str">
            <v>VOTORANTIM|Desktop</v>
          </cell>
          <cell r="B551">
            <v>139.99</v>
          </cell>
          <cell r="C551">
            <v>600</v>
          </cell>
        </row>
        <row r="552">
          <cell r="A552" t="str">
            <v>VOTORANTIM|Alares</v>
          </cell>
          <cell r="B552">
            <v>99.9</v>
          </cell>
          <cell r="C552">
            <v>1000</v>
          </cell>
        </row>
        <row r="553">
          <cell r="A553" t="str">
            <v>VOTORANTIM|Vero</v>
          </cell>
          <cell r="B553">
            <v>149.99</v>
          </cell>
          <cell r="C553">
            <v>850</v>
          </cell>
        </row>
        <row r="554">
          <cell r="A554" t="str">
            <v>VOTORANTIM|ISP LOCAL</v>
          </cell>
          <cell r="B554">
            <v>99.9</v>
          </cell>
          <cell r="C554">
            <v>500</v>
          </cell>
        </row>
        <row r="555">
          <cell r="A555" t="str">
            <v>VOTUPORANGA|Claro</v>
          </cell>
          <cell r="B555">
            <v>139.9</v>
          </cell>
          <cell r="C555">
            <v>600</v>
          </cell>
        </row>
        <row r="556">
          <cell r="A556" t="str">
            <v>VOTUPORANGA|Vivo</v>
          </cell>
          <cell r="B556">
            <v>160</v>
          </cell>
          <cell r="C556" t="str">
            <v>500 Mbps</v>
          </cell>
        </row>
        <row r="557">
          <cell r="A557" t="str">
            <v>VOTUPORANGA|ISP LOCAL</v>
          </cell>
          <cell r="B557">
            <v>130</v>
          </cell>
          <cell r="C557">
            <v>600</v>
          </cell>
        </row>
        <row r="558">
          <cell r="A558" t="str">
            <v>TRES LAGOAS|Claro</v>
          </cell>
          <cell r="B558">
            <v>139.9</v>
          </cell>
          <cell r="C558">
            <v>600</v>
          </cell>
        </row>
        <row r="559">
          <cell r="A559" t="str">
            <v>TRES LAGOAS|Vivo</v>
          </cell>
          <cell r="B559">
            <v>160</v>
          </cell>
          <cell r="C559" t="str">
            <v>500 Mbps</v>
          </cell>
        </row>
        <row r="560">
          <cell r="A560" t="str">
            <v>TRES LAGOAS|Vero</v>
          </cell>
          <cell r="B560">
            <v>149.99</v>
          </cell>
          <cell r="C560">
            <v>850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14C66-0E95-4A3B-A6B2-F9D0A3051EBF}" name="tbl_COMPARATIVO_OFERTAS" displayName="tbl_COMPARATIVO_OFERTAS" ref="A1:X561" totalsRowShown="0" headerRowDxfId="22">
  <autoFilter ref="A1:X561" xr:uid="{8B914C66-0E95-4A3B-A6B2-F9D0A3051EBF}"/>
  <tableColumns count="24">
    <tableColumn id="1" xr3:uid="{9179CA7B-2CCF-4C56-B786-CFC02314A323}" name="UF" dataDxfId="21">
      <calculatedColumnFormula>IF(LEFT(TEXT([1]Planilha1!$L2,"0000000"),1)="5","MS","SP")</calculatedColumnFormula>
    </tableColumn>
    <tableColumn id="2" xr3:uid="{ED28E3CC-B978-47C4-B3BC-8FD4E71292F2}" name="CIDADE" dataDxfId="20">
      <calculatedColumnFormula>IF(RIGHT([1]Planilha1!$A2,5)=" - MS",LEFT([1]Planilha1!$A2,LEN([1]Planilha1!$A2)-5),TRIM([1]Planilha1!$A2))</calculatedColumnFormula>
    </tableColumn>
    <tableColumn id="3" xr3:uid="{E6E2AFA7-8A29-4304-901F-59BAF3003CB2}" name="CODIGO_IBGE" dataDxfId="19">
      <calculatedColumnFormula>[1]Planilha1!$L2</calculatedColumnFormula>
    </tableColumn>
    <tableColumn id="4" xr3:uid="{EEC6737F-C050-4071-B0DC-F66DC1E3BC8C}" name="OPERADORA" dataDxfId="18">
      <calculatedColumnFormula>TRIM([1]Planilha1!$D2)</calculatedColumnFormula>
    </tableColumn>
    <tableColumn id="5" xr3:uid="{0DDFFCD6-A0D9-4AF8-B98D-654F4C65FC03}" name="GRUPO_OPERADORA" dataDxfId="17">
      <calculatedColumnFormula>IF(TRIM([1]Planilha1!$D2)="Claro","Claro","Concorrente")</calculatedColumnFormula>
    </tableColumn>
    <tableColumn id="21" xr3:uid="{9C70AE07-CEB4-4AA3-A607-B8BB8E195F86}" name="FONTE_SITE" dataDxfId="16"/>
    <tableColumn id="6" xr3:uid="{25006F80-A40C-4AA3-9BD3-9B87337C9C89}" name="TIPO_OFERTA" dataDxfId="15">
      <calculatedColumnFormula>IF($K2&lt;&gt;"","Banda Larga + Movel",IF($P2&lt;&gt;"","Banda Larga + Conteudo","Banda Larga"))</calculatedColumnFormula>
    </tableColumn>
    <tableColumn id="7" xr3:uid="{7AC58D47-CE9A-4B8C-B52C-432D3651CFB5}" name="NOME_OFERTA" dataDxfId="14">
      <calculatedColumnFormula>TRIM([1]Planilha1!$E2)</calculatedColumnFormula>
    </tableColumn>
    <tableColumn id="8" xr3:uid="{EFC99528-E9DC-4EFD-B638-366C24A9107F}" name="TECNOLOGIA" dataDxfId="13">
      <calculatedColumnFormula>IF([1]Planilha1!$F2="","",TRIM([1]Planilha1!$F2))</calculatedColumnFormula>
    </tableColumn>
    <tableColumn id="9" xr3:uid="{1C27C547-7DCD-4B63-91A8-75DAB8FB771A}" name="VELOCIDADE_MB" dataDxfId="12">
      <calculatedColumnFormula>IF([1]Planilha1!$G2="","",[1]Planilha1!$G2)</calculatedColumnFormula>
    </tableColumn>
    <tableColumn id="10" xr3:uid="{66E8B47D-4CCE-4CD0-BB4B-0C9F2A13B243}" name="FRANQUIA_MOVEL_GB" dataDxfId="11">
      <calculatedColumnFormula array="1">IFERROR(VALUE(_xlfn.REGEXEXTRACT([1]Planilha1!$E2,"\+\s*(\d+)GB",2)),"")</calculatedColumnFormula>
    </tableColumn>
    <tableColumn id="11" xr3:uid="{1F71983B-DC5D-4663-B880-AF3575EE8F04}" name="PRECO_MENSAL" dataDxfId="10">
      <calculatedColumnFormula>IF([1]Planilha1!$H2="","",[1]Planilha1!$H2)</calculatedColumnFormula>
    </tableColumn>
    <tableColumn id="12" xr3:uid="{D609FB86-E9B6-4447-9943-31DFFB77A06E}" name="PRECO_PROMOCIONAL" dataDxfId="9">
      <calculatedColumnFormula>IF([1]Planilha1!$I2="","",[1]Planilha1!$I2)</calculatedColumnFormula>
    </tableColumn>
    <tableColumn id="13" xr3:uid="{3CF36A83-9512-4BD7-AB92-4453418158FE}" name="PERIODO_PROMOCIONAL_MESES" dataDxfId="8">
      <calculatedColumnFormula array="1">IFERROR(VALUE(_xlfn.REGEXEXTRACT([1]Planilha1!$E2,"(\d+)\s*MESES",2)),IFERROR(VALUE(_xlfn.REGEXEXTRACT([1]Planilha1!$E2,"por\s*(\d+)\s*M",2)),IF(_xlfn.REGEXTEST([1]Planilha1!$E2,"1[ºª]"),1,"")))</calculatedColumnFormula>
    </tableColumn>
    <tableColumn id="14" xr3:uid="{FFF324D2-0848-40C7-8B18-691950BA00AF}" name="PRECO_POR_MB" dataDxfId="7">
      <calculatedColumnFormula>IF(OR($L2="",$J2="",N($J2)=0),"",$L2/$J2)</calculatedColumnFormula>
    </tableColumn>
    <tableColumn id="15" xr3:uid="{ED801876-BB59-42BF-9681-EBB7BB7765C4}" name="BENEFICIOS" dataDxfId="6">
      <calculatedColumnFormula>IF([1]Planilha1!$J2="","",TRIM([1]Planilha1!$J2))</calculatedColumnFormula>
    </tableColumn>
    <tableColumn id="16" xr3:uid="{C60AE56C-E0ED-4608-A3E6-50AB24605353}" name="DIFERENCA_PRECO_VS_CLARO" dataDxfId="5">
      <calculatedColumnFormula>IF($D2="Claro","",IFERROR($L2-VLOOKUP($B2&amp;"|Claro",[1]AUX_CLARO!$A:$C,2,FALSE),""))</calculatedColumnFormula>
    </tableColumn>
    <tableColumn id="17" xr3:uid="{1441A699-E722-4BAF-8F03-D5A35E1B5B81}" name="DIFERENCA_VELOCIDADE_VS_CLARO" dataDxfId="4">
      <calculatedColumnFormula>IF($D2="Claro","",IFERROR($J2-VLOOKUP($B2&amp;"|Claro",[1]AUX_CLARO!$A:$C,3,FALSE),""))</calculatedColumnFormula>
    </tableColumn>
    <tableColumn id="18" xr3:uid="{A964C345-F7E1-4186-88C6-D7A200369EED}" name="CLASSIFICACAO_PRECO">
      <calculatedColumnFormula>IF($Q2="","",IF($Q2&gt;0,"Claro mais barata",IF($Q2=0,"Mesmo preco","Claro mais cara")))</calculatedColumnFormula>
    </tableColumn>
    <tableColumn id="19" xr3:uid="{61D396E2-3EAC-4406-BEC7-BB4C67FF5280}" name="CLASSIFICACAO_VELOCIDADE">
      <calculatedColumnFormula>IF($R2="","",IF($R2&lt;0,"Claro com maior velocidade",IF($R2=0,"Mesma velocidade","Claro com menor velocidade")))</calculatedColumnFormula>
    </tableColumn>
    <tableColumn id="20" xr3:uid="{25FF56FD-A7C1-4251-A1DC-D0AE201AF396}" name="DATA_REFERENCIA" dataDxfId="3">
      <calculatedColumnFormula>DATE(2026,6,1)</calculatedColumnFormula>
    </tableColumn>
    <tableColumn id="22" xr3:uid="{B42E537A-2D75-4373-9208-358E36C71634}" name="TERRITORIO" dataDxfId="2">
      <calculatedColumnFormula>IF(OR([1]Planilha1!$B2="",[1]Planilha1!$B2="NÃO MAPEADO"),"",TRIM([1]Planilha1!$B2))</calculatedColumnFormula>
    </tableColumn>
    <tableColumn id="23" xr3:uid="{A716F39C-A6B1-4908-B321-57A628C75EE1}" name="GRUPO_OFERTA" dataDxfId="1">
      <calculatedColumnFormula>IF([1]Planilha1!$C2="","",TRIM([1]Planilha1!$C2))</calculatedColumnFormula>
    </tableColumn>
    <tableColumn id="24" xr3:uid="{6A114B6E-778F-4D4E-97A2-FA680F46A8BB}" name="CEP" dataDxfId="0">
      <calculatedColumnFormula>IFERROR(VLOOKUP($C2,[1]Planilha2!$B:$H,7,FALSE),"")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vivo.com.br/para-voce/produtos-e-servicos/combos/vivo-to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2ED7-240D-4716-B41E-9F5077B133C9}">
  <dimension ref="A1:X561"/>
  <sheetViews>
    <sheetView tabSelected="1" workbookViewId="0">
      <selection sqref="A1:XFD1048576"/>
    </sheetView>
  </sheetViews>
  <sheetFormatPr defaultRowHeight="14.5" x14ac:dyDescent="0.35"/>
  <cols>
    <col min="1" max="1" width="7.54296875" bestFit="1" customWidth="1"/>
    <col min="2" max="2" width="24.54296875" bestFit="1" customWidth="1"/>
    <col min="3" max="3" width="17" bestFit="1" customWidth="1"/>
    <col min="4" max="4" width="15.81640625" bestFit="1" customWidth="1"/>
    <col min="5" max="5" width="22.81640625" bestFit="1" customWidth="1"/>
    <col min="6" max="6" width="58.54296875" bestFit="1" customWidth="1"/>
    <col min="7" max="7" width="20.54296875" bestFit="1" customWidth="1"/>
    <col min="8" max="8" width="46.54296875" bestFit="1" customWidth="1"/>
    <col min="9" max="9" width="16.1796875" bestFit="1" customWidth="1"/>
    <col min="10" max="10" width="19.54296875" bestFit="1" customWidth="1"/>
    <col min="11" max="11" width="24" bestFit="1" customWidth="1"/>
    <col min="12" max="12" width="18.81640625" bestFit="1" customWidth="1"/>
    <col min="13" max="13" width="24.81640625" bestFit="1" customWidth="1"/>
    <col min="14" max="14" width="33.26953125" bestFit="1" customWidth="1"/>
    <col min="15" max="15" width="19" bestFit="1" customWidth="1"/>
    <col min="16" max="16" width="23.7265625" bestFit="1" customWidth="1"/>
    <col min="17" max="17" width="31.54296875" bestFit="1" customWidth="1"/>
    <col min="18" max="18" width="36.54296875" bestFit="1" customWidth="1"/>
    <col min="19" max="19" width="25.81640625" bestFit="1" customWidth="1"/>
    <col min="20" max="20" width="30.81640625" bestFit="1" customWidth="1"/>
    <col min="21" max="21" width="21.1796875" bestFit="1" customWidth="1"/>
    <col min="22" max="22" width="15.453125" bestFit="1" customWidth="1"/>
    <col min="23" max="23" width="18.81640625" bestFit="1" customWidth="1"/>
    <col min="24" max="24" width="9.4531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t="str">
        <f ca="1">IF(LEFT(TEXT([1]Planilha1!$L2,"0000000"),1)="5","MS","SP")</f>
        <v>SP</v>
      </c>
      <c r="B2" t="str">
        <f ca="1">IF(RIGHT([1]Planilha1!$A2,5)=" - MS",LEFT([1]Planilha1!$A2,LEN([1]Planilha1!$A2)-5),TRIM([1]Planilha1!$A2))</f>
        <v>ADAMANTINA</v>
      </c>
      <c r="C2" s="2">
        <f ca="1">[1]Planilha1!$L2</f>
        <v>3500105</v>
      </c>
      <c r="D2" t="str">
        <f>TRIM([1]Planilha1!$D2)</f>
        <v>Claro</v>
      </c>
      <c r="E2" t="str">
        <f>IF(TRIM([1]Planilha1!$D2)="Claro","Claro","Concorrente")</f>
        <v>Claro</v>
      </c>
      <c r="F2" t="s">
        <v>24</v>
      </c>
      <c r="G2" t="str">
        <f t="shared" ref="G2:G192" ca="1" si="0">IF($K2&lt;&gt;"","Banda Larga + Movel",IF($P2&lt;&gt;"","Banda Larga + Conteudo","Banda Larga"))</f>
        <v>Banda Larga + Movel</v>
      </c>
      <c r="H2" t="str">
        <f ca="1">TRIM([1]Planilha1!$E2)</f>
        <v>600M+100GB=R$109,90 por 6M, após R$139,90</v>
      </c>
      <c r="I2" t="str">
        <f ca="1">IF([1]Planilha1!$F2="","",TRIM([1]Planilha1!$F2))</f>
        <v>Fibra</v>
      </c>
      <c r="J2" s="3">
        <f ca="1">IF([1]Planilha1!$G2="","",[1]Planilha1!$G2)</f>
        <v>600</v>
      </c>
      <c r="K2" s="4" cm="1">
        <f t="array" aca="1" ref="K2" ca="1">IFERROR(VALUE(_xlfn.REGEXEXTRACT([1]Planilha1!$E2,"\+\s*(\d+)GB",2)),"")</f>
        <v>100</v>
      </c>
      <c r="L2" s="5">
        <f ca="1">IF([1]Planilha1!$H2="","",[1]Planilha1!$H2)</f>
        <v>139.9</v>
      </c>
      <c r="M2" s="5">
        <f ca="1">IF([1]Planilha1!$I2="","",[1]Planilha1!$I2)</f>
        <v>109.9</v>
      </c>
      <c r="N2" s="2" cm="1">
        <f t="array" aca="1" ref="N2" ca="1">IFERROR(VALUE(_xlfn.REGEXEXTRACT([1]Planilha1!$E2,"(\d+)\s*MESES",2)),IFERROR(VALUE(_xlfn.REGEXEXTRACT([1]Planilha1!$E2,"por\s*(\d+)\s*M",2)),IF(_xlfn.REGEXTEST([1]Planilha1!$E2,"1[ºª]"),1,"")))</f>
        <v>6</v>
      </c>
      <c r="O2" s="6">
        <f ca="1">IF(OR($L2="",$J2="",N($J2)=0),"",$L2/$J2)</f>
        <v>0.23316666666666669</v>
      </c>
      <c r="P2" t="str">
        <f ca="1">IF([1]Planilha1!$J2="","",TRIM([1]Planilha1!$J2))</f>
        <v>GLOBOPLAY</v>
      </c>
      <c r="Q2" s="7" t="str">
        <f>IF($D2="Claro","",IFERROR($L2-VLOOKUP($B2&amp;"|Claro",[1]AUX_CLARO!$A:$C,2,FALSE),""))</f>
        <v/>
      </c>
      <c r="R2" s="8" t="str">
        <f>IF($D2="Claro","",IFERROR($J2-VLOOKUP($B2&amp;"|Claro",[1]AUX_CLARO!$A:$C,3,FALSE),""))</f>
        <v/>
      </c>
      <c r="S2" t="str">
        <f>IF($Q2="","",IF($Q2&gt;0,"Claro mais barata",IF($Q2=0,"Mesmo preco","Claro mais cara")))</f>
        <v/>
      </c>
      <c r="T2" t="str">
        <f>IF($R2="","",IF($R2&lt;0,"Claro com maior velocidade",IF($R2=0,"Mesma velocidade","Claro com menor velocidade")))</f>
        <v/>
      </c>
      <c r="U2" s="9">
        <f>DATE(2026,6,1)</f>
        <v>46174</v>
      </c>
      <c r="V2" t="str">
        <f ca="1">IF(OR([1]Planilha1!$B2="",[1]Planilha1!$B2="NÃO MAPEADO"),"",TRIM([1]Planilha1!$B2))</f>
        <v>NOROESTE</v>
      </c>
      <c r="W2" t="str">
        <f ca="1">IF([1]Planilha1!$C2="","",TRIM([1]Planilha1!$C2))</f>
        <v>MD 2</v>
      </c>
      <c r="X2" t="str">
        <f ca="1">IFERROR(VLOOKUP($C2,[1]Planilha2!$B:$H,7,FALSE),"")</f>
        <v>17800-001</v>
      </c>
    </row>
    <row r="3" spans="1:24" x14ac:dyDescent="0.35">
      <c r="A3" t="str">
        <f ca="1">IF(LEFT(TEXT([1]Planilha1!$L3,"0000000"),1)="5","MS","SP")</f>
        <v>SP</v>
      </c>
      <c r="B3" t="str">
        <f ca="1">IF(RIGHT([1]Planilha1!$A3,5)=" - MS",LEFT([1]Planilha1!$A3,LEN([1]Planilha1!$A3)-5),TRIM([1]Planilha1!$A3))</f>
        <v>ADAMANTINA</v>
      </c>
      <c r="C3" s="2">
        <f ca="1">[1]Planilha1!$L3</f>
        <v>3500105</v>
      </c>
      <c r="D3" t="str">
        <f>TRIM([1]Planilha1!$D3)</f>
        <v>Vivo</v>
      </c>
      <c r="E3" t="str">
        <f>IF(TRIM([1]Planilha1!$D3)="Claro","Claro","Concorrente")</f>
        <v>Concorrente</v>
      </c>
      <c r="F3" s="10" t="s">
        <v>25</v>
      </c>
      <c r="G3" t="str">
        <f t="shared" ca="1" si="0"/>
        <v>Banda Larga + Movel</v>
      </c>
      <c r="H3" t="s">
        <v>26</v>
      </c>
      <c r="I3" t="str">
        <f ca="1">IF([1]Planilha1!$F3="","",TRIM([1]Planilha1!$F3))</f>
        <v>Fibra</v>
      </c>
      <c r="J3" s="11" t="s">
        <v>27</v>
      </c>
      <c r="K3" s="4" cm="1">
        <f t="array" aca="1" ref="K3" ca="1">IFERROR(VALUE(_xlfn.REGEXEXTRACT([1]Planilha1!$E3,"\+\s*(\d+)GB",2)),"")</f>
        <v>70</v>
      </c>
      <c r="L3" s="5">
        <v>160</v>
      </c>
      <c r="M3" s="5" t="str">
        <f ca="1">IF([1]Planilha1!$I3="","",[1]Planilha1!$I3)</f>
        <v/>
      </c>
      <c r="N3" s="2" t="str" cm="1">
        <f t="array" aca="1" ref="N3" ca="1">IFERROR(VALUE(_xlfn.REGEXEXTRACT([1]Planilha1!$E3,"(\d+)\s*MESES",2)),IFERROR(VALUE(_xlfn.REGEXEXTRACT([1]Planilha1!$E3,"por\s*(\d+)\s*M",2)),IF(_xlfn.REGEXTEST([1]Planilha1!$E3,"1[ºª]"),1,"")))</f>
        <v/>
      </c>
      <c r="O3" s="6" t="str">
        <f t="shared" ref="O3:O66" si="1">IF(OR($L3="",$J3="",N($J3)=0),"",$L3/$J3)</f>
        <v/>
      </c>
      <c r="P3" t="str">
        <f ca="1">IF([1]Planilha1!$J3="","",TRIM([1]Planilha1!$J3))</f>
        <v>0</v>
      </c>
      <c r="Q3" s="7">
        <f ca="1">IF($D3="Claro","",IFERROR($L3-VLOOKUP($B3&amp;"|Claro",[1]AUX_CLARO!$A:$C,2,FALSE),""))</f>
        <v>20.099999999999994</v>
      </c>
      <c r="R3" s="8" t="str">
        <f ca="1">IF($D3="Claro","",IFERROR($J3-VLOOKUP($B3&amp;"|Claro",[1]AUX_CLARO!$A:$C,3,FALSE),""))</f>
        <v/>
      </c>
      <c r="S3" t="str">
        <f t="shared" ref="S3:S66" ca="1" si="2">IF($Q3="","",IF($Q3&gt;0,"Claro mais barata",IF($Q3=0,"Mesmo preco","Claro mais cara")))</f>
        <v>Claro mais barata</v>
      </c>
      <c r="T3" t="str">
        <f t="shared" ref="T3:T66" ca="1" si="3">IF($R3="","",IF($R3&lt;0,"Claro com maior velocidade",IF($R3=0,"Mesma velocidade","Claro com menor velocidade")))</f>
        <v/>
      </c>
      <c r="U3" s="9">
        <f t="shared" ref="U3:U66" si="4">DATE(2026,6,1)</f>
        <v>46174</v>
      </c>
      <c r="V3" t="str">
        <f ca="1">IF(OR([1]Planilha1!$B3="",[1]Planilha1!$B3="NÃO MAPEADO"),"",TRIM([1]Planilha1!$B3))</f>
        <v>NOROESTE</v>
      </c>
      <c r="W3" t="str">
        <f ca="1">IF([1]Planilha1!$C3="","",TRIM([1]Planilha1!$C3))</f>
        <v>MD 2</v>
      </c>
      <c r="X3" t="str">
        <f ca="1">IFERROR(VLOOKUP($C3,[1]Planilha2!$B:$H,7,FALSE),"")</f>
        <v>17800-001</v>
      </c>
    </row>
    <row r="4" spans="1:24" x14ac:dyDescent="0.35">
      <c r="A4" t="str">
        <f ca="1">IF(LEFT(TEXT([1]Planilha1!$L4,"0000000"),1)="5","MS","SP")</f>
        <v>SP</v>
      </c>
      <c r="B4" t="str">
        <f ca="1">IF(RIGHT([1]Planilha1!$A4,5)=" - MS",LEFT([1]Planilha1!$A4,LEN([1]Planilha1!$A4)-5),TRIM([1]Planilha1!$A4))</f>
        <v>ADAMANTINA</v>
      </c>
      <c r="C4" s="2">
        <f ca="1">[1]Planilha1!$L4</f>
        <v>3500105</v>
      </c>
      <c r="D4" t="str">
        <f>TRIM([1]Planilha1!$D4)</f>
        <v>ISP LOCAL</v>
      </c>
      <c r="E4" t="str">
        <f>IF(TRIM([1]Planilha1!$D4)="Claro","Claro","Concorrente")</f>
        <v>Concorrente</v>
      </c>
      <c r="F4" t="s">
        <v>28</v>
      </c>
      <c r="G4" t="str">
        <f t="shared" ca="1" si="0"/>
        <v>Banda Larga + Conteudo</v>
      </c>
      <c r="H4" t="str">
        <f ca="1">TRIM([1]Planilha1!$E4)</f>
        <v>CABONNET - 600M R$49,95 - 3 MESES, APÓS R$99,90</v>
      </c>
      <c r="I4" t="str">
        <f ca="1">IF([1]Planilha1!$F4="","",TRIM([1]Planilha1!$F4))</f>
        <v>Fibra</v>
      </c>
      <c r="J4" s="3">
        <f ca="1">IF([1]Planilha1!$G4="","",[1]Planilha1!$G4)</f>
        <v>600</v>
      </c>
      <c r="K4" s="4" t="str" cm="1">
        <f t="array" aca="1" ref="K4" ca="1">IFERROR(VALUE(_xlfn.REGEXEXTRACT([1]Planilha1!$E4,"\+\s*(\d+)GB",2)),"")</f>
        <v/>
      </c>
      <c r="L4" s="5">
        <f ca="1">IF([1]Planilha1!$H4="","",[1]Planilha1!$H4)</f>
        <v>99.9</v>
      </c>
      <c r="M4" s="5">
        <f ca="1">IF([1]Planilha1!$I4="","",[1]Planilha1!$I4)</f>
        <v>49.95</v>
      </c>
      <c r="N4" s="2" cm="1">
        <f t="array" aca="1" ref="N4" ca="1">IFERROR(VALUE(_xlfn.REGEXEXTRACT([1]Planilha1!$E4,"(\d+)\s*MESES",2)),IFERROR(VALUE(_xlfn.REGEXEXTRACT([1]Planilha1!$E4,"por\s*(\d+)\s*M",2)),IF(_xlfn.REGEXTEST([1]Planilha1!$E4,"1[ºª]"),1,"")))</f>
        <v>3</v>
      </c>
      <c r="O4" s="6">
        <f t="shared" ca="1" si="1"/>
        <v>0.16650000000000001</v>
      </c>
      <c r="P4" t="str">
        <f ca="1">IF([1]Planilha1!$J4="","",TRIM([1]Planilha1!$J4))</f>
        <v>0</v>
      </c>
      <c r="Q4" s="7">
        <f ca="1">IF($D4="Claro","",IFERROR($L4-VLOOKUP($B4&amp;"|Claro",[1]AUX_CLARO!$A:$C,2,FALSE),""))</f>
        <v>-40</v>
      </c>
      <c r="R4" s="8">
        <f ca="1">IF($D4="Claro","",IFERROR($J4-VLOOKUP($B4&amp;"|Claro",[1]AUX_CLARO!$A:$C,3,FALSE),""))</f>
        <v>0</v>
      </c>
      <c r="S4" t="str">
        <f t="shared" ca="1" si="2"/>
        <v>Claro mais cara</v>
      </c>
      <c r="T4" t="str">
        <f t="shared" ca="1" si="3"/>
        <v>Mesma velocidade</v>
      </c>
      <c r="U4" s="9">
        <f t="shared" si="4"/>
        <v>46174</v>
      </c>
      <c r="V4" t="str">
        <f ca="1">IF(OR([1]Planilha1!$B4="",[1]Planilha1!$B4="NÃO MAPEADO"),"",TRIM([1]Planilha1!$B4))</f>
        <v>NOROESTE</v>
      </c>
      <c r="W4" t="str">
        <f ca="1">IF([1]Planilha1!$C4="","",TRIM([1]Planilha1!$C4))</f>
        <v>MD 2</v>
      </c>
      <c r="X4" t="str">
        <f ca="1">IFERROR(VLOOKUP($C4,[1]Planilha2!$B:$H,7,FALSE),"")</f>
        <v>17800-001</v>
      </c>
    </row>
    <row r="5" spans="1:24" x14ac:dyDescent="0.35">
      <c r="A5" t="str">
        <f ca="1">IF(LEFT(TEXT([1]Planilha1!$L5,"0000000"),1)="5","MS","SP")</f>
        <v>SP</v>
      </c>
      <c r="B5" t="str">
        <f ca="1">IF(RIGHT([1]Planilha1!$A5,5)=" - MS",LEFT([1]Planilha1!$A5,LEN([1]Planilha1!$A5)-5),TRIM([1]Planilha1!$A5))</f>
        <v>AGUDOS</v>
      </c>
      <c r="C5" s="2">
        <f ca="1">[1]Planilha1!$L5</f>
        <v>3500709</v>
      </c>
      <c r="D5" t="str">
        <f>TRIM([1]Planilha1!$D5)</f>
        <v>Claro</v>
      </c>
      <c r="E5" t="str">
        <f>IF(TRIM([1]Planilha1!$D5)="Claro","Claro","Concorrente")</f>
        <v>Claro</v>
      </c>
      <c r="F5" t="s">
        <v>24</v>
      </c>
      <c r="G5" t="str">
        <f t="shared" ca="1" si="0"/>
        <v>Banda Larga + Movel</v>
      </c>
      <c r="H5" t="str">
        <f ca="1">TRIM([1]Planilha1!$E5)</f>
        <v>600M+100GB=R$109,90 por 6M, após R$139,90</v>
      </c>
      <c r="I5" t="str">
        <f ca="1">IF([1]Planilha1!$F5="","",TRIM([1]Planilha1!$F5))</f>
        <v>Fibra</v>
      </c>
      <c r="J5" s="3">
        <f ca="1">IF([1]Planilha1!$G5="","",[1]Planilha1!$G5)</f>
        <v>600</v>
      </c>
      <c r="K5" s="4" cm="1">
        <f t="array" aca="1" ref="K5" ca="1">IFERROR(VALUE(_xlfn.REGEXEXTRACT([1]Planilha1!$E5,"\+\s*(\d+)GB",2)),"")</f>
        <v>100</v>
      </c>
      <c r="L5" s="5">
        <f ca="1">IF([1]Planilha1!$H5="","",[1]Planilha1!$H5)</f>
        <v>139.9</v>
      </c>
      <c r="M5" s="5">
        <f ca="1">IF([1]Planilha1!$I5="","",[1]Planilha1!$I5)</f>
        <v>109.9</v>
      </c>
      <c r="N5" s="2" cm="1">
        <f t="array" aca="1" ref="N5" ca="1">IFERROR(VALUE(_xlfn.REGEXEXTRACT([1]Planilha1!$E5,"(\d+)\s*MESES",2)),IFERROR(VALUE(_xlfn.REGEXEXTRACT([1]Planilha1!$E5,"por\s*(\d+)\s*M",2)),IF(_xlfn.REGEXTEST([1]Planilha1!$E5,"1[ºª]"),1,"")))</f>
        <v>6</v>
      </c>
      <c r="O5" s="6">
        <f t="shared" ca="1" si="1"/>
        <v>0.23316666666666669</v>
      </c>
      <c r="P5" t="str">
        <f ca="1">IF([1]Planilha1!$J5="","",TRIM([1]Planilha1!$J5))</f>
        <v>GLOBOPLAY</v>
      </c>
      <c r="Q5" s="7" t="str">
        <f>IF($D5="Claro","",IFERROR($L5-VLOOKUP($B5&amp;"|Claro",[1]AUX_CLARO!$A:$C,2,FALSE),""))</f>
        <v/>
      </c>
      <c r="R5" s="8" t="str">
        <f>IF($D5="Claro","",IFERROR($J5-VLOOKUP($B5&amp;"|Claro",[1]AUX_CLARO!$A:$C,3,FALSE),""))</f>
        <v/>
      </c>
      <c r="S5" t="str">
        <f t="shared" si="2"/>
        <v/>
      </c>
      <c r="T5" t="str">
        <f t="shared" si="3"/>
        <v/>
      </c>
      <c r="U5" s="9">
        <f t="shared" si="4"/>
        <v>46174</v>
      </c>
      <c r="V5" t="str">
        <f ca="1">IF(OR([1]Planilha1!$B5="",[1]Planilha1!$B5="NÃO MAPEADO"),"",TRIM([1]Planilha1!$B5))</f>
        <v>SUDESTE</v>
      </c>
      <c r="W5" t="str">
        <f ca="1">IF([1]Planilha1!$C5="","",TRIM([1]Planilha1!$C5))</f>
        <v>MD 2</v>
      </c>
      <c r="X5" s="12" t="str">
        <f ca="1">IFERROR(VLOOKUP($C5,[1]Planilha2!$B:$H,7,FALSE),"")</f>
        <v>17120-001</v>
      </c>
    </row>
    <row r="6" spans="1:24" x14ac:dyDescent="0.35">
      <c r="A6" t="str">
        <f ca="1">IF(LEFT(TEXT([1]Planilha1!$L6,"0000000"),1)="5","MS","SP")</f>
        <v>SP</v>
      </c>
      <c r="B6" t="str">
        <f ca="1">IF(RIGHT([1]Planilha1!$A6,5)=" - MS",LEFT([1]Planilha1!$A6,LEN([1]Planilha1!$A6)-5),TRIM([1]Planilha1!$A6))</f>
        <v>AGUDOS</v>
      </c>
      <c r="C6" s="2">
        <f ca="1">[1]Planilha1!$L6</f>
        <v>3500709</v>
      </c>
      <c r="D6" t="str">
        <f>TRIM([1]Planilha1!$D6)</f>
        <v>Desktop</v>
      </c>
      <c r="E6" t="str">
        <f>IF(TRIM([1]Planilha1!$D6)="Claro","Claro","Concorrente")</f>
        <v>Concorrente</v>
      </c>
      <c r="F6" t="s">
        <v>29</v>
      </c>
      <c r="G6" t="str">
        <f t="shared" ca="1" si="0"/>
        <v>Banda Larga + Movel</v>
      </c>
      <c r="H6" t="str">
        <f ca="1">TRIM([1]Planilha1!$E6)</f>
        <v>600M+15GB=R$129,99 - 6 MESES, APÓS R$139,99</v>
      </c>
      <c r="I6" t="str">
        <f ca="1">IF([1]Planilha1!$F6="","",TRIM([1]Planilha1!$F6))</f>
        <v>Fibra</v>
      </c>
      <c r="J6" s="3">
        <f ca="1">IF([1]Planilha1!$G6="","",[1]Planilha1!$G6)</f>
        <v>600</v>
      </c>
      <c r="K6" s="4" cm="1">
        <f t="array" aca="1" ref="K6" ca="1">IFERROR(VALUE(_xlfn.REGEXEXTRACT([1]Planilha1!$E6,"\+\s*(\d+)GB",2)),"")</f>
        <v>15</v>
      </c>
      <c r="L6" s="5">
        <f ca="1">IF([1]Planilha1!$H6="","",[1]Planilha1!$H6)</f>
        <v>139.99</v>
      </c>
      <c r="M6" s="5">
        <f ca="1">IF([1]Planilha1!$I6="","",[1]Planilha1!$I6)</f>
        <v>129.99</v>
      </c>
      <c r="N6" s="2" cm="1">
        <f t="array" aca="1" ref="N6" ca="1">IFERROR(VALUE(_xlfn.REGEXEXTRACT([1]Planilha1!$E6,"(\d+)\s*MESES",2)),IFERROR(VALUE(_xlfn.REGEXEXTRACT([1]Planilha1!$E6,"por\s*(\d+)\s*M",2)),IF(_xlfn.REGEXTEST([1]Planilha1!$E6,"1[ºª]"),1,"")))</f>
        <v>6</v>
      </c>
      <c r="O6" s="6">
        <f t="shared" ca="1" si="1"/>
        <v>0.23331666666666667</v>
      </c>
      <c r="P6" t="str">
        <f ca="1">IF([1]Planilha1!$J6="","",TRIM([1]Planilha1!$J6))</f>
        <v>0</v>
      </c>
      <c r="Q6" s="7">
        <f ca="1">IF($D6="Claro","",IFERROR($L6-VLOOKUP($B6&amp;"|Claro",[1]AUX_CLARO!$A:$C,2,FALSE),""))</f>
        <v>9.0000000000003411E-2</v>
      </c>
      <c r="R6" s="8">
        <f ca="1">IF($D6="Claro","",IFERROR($J6-VLOOKUP($B6&amp;"|Claro",[1]AUX_CLARO!$A:$C,3,FALSE),""))</f>
        <v>0</v>
      </c>
      <c r="S6" t="str">
        <f t="shared" ca="1" si="2"/>
        <v>Claro mais barata</v>
      </c>
      <c r="T6" t="str">
        <f t="shared" ca="1" si="3"/>
        <v>Mesma velocidade</v>
      </c>
      <c r="U6" s="9">
        <f t="shared" si="4"/>
        <v>46174</v>
      </c>
      <c r="V6" t="str">
        <f ca="1">IF(OR([1]Planilha1!$B6="",[1]Planilha1!$B6="NÃO MAPEADO"),"",TRIM([1]Planilha1!$B6))</f>
        <v>SUDESTE</v>
      </c>
      <c r="W6" t="str">
        <f ca="1">IF([1]Planilha1!$C6="","",TRIM([1]Planilha1!$C6))</f>
        <v>MD 2</v>
      </c>
      <c r="X6" s="12" t="str">
        <f ca="1">IFERROR(VLOOKUP($C6,[1]Planilha2!$B:$H,7,FALSE),"")</f>
        <v>17120-001</v>
      </c>
    </row>
    <row r="7" spans="1:24" x14ac:dyDescent="0.35">
      <c r="A7" t="str">
        <f ca="1">IF(LEFT(TEXT([1]Planilha1!$L7,"0000000"),1)="5","MS","SP")</f>
        <v>SP</v>
      </c>
      <c r="B7" t="str">
        <f ca="1">IF(RIGHT([1]Planilha1!$A7,5)=" - MS",LEFT([1]Planilha1!$A7,LEN([1]Planilha1!$A7)-5),TRIM([1]Planilha1!$A7))</f>
        <v>AGUDOS</v>
      </c>
      <c r="C7" s="2">
        <f ca="1">[1]Planilha1!$L7</f>
        <v>3500709</v>
      </c>
      <c r="D7" t="str">
        <f>TRIM([1]Planilha1!$D7)</f>
        <v>Vero</v>
      </c>
      <c r="E7" t="str">
        <f>IF(TRIM([1]Planilha1!$D7)="Claro","Claro","Concorrente")</f>
        <v>Concorrente</v>
      </c>
      <c r="F7" t="s">
        <v>30</v>
      </c>
      <c r="G7" t="str">
        <f t="shared" ca="1" si="0"/>
        <v>Banda Larga + Movel</v>
      </c>
      <c r="H7" t="str">
        <f ca="1">TRIM([1]Planilha1!$E7)</f>
        <v>850M+60GB=R$149,99 (C/ GLOBOPLAY, HBO, DISNEY+)</v>
      </c>
      <c r="I7" t="str">
        <f ca="1">IF([1]Planilha1!$F7="","",TRIM([1]Planilha1!$F7))</f>
        <v>Fibra</v>
      </c>
      <c r="J7" s="3">
        <f ca="1">IF([1]Planilha1!$G7="","",[1]Planilha1!$G7)</f>
        <v>850</v>
      </c>
      <c r="K7" s="4" cm="1">
        <f t="array" aca="1" ref="K7" ca="1">IFERROR(VALUE(_xlfn.REGEXEXTRACT([1]Planilha1!$E7,"\+\s*(\d+)GB",2)),"")</f>
        <v>60</v>
      </c>
      <c r="L7" s="5">
        <f ca="1">IF([1]Planilha1!$H7="","",[1]Planilha1!$H7)</f>
        <v>149.99</v>
      </c>
      <c r="M7" s="5" t="str">
        <f ca="1">IF([1]Planilha1!$I7="","",[1]Planilha1!$I7)</f>
        <v/>
      </c>
      <c r="N7" s="2" t="str" cm="1">
        <f t="array" aca="1" ref="N7" ca="1">IFERROR(VALUE(_xlfn.REGEXEXTRACT([1]Planilha1!$E7,"(\d+)\s*MESES",2)),IFERROR(VALUE(_xlfn.REGEXEXTRACT([1]Planilha1!$E7,"por\s*(\d+)\s*M",2)),IF(_xlfn.REGEXTEST([1]Planilha1!$E7,"1[ºª]"),1,"")))</f>
        <v/>
      </c>
      <c r="O7" s="6">
        <f t="shared" ca="1" si="1"/>
        <v>0.17645882352941178</v>
      </c>
      <c r="P7" t="str">
        <f ca="1">IF([1]Planilha1!$J7="","",TRIM([1]Planilha1!$J7))</f>
        <v>GLOBOPLAY, HBO, DISNEY+</v>
      </c>
      <c r="Q7" s="7">
        <f ca="1">IF($D7="Claro","",IFERROR($L7-VLOOKUP($B7&amp;"|Claro",[1]AUX_CLARO!$A:$C,2,FALSE),""))</f>
        <v>10.090000000000003</v>
      </c>
      <c r="R7" s="8">
        <f ca="1">IF($D7="Claro","",IFERROR($J7-VLOOKUP($B7&amp;"|Claro",[1]AUX_CLARO!$A:$C,3,FALSE),""))</f>
        <v>250</v>
      </c>
      <c r="S7" t="str">
        <f t="shared" ca="1" si="2"/>
        <v>Claro mais barata</v>
      </c>
      <c r="T7" t="str">
        <f t="shared" ca="1" si="3"/>
        <v>Claro com menor velocidade</v>
      </c>
      <c r="U7" s="9">
        <f t="shared" si="4"/>
        <v>46174</v>
      </c>
      <c r="V7" t="str">
        <f ca="1">IF(OR([1]Planilha1!$B7="",[1]Planilha1!$B7="NÃO MAPEADO"),"",TRIM([1]Planilha1!$B7))</f>
        <v>SUDESTE</v>
      </c>
      <c r="W7" t="str">
        <f ca="1">IF([1]Planilha1!$C7="","",TRIM([1]Planilha1!$C7))</f>
        <v>MD 2</v>
      </c>
      <c r="X7" s="12" t="str">
        <f ca="1">IFERROR(VLOOKUP($C7,[1]Planilha2!$B:$H,7,FALSE),"")</f>
        <v>17120-001</v>
      </c>
    </row>
    <row r="8" spans="1:24" x14ac:dyDescent="0.35">
      <c r="A8" t="str">
        <f ca="1">IF(LEFT(TEXT([1]Planilha1!$L8,"0000000"),1)="5","MS","SP")</f>
        <v>SP</v>
      </c>
      <c r="B8" t="str">
        <f ca="1">IF(RIGHT([1]Planilha1!$A8,5)=" - MS",LEFT([1]Planilha1!$A8,LEN([1]Planilha1!$A8)-5),TRIM([1]Planilha1!$A8))</f>
        <v>AGUDOS</v>
      </c>
      <c r="C8" s="2">
        <f ca="1">[1]Planilha1!$L8</f>
        <v>3500709</v>
      </c>
      <c r="D8" t="str">
        <f>TRIM([1]Planilha1!$D8)</f>
        <v>ISP LOCAL</v>
      </c>
      <c r="E8" t="str">
        <f>IF(TRIM([1]Planilha1!$D8)="Claro","Claro","Concorrente")</f>
        <v>Concorrente</v>
      </c>
      <c r="F8" t="s">
        <v>31</v>
      </c>
      <c r="G8" t="str">
        <f t="shared" ca="1" si="0"/>
        <v>Banda Larga + Conteudo</v>
      </c>
      <c r="H8" t="str">
        <f ca="1">TRIM([1]Planilha1!$E8)</f>
        <v>BRAYO - 1GB R$99,99</v>
      </c>
      <c r="I8" t="str">
        <f ca="1">IF([1]Planilha1!$F8="","",TRIM([1]Planilha1!$F8))</f>
        <v>Fibra</v>
      </c>
      <c r="J8" s="3">
        <f ca="1">IF([1]Planilha1!$G8="","",[1]Planilha1!$G8)</f>
        <v>1000</v>
      </c>
      <c r="K8" s="4" t="str" cm="1">
        <f t="array" aca="1" ref="K8" ca="1">IFERROR(VALUE(_xlfn.REGEXEXTRACT([1]Planilha1!$E8,"\+\s*(\d+)GB",2)),"")</f>
        <v/>
      </c>
      <c r="L8" s="5">
        <f ca="1">IF([1]Planilha1!$H8="","",[1]Planilha1!$H8)</f>
        <v>99.99</v>
      </c>
      <c r="M8" s="5" t="str">
        <f ca="1">IF([1]Planilha1!$I8="","",[1]Planilha1!$I8)</f>
        <v/>
      </c>
      <c r="N8" s="2" t="str" cm="1">
        <f t="array" aca="1" ref="N8" ca="1">IFERROR(VALUE(_xlfn.REGEXEXTRACT([1]Planilha1!$E8,"(\d+)\s*MESES",2)),IFERROR(VALUE(_xlfn.REGEXEXTRACT([1]Planilha1!$E8,"por\s*(\d+)\s*M",2)),IF(_xlfn.REGEXTEST([1]Planilha1!$E8,"1[ºª]"),1,"")))</f>
        <v/>
      </c>
      <c r="O8" s="6">
        <f t="shared" ca="1" si="1"/>
        <v>9.9989999999999996E-2</v>
      </c>
      <c r="P8" t="str">
        <f ca="1">IF([1]Planilha1!$J8="","",TRIM([1]Planilha1!$J8))</f>
        <v>0</v>
      </c>
      <c r="Q8" s="7">
        <f ca="1">IF($D8="Claro","",IFERROR($L8-VLOOKUP($B8&amp;"|Claro",[1]AUX_CLARO!$A:$C,2,FALSE),""))</f>
        <v>-39.910000000000011</v>
      </c>
      <c r="R8" s="8">
        <f ca="1">IF($D8="Claro","",IFERROR($J8-VLOOKUP($B8&amp;"|Claro",[1]AUX_CLARO!$A:$C,3,FALSE),""))</f>
        <v>400</v>
      </c>
      <c r="S8" t="str">
        <f t="shared" ca="1" si="2"/>
        <v>Claro mais cara</v>
      </c>
      <c r="T8" t="str">
        <f t="shared" ca="1" si="3"/>
        <v>Claro com menor velocidade</v>
      </c>
      <c r="U8" s="9">
        <f t="shared" si="4"/>
        <v>46174</v>
      </c>
      <c r="V8" t="str">
        <f ca="1">IF(OR([1]Planilha1!$B8="",[1]Planilha1!$B8="NÃO MAPEADO"),"",TRIM([1]Planilha1!$B8))</f>
        <v>SUDESTE</v>
      </c>
      <c r="W8" t="str">
        <f ca="1">IF([1]Planilha1!$C8="","",TRIM([1]Planilha1!$C8))</f>
        <v>MD 2</v>
      </c>
      <c r="X8" s="12" t="str">
        <f ca="1">IFERROR(VLOOKUP($C8,[1]Planilha2!$B:$H,7,FALSE),"")</f>
        <v>17120-001</v>
      </c>
    </row>
    <row r="9" spans="1:24" x14ac:dyDescent="0.35">
      <c r="A9" t="str">
        <f ca="1">IF(LEFT(TEXT([1]Planilha1!$L9,"0000000"),1)="5","MS","SP")</f>
        <v>SP</v>
      </c>
      <c r="B9" t="str">
        <f ca="1">IF(RIGHT([1]Planilha1!$A9,5)=" - MS",LEFT([1]Planilha1!$A9,LEN([1]Planilha1!$A9)-5),TRIM([1]Planilha1!$A9))</f>
        <v>ALVARES MACHADO</v>
      </c>
      <c r="C9" s="2">
        <f ca="1">[1]Planilha1!$L9</f>
        <v>3501301</v>
      </c>
      <c r="D9" t="str">
        <f>TRIM([1]Planilha1!$D9)</f>
        <v>Claro</v>
      </c>
      <c r="E9" t="str">
        <f>IF(TRIM([1]Planilha1!$D9)="Claro","Claro","Concorrente")</f>
        <v>Claro</v>
      </c>
      <c r="F9" t="s">
        <v>24</v>
      </c>
      <c r="G9" t="str">
        <f t="shared" ca="1" si="0"/>
        <v>Banda Larga + Movel</v>
      </c>
      <c r="H9" t="str">
        <f ca="1">TRIM([1]Planilha1!$E9)</f>
        <v>600M+100GB=R$109,90 por 6M, após R$139,90</v>
      </c>
      <c r="I9" t="str">
        <f ca="1">IF([1]Planilha1!$F9="","",TRIM([1]Planilha1!$F9))</f>
        <v>Fibra</v>
      </c>
      <c r="J9" s="3">
        <f ca="1">IF([1]Planilha1!$G9="","",[1]Planilha1!$G9)</f>
        <v>600</v>
      </c>
      <c r="K9" s="4" cm="1">
        <f t="array" aca="1" ref="K9" ca="1">IFERROR(VALUE(_xlfn.REGEXEXTRACT([1]Planilha1!$E9,"\+\s*(\d+)GB",2)),"")</f>
        <v>100</v>
      </c>
      <c r="L9" s="5">
        <f ca="1">IF([1]Planilha1!$H9="","",[1]Planilha1!$H9)</f>
        <v>139.9</v>
      </c>
      <c r="M9" s="5">
        <f ca="1">IF([1]Planilha1!$I9="","",[1]Planilha1!$I9)</f>
        <v>109.9</v>
      </c>
      <c r="N9" s="2" cm="1">
        <f t="array" aca="1" ref="N9" ca="1">IFERROR(VALUE(_xlfn.REGEXEXTRACT([1]Planilha1!$E9,"(\d+)\s*MESES",2)),IFERROR(VALUE(_xlfn.REGEXEXTRACT([1]Planilha1!$E9,"por\s*(\d+)\s*M",2)),IF(_xlfn.REGEXTEST([1]Planilha1!$E9,"1[ºª]"),1,"")))</f>
        <v>6</v>
      </c>
      <c r="O9" s="6">
        <f t="shared" ca="1" si="1"/>
        <v>0.23316666666666669</v>
      </c>
      <c r="P9" t="str">
        <f ca="1">IF([1]Planilha1!$J9="","",TRIM([1]Planilha1!$J9))</f>
        <v>GLOBOPLAY</v>
      </c>
      <c r="Q9" s="7" t="str">
        <f>IF($D9="Claro","",IFERROR($L9-VLOOKUP($B9&amp;"|Claro",[1]AUX_CLARO!$A:$C,2,FALSE),""))</f>
        <v/>
      </c>
      <c r="R9" s="8" t="str">
        <f>IF($D9="Claro","",IFERROR($J9-VLOOKUP($B9&amp;"|Claro",[1]AUX_CLARO!$A:$C,3,FALSE),""))</f>
        <v/>
      </c>
      <c r="S9" t="str">
        <f t="shared" si="2"/>
        <v/>
      </c>
      <c r="T9" t="str">
        <f t="shared" si="3"/>
        <v/>
      </c>
      <c r="U9" s="9">
        <f t="shared" si="4"/>
        <v>46174</v>
      </c>
      <c r="V9" t="str">
        <f ca="1">IF(OR([1]Planilha1!$B9="",[1]Planilha1!$B9="NÃO MAPEADO"),"",TRIM([1]Planilha1!$B9))</f>
        <v>NOROESTE</v>
      </c>
      <c r="W9" t="str">
        <f ca="1">IF([1]Planilha1!$C9="","",TRIM([1]Planilha1!$C9))</f>
        <v>MD 2</v>
      </c>
      <c r="X9" t="str">
        <f ca="1">IFERROR(VLOOKUP($C9,[1]Planilha2!$B:$H,7,FALSE),"")</f>
        <v>19160-001</v>
      </c>
    </row>
    <row r="10" spans="1:24" x14ac:dyDescent="0.35">
      <c r="A10" t="str">
        <f ca="1">IF(LEFT(TEXT([1]Planilha1!$L10,"0000000"),1)="5","MS","SP")</f>
        <v>SP</v>
      </c>
      <c r="B10" t="str">
        <f ca="1">IF(RIGHT([1]Planilha1!$A10,5)=" - MS",LEFT([1]Planilha1!$A10,LEN([1]Planilha1!$A10)-5),TRIM([1]Planilha1!$A10))</f>
        <v>ALVARES MACHADO</v>
      </c>
      <c r="C10" s="2">
        <f ca="1">[1]Planilha1!$L10</f>
        <v>3501301</v>
      </c>
      <c r="D10" t="str">
        <f>TRIM([1]Planilha1!$D10)</f>
        <v>Alares</v>
      </c>
      <c r="E10" t="str">
        <f>IF(TRIM([1]Planilha1!$D10)="Claro","Claro","Concorrente")</f>
        <v>Concorrente</v>
      </c>
      <c r="F10" t="s">
        <v>32</v>
      </c>
      <c r="G10" t="str">
        <f t="shared" ca="1" si="0"/>
        <v>Banda Larga + Conteudo</v>
      </c>
      <c r="H10" t="str">
        <f ca="1">TRIM([1]Planilha1!$E10)</f>
        <v>1GB + GLOBOPLAY R$99,90</v>
      </c>
      <c r="I10" t="str">
        <f ca="1">IF([1]Planilha1!$F10="","",TRIM([1]Planilha1!$F10))</f>
        <v>Fibra</v>
      </c>
      <c r="J10" s="3">
        <f ca="1">IF([1]Planilha1!$G10="","",[1]Planilha1!$G10)</f>
        <v>1000</v>
      </c>
      <c r="K10" s="4" t="str" cm="1">
        <f t="array" aca="1" ref="K10" ca="1">IFERROR(VALUE(_xlfn.REGEXEXTRACT([1]Planilha1!$E10,"\+\s*(\d+)GB",2)),"")</f>
        <v/>
      </c>
      <c r="L10" s="5">
        <f ca="1">IF([1]Planilha1!$H10="","",[1]Planilha1!$H10)</f>
        <v>99.9</v>
      </c>
      <c r="M10" s="5" t="str">
        <f ca="1">IF([1]Planilha1!$I10="","",[1]Planilha1!$I10)</f>
        <v/>
      </c>
      <c r="N10" s="2" t="str" cm="1">
        <f t="array" aca="1" ref="N10" ca="1">IFERROR(VALUE(_xlfn.REGEXEXTRACT([1]Planilha1!$E10,"(\d+)\s*MESES",2)),IFERROR(VALUE(_xlfn.REGEXEXTRACT([1]Planilha1!$E10,"por\s*(\d+)\s*M",2)),IF(_xlfn.REGEXTEST([1]Planilha1!$E10,"1[ºª]"),1,"")))</f>
        <v/>
      </c>
      <c r="O10" s="6">
        <f t="shared" ca="1" si="1"/>
        <v>9.9900000000000003E-2</v>
      </c>
      <c r="P10" t="str">
        <f ca="1">IF([1]Planilha1!$J10="","",TRIM([1]Planilha1!$J10))</f>
        <v>GLOBOPLAY</v>
      </c>
      <c r="Q10" s="7">
        <f ca="1">IF($D10="Claro","",IFERROR($L10-VLOOKUP($B10&amp;"|Claro",[1]AUX_CLARO!$A:$C,2,FALSE),""))</f>
        <v>-40</v>
      </c>
      <c r="R10" s="8">
        <f ca="1">IF($D10="Claro","",IFERROR($J10-VLOOKUP($B10&amp;"|Claro",[1]AUX_CLARO!$A:$C,3,FALSE),""))</f>
        <v>400</v>
      </c>
      <c r="S10" t="str">
        <f t="shared" ca="1" si="2"/>
        <v>Claro mais cara</v>
      </c>
      <c r="T10" t="str">
        <f t="shared" ca="1" si="3"/>
        <v>Claro com menor velocidade</v>
      </c>
      <c r="U10" s="9">
        <f t="shared" si="4"/>
        <v>46174</v>
      </c>
      <c r="V10" t="str">
        <f ca="1">IF(OR([1]Planilha1!$B10="",[1]Planilha1!$B10="NÃO MAPEADO"),"",TRIM([1]Planilha1!$B10))</f>
        <v>NOROESTE</v>
      </c>
      <c r="W10" t="str">
        <f ca="1">IF([1]Planilha1!$C10="","",TRIM([1]Planilha1!$C10))</f>
        <v>MD 2</v>
      </c>
      <c r="X10" t="str">
        <f ca="1">IFERROR(VLOOKUP($C10,[1]Planilha2!$B:$H,7,FALSE),"")</f>
        <v>19160-001</v>
      </c>
    </row>
    <row r="11" spans="1:24" x14ac:dyDescent="0.35">
      <c r="A11" t="str">
        <f ca="1">IF(LEFT(TEXT([1]Planilha1!$L11,"0000000"),1)="5","MS","SP")</f>
        <v>SP</v>
      </c>
      <c r="B11" t="str">
        <f ca="1">IF(RIGHT([1]Planilha1!$A11,5)=" - MS",LEFT([1]Planilha1!$A11,LEN([1]Planilha1!$A11)-5),TRIM([1]Planilha1!$A11))</f>
        <v>ALVARES MACHADO</v>
      </c>
      <c r="C11" s="2">
        <f ca="1">[1]Planilha1!$L11</f>
        <v>3501301</v>
      </c>
      <c r="D11" t="str">
        <f>TRIM([1]Planilha1!$D11)</f>
        <v>ISP LOCAL</v>
      </c>
      <c r="E11" t="str">
        <f>IF(TRIM([1]Planilha1!$D11)="Claro","Claro","Concorrente")</f>
        <v>Concorrente</v>
      </c>
      <c r="F11" t="s">
        <v>24</v>
      </c>
      <c r="G11" t="str">
        <f t="shared" ca="1" si="0"/>
        <v>Banda Larga + Conteudo</v>
      </c>
      <c r="H11" t="str">
        <f ca="1">TRIM([1]Planilha1!$E11)</f>
        <v>FLEETNET -750M R$99,99</v>
      </c>
      <c r="I11" t="str">
        <f ca="1">IF([1]Planilha1!$F11="","",TRIM([1]Planilha1!$F11))</f>
        <v>Fibra</v>
      </c>
      <c r="J11" s="3">
        <f ca="1">IF([1]Planilha1!$G11="","",[1]Planilha1!$G11)</f>
        <v>750</v>
      </c>
      <c r="K11" s="4" t="str" cm="1">
        <f t="array" aca="1" ref="K11" ca="1">IFERROR(VALUE(_xlfn.REGEXEXTRACT([1]Planilha1!$E11,"\+\s*(\d+)GB",2)),"")</f>
        <v/>
      </c>
      <c r="L11" s="5">
        <f ca="1">IF([1]Planilha1!$H11="","",[1]Planilha1!$H11)</f>
        <v>99.99</v>
      </c>
      <c r="M11" s="5" t="str">
        <f ca="1">IF([1]Planilha1!$I11="","",[1]Planilha1!$I11)</f>
        <v/>
      </c>
      <c r="N11" s="2" t="str" cm="1">
        <f t="array" aca="1" ref="N11" ca="1">IFERROR(VALUE(_xlfn.REGEXEXTRACT([1]Planilha1!$E11,"(\d+)\s*MESES",2)),IFERROR(VALUE(_xlfn.REGEXEXTRACT([1]Planilha1!$E11,"por\s*(\d+)\s*M",2)),IF(_xlfn.REGEXTEST([1]Planilha1!$E11,"1[ºª]"),1,"")))</f>
        <v/>
      </c>
      <c r="O11" s="6">
        <f t="shared" ca="1" si="1"/>
        <v>0.13331999999999999</v>
      </c>
      <c r="P11" t="str">
        <f ca="1">IF([1]Planilha1!$J11="","",TRIM([1]Planilha1!$J11))</f>
        <v>0</v>
      </c>
      <c r="Q11" s="7">
        <f ca="1">IF($D11="Claro","",IFERROR($L11-VLOOKUP($B11&amp;"|Claro",[1]AUX_CLARO!$A:$C,2,FALSE),""))</f>
        <v>-39.910000000000011</v>
      </c>
      <c r="R11" s="8">
        <f ca="1">IF($D11="Claro","",IFERROR($J11-VLOOKUP($B11&amp;"|Claro",[1]AUX_CLARO!$A:$C,3,FALSE),""))</f>
        <v>150</v>
      </c>
      <c r="S11" t="str">
        <f t="shared" ca="1" si="2"/>
        <v>Claro mais cara</v>
      </c>
      <c r="T11" t="str">
        <f t="shared" ca="1" si="3"/>
        <v>Claro com menor velocidade</v>
      </c>
      <c r="U11" s="9">
        <f t="shared" si="4"/>
        <v>46174</v>
      </c>
      <c r="V11" t="str">
        <f ca="1">IF(OR([1]Planilha1!$B11="",[1]Planilha1!$B11="NÃO MAPEADO"),"",TRIM([1]Planilha1!$B11))</f>
        <v>NOROESTE</v>
      </c>
      <c r="W11" t="str">
        <f ca="1">IF([1]Planilha1!$C11="","",TRIM([1]Planilha1!$C11))</f>
        <v>MD 2</v>
      </c>
      <c r="X11" t="str">
        <f ca="1">IFERROR(VLOOKUP($C11,[1]Planilha2!$B:$H,7,FALSE),"")</f>
        <v>19160-001</v>
      </c>
    </row>
    <row r="12" spans="1:24" x14ac:dyDescent="0.35">
      <c r="A12" t="str">
        <f ca="1">IF(LEFT(TEXT([1]Planilha1!$L12,"0000000"),1)="5","MS","SP")</f>
        <v>SP</v>
      </c>
      <c r="B12" t="str">
        <f ca="1">IF(RIGHT([1]Planilha1!$A12,5)=" - MS",LEFT([1]Planilha1!$A12,LEN([1]Planilha1!$A12)-5),TRIM([1]Planilha1!$A12))</f>
        <v>AMERICANA</v>
      </c>
      <c r="C12" s="2">
        <f ca="1">[1]Planilha1!$L12</f>
        <v>3501608</v>
      </c>
      <c r="D12" t="str">
        <f>TRIM([1]Planilha1!$D12)</f>
        <v>Claro</v>
      </c>
      <c r="E12" t="str">
        <f>IF(TRIM([1]Planilha1!$D12)="Claro","Claro","Concorrente")</f>
        <v>Claro</v>
      </c>
      <c r="F12" t="s">
        <v>24</v>
      </c>
      <c r="G12" t="str">
        <f t="shared" ca="1" si="0"/>
        <v>Banda Larga + Movel</v>
      </c>
      <c r="H12" t="str">
        <f ca="1">TRIM([1]Planilha1!$E12)</f>
        <v>600M+100GB=R$159,90</v>
      </c>
      <c r="I12" t="str">
        <f ca="1">IF([1]Planilha1!$F12="","",TRIM([1]Planilha1!$F12))</f>
        <v>Fibra</v>
      </c>
      <c r="J12" s="3">
        <f ca="1">IF([1]Planilha1!$G12="","",[1]Planilha1!$G12)</f>
        <v>600</v>
      </c>
      <c r="K12" s="4" cm="1">
        <f t="array" aca="1" ref="K12" ca="1">IFERROR(VALUE(_xlfn.REGEXEXTRACT([1]Planilha1!$E12,"\+\s*(\d+)GB",2)),"")</f>
        <v>100</v>
      </c>
      <c r="L12" s="5">
        <f ca="1">IF([1]Planilha1!$H12="","",[1]Planilha1!$H12)</f>
        <v>159.9</v>
      </c>
      <c r="M12" s="5" t="str">
        <f ca="1">IF([1]Planilha1!$I12="","",[1]Planilha1!$I12)</f>
        <v/>
      </c>
      <c r="N12" s="2" t="str" cm="1">
        <f t="array" aca="1" ref="N12" ca="1">IFERROR(VALUE(_xlfn.REGEXEXTRACT([1]Planilha1!$E12,"(\d+)\s*MESES",2)),IFERROR(VALUE(_xlfn.REGEXEXTRACT([1]Planilha1!$E12,"por\s*(\d+)\s*M",2)),IF(_xlfn.REGEXTEST([1]Planilha1!$E12,"1[ºª]"),1,"")))</f>
        <v/>
      </c>
      <c r="O12" s="6">
        <f t="shared" ca="1" si="1"/>
        <v>0.26650000000000001</v>
      </c>
      <c r="P12" t="str">
        <f ca="1">IF([1]Planilha1!$J12="","",TRIM([1]Planilha1!$J12))</f>
        <v>GLOBOPLAY</v>
      </c>
      <c r="Q12" s="7" t="str">
        <f>IF($D12="Claro","",IFERROR($L12-VLOOKUP($B12&amp;"|Claro",[1]AUX_CLARO!$A:$C,2,FALSE),""))</f>
        <v/>
      </c>
      <c r="R12" s="8" t="str">
        <f>IF($D12="Claro","",IFERROR($J12-VLOOKUP($B12&amp;"|Claro",[1]AUX_CLARO!$A:$C,3,FALSE),""))</f>
        <v/>
      </c>
      <c r="S12" t="str">
        <f t="shared" si="2"/>
        <v/>
      </c>
      <c r="T12" t="str">
        <f t="shared" si="3"/>
        <v/>
      </c>
      <c r="U12" s="9">
        <f t="shared" si="4"/>
        <v>46174</v>
      </c>
      <c r="V12" t="str">
        <f ca="1">IF(OR([1]Planilha1!$B12="",[1]Planilha1!$B12="NÃO MAPEADO"),"",TRIM([1]Planilha1!$B12))</f>
        <v>CENTRAL</v>
      </c>
      <c r="W12" t="str">
        <f ca="1">IF([1]Planilha1!$C12="","",TRIM([1]Planilha1!$C12))</f>
        <v>PADRÃO</v>
      </c>
      <c r="X12" t="str">
        <f ca="1">IFERROR(VLOOKUP($C12,[1]Planilha2!$B:$H,7,FALSE),"")</f>
        <v>13465-001</v>
      </c>
    </row>
    <row r="13" spans="1:24" x14ac:dyDescent="0.35">
      <c r="A13" t="str">
        <f ca="1">IF(LEFT(TEXT([1]Planilha1!$L13,"0000000"),1)="5","MS","SP")</f>
        <v>SP</v>
      </c>
      <c r="B13" t="str">
        <f ca="1">IF(RIGHT([1]Planilha1!$A13,5)=" - MS",LEFT([1]Planilha1!$A13,LEN([1]Planilha1!$A13)-5),TRIM([1]Planilha1!$A13))</f>
        <v>AMERICANA</v>
      </c>
      <c r="C13" s="2">
        <f ca="1">[1]Planilha1!$L13</f>
        <v>3501608</v>
      </c>
      <c r="D13" t="str">
        <f>TRIM([1]Planilha1!$D13)</f>
        <v>Vivo</v>
      </c>
      <c r="E13" t="str">
        <f>IF(TRIM([1]Planilha1!$D13)="Claro","Claro","Concorrente")</f>
        <v>Concorrente</v>
      </c>
      <c r="F13" t="s">
        <v>25</v>
      </c>
      <c r="G13" t="str">
        <f t="shared" ca="1" si="0"/>
        <v>Banda Larga + Movel</v>
      </c>
      <c r="H13" t="s">
        <v>26</v>
      </c>
      <c r="I13" t="str">
        <f ca="1">IF([1]Planilha1!$F13="","",TRIM([1]Planilha1!$F13))</f>
        <v>Fibra</v>
      </c>
      <c r="J13" s="11" t="s">
        <v>27</v>
      </c>
      <c r="K13" s="4" cm="1">
        <f t="array" aca="1" ref="K13" ca="1">IFERROR(VALUE(_xlfn.REGEXEXTRACT([1]Planilha1!$E13,"\+\s*(\d+)GB",2)),"")</f>
        <v>70</v>
      </c>
      <c r="L13" s="5">
        <v>160</v>
      </c>
      <c r="M13" s="5" t="str">
        <f ca="1">IF([1]Planilha1!$I13="","",[1]Planilha1!$I13)</f>
        <v/>
      </c>
      <c r="N13" s="2" t="str" cm="1">
        <f t="array" aca="1" ref="N13" ca="1">IFERROR(VALUE(_xlfn.REGEXEXTRACT([1]Planilha1!$E13,"(\d+)\s*MESES",2)),IFERROR(VALUE(_xlfn.REGEXEXTRACT([1]Planilha1!$E13,"por\s*(\d+)\s*M",2)),IF(_xlfn.REGEXTEST([1]Planilha1!$E13,"1[ºª]"),1,"")))</f>
        <v/>
      </c>
      <c r="O13" s="6" t="str">
        <f t="shared" si="1"/>
        <v/>
      </c>
      <c r="P13" t="str">
        <f ca="1">IF([1]Planilha1!$J13="","",TRIM([1]Planilha1!$J13))</f>
        <v>0</v>
      </c>
      <c r="Q13" s="7">
        <f ca="1">IF($D13="Claro","",IFERROR($L13-VLOOKUP($B13&amp;"|Claro",[1]AUX_CLARO!$A:$C,2,FALSE),""))</f>
        <v>9.9999999999994316E-2</v>
      </c>
      <c r="R13" s="8" t="str">
        <f ca="1">IF($D13="Claro","",IFERROR($J13-VLOOKUP($B13&amp;"|Claro",[1]AUX_CLARO!$A:$C,3,FALSE),""))</f>
        <v/>
      </c>
      <c r="S13" t="str">
        <f t="shared" ca="1" si="2"/>
        <v>Claro mais barata</v>
      </c>
      <c r="T13" t="str">
        <f t="shared" ca="1" si="3"/>
        <v/>
      </c>
      <c r="U13" s="9">
        <f t="shared" si="4"/>
        <v>46174</v>
      </c>
      <c r="V13" t="str">
        <f ca="1">IF(OR([1]Planilha1!$B13="",[1]Planilha1!$B13="NÃO MAPEADO"),"",TRIM([1]Planilha1!$B13))</f>
        <v>CENTRAL</v>
      </c>
      <c r="W13" t="str">
        <f ca="1">IF([1]Planilha1!$C13="","",TRIM([1]Planilha1!$C13))</f>
        <v>PADRÃO</v>
      </c>
      <c r="X13" t="str">
        <f ca="1">IFERROR(VLOOKUP($C13,[1]Planilha2!$B:$H,7,FALSE),"")</f>
        <v>13465-001</v>
      </c>
    </row>
    <row r="14" spans="1:24" x14ac:dyDescent="0.35">
      <c r="A14" t="str">
        <f ca="1">IF(LEFT(TEXT([1]Planilha1!$L14,"0000000"),1)="5","MS","SP")</f>
        <v>SP</v>
      </c>
      <c r="B14" t="str">
        <f ca="1">IF(RIGHT([1]Planilha1!$A14,5)=" - MS",LEFT([1]Planilha1!$A14,LEN([1]Planilha1!$A14)-5),TRIM([1]Planilha1!$A14))</f>
        <v>AMERICANA</v>
      </c>
      <c r="C14" s="2">
        <f ca="1">[1]Planilha1!$L14</f>
        <v>3501608</v>
      </c>
      <c r="D14" t="str">
        <f>TRIM([1]Planilha1!$D14)</f>
        <v>Desktop</v>
      </c>
      <c r="E14" t="str">
        <f>IF(TRIM([1]Planilha1!$D14)="Claro","Claro","Concorrente")</f>
        <v>Concorrente</v>
      </c>
      <c r="F14" t="s">
        <v>29</v>
      </c>
      <c r="G14" t="str">
        <f t="shared" ca="1" si="0"/>
        <v>Banda Larga + Movel</v>
      </c>
      <c r="H14" t="str">
        <f ca="1">TRIM([1]Planilha1!$E14)</f>
        <v>600M+15GB=R$129,99 - 6 MESES, APÓS R$139,99</v>
      </c>
      <c r="I14" t="str">
        <f ca="1">IF([1]Planilha1!$F14="","",TRIM([1]Planilha1!$F14))</f>
        <v>Fibra</v>
      </c>
      <c r="J14" s="3">
        <f ca="1">IF([1]Planilha1!$G14="","",[1]Planilha1!$G14)</f>
        <v>600</v>
      </c>
      <c r="K14" s="4" cm="1">
        <f t="array" aca="1" ref="K14" ca="1">IFERROR(VALUE(_xlfn.REGEXEXTRACT([1]Planilha1!$E14,"\+\s*(\d+)GB",2)),"")</f>
        <v>15</v>
      </c>
      <c r="L14" s="5">
        <f ca="1">IF([1]Planilha1!$H14="","",[1]Planilha1!$H14)</f>
        <v>139.99</v>
      </c>
      <c r="M14" s="5">
        <f ca="1">IF([1]Planilha1!$I14="","",[1]Planilha1!$I14)</f>
        <v>129.99</v>
      </c>
      <c r="N14" s="2" cm="1">
        <f t="array" aca="1" ref="N14" ca="1">IFERROR(VALUE(_xlfn.REGEXEXTRACT([1]Planilha1!$E14,"(\d+)\s*MESES",2)),IFERROR(VALUE(_xlfn.REGEXEXTRACT([1]Planilha1!$E14,"por\s*(\d+)\s*M",2)),IF(_xlfn.REGEXTEST([1]Planilha1!$E14,"1[ºª]"),1,"")))</f>
        <v>6</v>
      </c>
      <c r="O14" s="6">
        <f t="shared" ca="1" si="1"/>
        <v>0.23331666666666667</v>
      </c>
      <c r="P14" t="str">
        <f ca="1">IF([1]Planilha1!$J14="","",TRIM([1]Planilha1!$J14))</f>
        <v>0</v>
      </c>
      <c r="Q14" s="7">
        <f ca="1">IF($D14="Claro","",IFERROR($L14-VLOOKUP($B14&amp;"|Claro",[1]AUX_CLARO!$A:$C,2,FALSE),""))</f>
        <v>-19.909999999999997</v>
      </c>
      <c r="R14" s="8">
        <f ca="1">IF($D14="Claro","",IFERROR($J14-VLOOKUP($B14&amp;"|Claro",[1]AUX_CLARO!$A:$C,3,FALSE),""))</f>
        <v>0</v>
      </c>
      <c r="S14" t="str">
        <f t="shared" ca="1" si="2"/>
        <v>Claro mais cara</v>
      </c>
      <c r="T14" t="str">
        <f t="shared" ca="1" si="3"/>
        <v>Mesma velocidade</v>
      </c>
      <c r="U14" s="9">
        <f t="shared" si="4"/>
        <v>46174</v>
      </c>
      <c r="V14" t="str">
        <f ca="1">IF(OR([1]Planilha1!$B14="",[1]Planilha1!$B14="NÃO MAPEADO"),"",TRIM([1]Planilha1!$B14))</f>
        <v>CENTRAL</v>
      </c>
      <c r="W14" t="str">
        <f ca="1">IF([1]Planilha1!$C14="","",TRIM([1]Planilha1!$C14))</f>
        <v>PADRÃO</v>
      </c>
      <c r="X14" t="str">
        <f ca="1">IFERROR(VLOOKUP($C14,[1]Planilha2!$B:$H,7,FALSE),"")</f>
        <v>13465-001</v>
      </c>
    </row>
    <row r="15" spans="1:24" x14ac:dyDescent="0.35">
      <c r="A15" t="str">
        <f ca="1">IF(LEFT(TEXT([1]Planilha1!$L15,"0000000"),1)="5","MS","SP")</f>
        <v>SP</v>
      </c>
      <c r="B15" t="str">
        <f ca="1">IF(RIGHT([1]Planilha1!$A15,5)=" - MS",LEFT([1]Planilha1!$A15,LEN([1]Planilha1!$A15)-5),TRIM([1]Planilha1!$A15))</f>
        <v>AMERICANA</v>
      </c>
      <c r="C15" s="2">
        <f ca="1">[1]Planilha1!$L15</f>
        <v>3501608</v>
      </c>
      <c r="D15" t="str">
        <f>TRIM([1]Planilha1!$D15)</f>
        <v>Vero</v>
      </c>
      <c r="E15" t="str">
        <f>IF(TRIM([1]Planilha1!$D15)="Claro","Claro","Concorrente")</f>
        <v>Concorrente</v>
      </c>
      <c r="F15" t="s">
        <v>30</v>
      </c>
      <c r="G15" t="str">
        <f t="shared" ca="1" si="0"/>
        <v>Banda Larga + Movel</v>
      </c>
      <c r="H15" t="str">
        <f ca="1">TRIM([1]Planilha1!$E15)</f>
        <v>850M+60GB=R$149,99 (C/ GLOBOPLAY, HBO, DISNEY+)</v>
      </c>
      <c r="I15" t="str">
        <f ca="1">IF([1]Planilha1!$F15="","",TRIM([1]Planilha1!$F15))</f>
        <v>Fibra</v>
      </c>
      <c r="J15" s="3">
        <f ca="1">IF([1]Planilha1!$G15="","",[1]Planilha1!$G15)</f>
        <v>850</v>
      </c>
      <c r="K15" s="4" cm="1">
        <f t="array" aca="1" ref="K15" ca="1">IFERROR(VALUE(_xlfn.REGEXEXTRACT([1]Planilha1!$E15,"\+\s*(\d+)GB",2)),"")</f>
        <v>60</v>
      </c>
      <c r="L15" s="5">
        <f ca="1">IF([1]Planilha1!$H15="","",[1]Planilha1!$H15)</f>
        <v>149.99</v>
      </c>
      <c r="M15" s="5" t="str">
        <f ca="1">IF([1]Planilha1!$I15="","",[1]Planilha1!$I15)</f>
        <v/>
      </c>
      <c r="N15" s="2" t="str" cm="1">
        <f t="array" aca="1" ref="N15" ca="1">IFERROR(VALUE(_xlfn.REGEXEXTRACT([1]Planilha1!$E15,"(\d+)\s*MESES",2)),IFERROR(VALUE(_xlfn.REGEXEXTRACT([1]Planilha1!$E15,"por\s*(\d+)\s*M",2)),IF(_xlfn.REGEXTEST([1]Planilha1!$E15,"1[ºª]"),1,"")))</f>
        <v/>
      </c>
      <c r="O15" s="6">
        <f t="shared" ca="1" si="1"/>
        <v>0.17645882352941178</v>
      </c>
      <c r="P15" t="str">
        <f ca="1">IF([1]Planilha1!$J15="","",TRIM([1]Planilha1!$J15))</f>
        <v>GLOBOPLAY, HBO, DISNEY+</v>
      </c>
      <c r="Q15" s="7">
        <f ca="1">IF($D15="Claro","",IFERROR($L15-VLOOKUP($B15&amp;"|Claro",[1]AUX_CLARO!$A:$C,2,FALSE),""))</f>
        <v>-9.9099999999999966</v>
      </c>
      <c r="R15" s="8">
        <f ca="1">IF($D15="Claro","",IFERROR($J15-VLOOKUP($B15&amp;"|Claro",[1]AUX_CLARO!$A:$C,3,FALSE),""))</f>
        <v>250</v>
      </c>
      <c r="S15" t="str">
        <f t="shared" ca="1" si="2"/>
        <v>Claro mais cara</v>
      </c>
      <c r="T15" t="str">
        <f t="shared" ca="1" si="3"/>
        <v>Claro com menor velocidade</v>
      </c>
      <c r="U15" s="9">
        <f t="shared" si="4"/>
        <v>46174</v>
      </c>
      <c r="V15" t="str">
        <f ca="1">IF(OR([1]Planilha1!$B15="",[1]Planilha1!$B15="NÃO MAPEADO"),"",TRIM([1]Planilha1!$B15))</f>
        <v>CENTRAL</v>
      </c>
      <c r="W15" t="str">
        <f ca="1">IF([1]Planilha1!$C15="","",TRIM([1]Planilha1!$C15))</f>
        <v>PADRÃO</v>
      </c>
      <c r="X15" t="str">
        <f ca="1">IFERROR(VLOOKUP($C15,[1]Planilha2!$B:$H,7,FALSE),"")</f>
        <v>13465-001</v>
      </c>
    </row>
    <row r="16" spans="1:24" x14ac:dyDescent="0.35">
      <c r="A16" t="str">
        <f ca="1">IF(LEFT(TEXT([1]Planilha1!$L16,"0000000"),1)="5","MS","SP")</f>
        <v>SP</v>
      </c>
      <c r="B16" t="str">
        <f ca="1">IF(RIGHT([1]Planilha1!$A16,5)=" - MS",LEFT([1]Planilha1!$A16,LEN([1]Planilha1!$A16)-5),TRIM([1]Planilha1!$A16))</f>
        <v>AMERICANA</v>
      </c>
      <c r="C16" s="2">
        <f ca="1">[1]Planilha1!$L16</f>
        <v>3501608</v>
      </c>
      <c r="D16" t="str">
        <f>TRIM([1]Planilha1!$D16)</f>
        <v>ISP LOCAL</v>
      </c>
      <c r="E16" t="str">
        <f>IF(TRIM([1]Planilha1!$D16)="Claro","Claro","Concorrente")</f>
        <v>Concorrente</v>
      </c>
      <c r="F16" t="s">
        <v>33</v>
      </c>
      <c r="G16" t="str">
        <f t="shared" ca="1" si="0"/>
        <v>Banda Larga + Conteudo</v>
      </c>
      <c r="H16" t="str">
        <f ca="1">TRIM([1]Planilha1!$E16)</f>
        <v>SOS - 500M R$115,80</v>
      </c>
      <c r="I16" t="str">
        <f ca="1">IF([1]Planilha1!$F16="","",TRIM([1]Planilha1!$F16))</f>
        <v>Fibra</v>
      </c>
      <c r="J16" s="3">
        <f ca="1">IF([1]Planilha1!$G16="","",[1]Planilha1!$G16)</f>
        <v>500</v>
      </c>
      <c r="K16" s="4" t="str" cm="1">
        <f t="array" aca="1" ref="K16" ca="1">IFERROR(VALUE(_xlfn.REGEXEXTRACT([1]Planilha1!$E16,"\+\s*(\d+)GB",2)),"")</f>
        <v/>
      </c>
      <c r="L16" s="5">
        <f ca="1">IF([1]Planilha1!$H16="","",[1]Planilha1!$H16)</f>
        <v>115.8</v>
      </c>
      <c r="M16" s="5" t="str">
        <f ca="1">IF([1]Planilha1!$I16="","",[1]Planilha1!$I16)</f>
        <v/>
      </c>
      <c r="N16" s="2" t="str" cm="1">
        <f t="array" aca="1" ref="N16" ca="1">IFERROR(VALUE(_xlfn.REGEXEXTRACT([1]Planilha1!$E16,"(\d+)\s*MESES",2)),IFERROR(VALUE(_xlfn.REGEXEXTRACT([1]Planilha1!$E16,"por\s*(\d+)\s*M",2)),IF(_xlfn.REGEXTEST([1]Planilha1!$E16,"1[ºª]"),1,"")))</f>
        <v/>
      </c>
      <c r="O16" s="6">
        <f t="shared" ca="1" si="1"/>
        <v>0.2316</v>
      </c>
      <c r="P16" t="str">
        <f ca="1">IF([1]Planilha1!$J16="","",TRIM([1]Planilha1!$J16))</f>
        <v>0</v>
      </c>
      <c r="Q16" s="7">
        <f ca="1">IF($D16="Claro","",IFERROR($L16-VLOOKUP($B16&amp;"|Claro",[1]AUX_CLARO!$A:$C,2,FALSE),""))</f>
        <v>-44.100000000000009</v>
      </c>
      <c r="R16" s="8">
        <f ca="1">IF($D16="Claro","",IFERROR($J16-VLOOKUP($B16&amp;"|Claro",[1]AUX_CLARO!$A:$C,3,FALSE),""))</f>
        <v>-100</v>
      </c>
      <c r="S16" t="str">
        <f t="shared" ca="1" si="2"/>
        <v>Claro mais cara</v>
      </c>
      <c r="T16" t="str">
        <f t="shared" ca="1" si="3"/>
        <v>Claro com maior velocidade</v>
      </c>
      <c r="U16" s="9">
        <f t="shared" si="4"/>
        <v>46174</v>
      </c>
      <c r="V16" t="str">
        <f ca="1">IF(OR([1]Planilha1!$B16="",[1]Planilha1!$B16="NÃO MAPEADO"),"",TRIM([1]Planilha1!$B16))</f>
        <v>CENTRAL</v>
      </c>
      <c r="W16" t="str">
        <f ca="1">IF([1]Planilha1!$C16="","",TRIM([1]Planilha1!$C16))</f>
        <v>PADRÃO</v>
      </c>
      <c r="X16" t="str">
        <f ca="1">IFERROR(VLOOKUP($C16,[1]Planilha2!$B:$H,7,FALSE),"")</f>
        <v>13465-001</v>
      </c>
    </row>
    <row r="17" spans="1:24" x14ac:dyDescent="0.35">
      <c r="A17" t="str">
        <f ca="1">IF(LEFT(TEXT([1]Planilha1!$L17,"0000000"),1)="5","MS","SP")</f>
        <v>SP</v>
      </c>
      <c r="B17" t="str">
        <f ca="1">IF(RIGHT([1]Planilha1!$A17,5)=" - MS",LEFT([1]Planilha1!$A17,LEN([1]Planilha1!$A17)-5),TRIM([1]Planilha1!$A17))</f>
        <v>AMERICO BRASILIENSE</v>
      </c>
      <c r="C17" s="2">
        <f ca="1">[1]Planilha1!$L17</f>
        <v>3501707</v>
      </c>
      <c r="D17" t="str">
        <f>TRIM([1]Planilha1!$D17)</f>
        <v>Claro</v>
      </c>
      <c r="E17" t="str">
        <f>IF(TRIM([1]Planilha1!$D17)="Claro","Claro","Concorrente")</f>
        <v>Claro</v>
      </c>
      <c r="F17" t="s">
        <v>24</v>
      </c>
      <c r="G17" t="str">
        <f t="shared" ca="1" si="0"/>
        <v>Banda Larga + Movel</v>
      </c>
      <c r="H17" t="str">
        <f ca="1">TRIM([1]Planilha1!$E17)</f>
        <v>1GB+100GB = R$99,90</v>
      </c>
      <c r="I17" t="str">
        <f ca="1">IF([1]Planilha1!$F17="","",TRIM([1]Planilha1!$F17))</f>
        <v>Fibra</v>
      </c>
      <c r="J17" s="3">
        <f ca="1">IF([1]Planilha1!$G17="","",[1]Planilha1!$G17)</f>
        <v>1000</v>
      </c>
      <c r="K17" s="4" cm="1">
        <f t="array" aca="1" ref="K17" ca="1">IFERROR(VALUE(_xlfn.REGEXEXTRACT([1]Planilha1!$E17,"\+\s*(\d+)GB",2)),"")</f>
        <v>100</v>
      </c>
      <c r="L17" s="5">
        <f ca="1">IF([1]Planilha1!$H17="","",[1]Planilha1!$H17)</f>
        <v>99.9</v>
      </c>
      <c r="M17" s="5" t="str">
        <f ca="1">IF([1]Planilha1!$I17="","",[1]Planilha1!$I17)</f>
        <v/>
      </c>
      <c r="N17" s="2" t="str" cm="1">
        <f t="array" aca="1" ref="N17" ca="1">IFERROR(VALUE(_xlfn.REGEXEXTRACT([1]Planilha1!$E17,"(\d+)\s*MESES",2)),IFERROR(VALUE(_xlfn.REGEXEXTRACT([1]Planilha1!$E17,"por\s*(\d+)\s*M",2)),IF(_xlfn.REGEXTEST([1]Planilha1!$E17,"1[ºª]"),1,"")))</f>
        <v/>
      </c>
      <c r="O17" s="6">
        <f t="shared" ca="1" si="1"/>
        <v>9.9900000000000003E-2</v>
      </c>
      <c r="P17" t="str">
        <f ca="1">IF([1]Planilha1!$J17="","",TRIM([1]Planilha1!$J17))</f>
        <v>GLOBOPLAY</v>
      </c>
      <c r="Q17" s="7" t="str">
        <f>IF($D17="Claro","",IFERROR($L17-VLOOKUP($B17&amp;"|Claro",[1]AUX_CLARO!$A:$C,2,FALSE),""))</f>
        <v/>
      </c>
      <c r="R17" s="8" t="str">
        <f>IF($D17="Claro","",IFERROR($J17-VLOOKUP($B17&amp;"|Claro",[1]AUX_CLARO!$A:$C,3,FALSE),""))</f>
        <v/>
      </c>
      <c r="S17" t="str">
        <f t="shared" si="2"/>
        <v/>
      </c>
      <c r="T17" t="str">
        <f t="shared" si="3"/>
        <v/>
      </c>
      <c r="U17" s="9">
        <f t="shared" si="4"/>
        <v>46174</v>
      </c>
      <c r="V17" t="str">
        <f ca="1">IF(OR([1]Planilha1!$B17="",[1]Planilha1!$B17="NÃO MAPEADO"),"",TRIM([1]Planilha1!$B17))</f>
        <v>OESTE</v>
      </c>
      <c r="W17" t="str">
        <f ca="1">IF([1]Planilha1!$C17="","",TRIM([1]Planilha1!$C17))</f>
        <v>RUBI</v>
      </c>
      <c r="X17" t="str">
        <f ca="1">IFERROR(VLOOKUP($C17,[1]Planilha2!$B:$H,7,FALSE),"")</f>
        <v>14820-001</v>
      </c>
    </row>
    <row r="18" spans="1:24" x14ac:dyDescent="0.35">
      <c r="A18" t="str">
        <f ca="1">IF(LEFT(TEXT([1]Planilha1!$L18,"0000000"),1)="5","MS","SP")</f>
        <v>SP</v>
      </c>
      <c r="B18" t="str">
        <f ca="1">IF(RIGHT([1]Planilha1!$A18,5)=" - MS",LEFT([1]Planilha1!$A18,LEN([1]Planilha1!$A18)-5),TRIM([1]Planilha1!$A18))</f>
        <v>AMERICO BRASILIENSE</v>
      </c>
      <c r="C18" s="2">
        <f ca="1">[1]Planilha1!$L18</f>
        <v>3501707</v>
      </c>
      <c r="D18" t="str">
        <f>TRIM([1]Planilha1!$D18)</f>
        <v>Vivo</v>
      </c>
      <c r="E18" t="str">
        <f>IF(TRIM([1]Planilha1!$D18)="Claro","Claro","Concorrente")</f>
        <v>Concorrente</v>
      </c>
      <c r="F18" t="s">
        <v>25</v>
      </c>
      <c r="G18" t="str">
        <f t="shared" ca="1" si="0"/>
        <v>Banda Larga + Movel</v>
      </c>
      <c r="H18" t="s">
        <v>26</v>
      </c>
      <c r="I18" t="str">
        <f ca="1">IF([1]Planilha1!$F18="","",TRIM([1]Planilha1!$F18))</f>
        <v>Fibra</v>
      </c>
      <c r="J18" s="11" t="s">
        <v>27</v>
      </c>
      <c r="K18" s="4" cm="1">
        <f t="array" aca="1" ref="K18" ca="1">IFERROR(VALUE(_xlfn.REGEXEXTRACT([1]Planilha1!$E18,"\+\s*(\d+)GB",2)),"")</f>
        <v>70</v>
      </c>
      <c r="L18" s="5">
        <v>160</v>
      </c>
      <c r="M18" s="5" t="str">
        <f ca="1">IF([1]Planilha1!$I18="","",[1]Planilha1!$I18)</f>
        <v/>
      </c>
      <c r="N18" s="2" t="str" cm="1">
        <f t="array" aca="1" ref="N18" ca="1">IFERROR(VALUE(_xlfn.REGEXEXTRACT([1]Planilha1!$E18,"(\d+)\s*MESES",2)),IFERROR(VALUE(_xlfn.REGEXEXTRACT([1]Planilha1!$E18,"por\s*(\d+)\s*M",2)),IF(_xlfn.REGEXTEST([1]Planilha1!$E18,"1[ºª]"),1,"")))</f>
        <v/>
      </c>
      <c r="O18" s="6" t="str">
        <f t="shared" si="1"/>
        <v/>
      </c>
      <c r="P18" t="str">
        <f ca="1">IF([1]Planilha1!$J18="","",TRIM([1]Planilha1!$J18))</f>
        <v>0</v>
      </c>
      <c r="Q18" s="7">
        <f ca="1">IF($D18="Claro","",IFERROR($L18-VLOOKUP($B18&amp;"|Claro",[1]AUX_CLARO!$A:$C,2,FALSE),""))</f>
        <v>60.099999999999994</v>
      </c>
      <c r="R18" s="8" t="str">
        <f ca="1">IF($D18="Claro","",IFERROR($J18-VLOOKUP($B18&amp;"|Claro",[1]AUX_CLARO!$A:$C,3,FALSE),""))</f>
        <v/>
      </c>
      <c r="S18" t="str">
        <f t="shared" ca="1" si="2"/>
        <v>Claro mais barata</v>
      </c>
      <c r="T18" t="str">
        <f t="shared" ca="1" si="3"/>
        <v/>
      </c>
      <c r="U18" s="9">
        <f t="shared" si="4"/>
        <v>46174</v>
      </c>
      <c r="V18" t="str">
        <f ca="1">IF(OR([1]Planilha1!$B18="",[1]Planilha1!$B18="NÃO MAPEADO"),"",TRIM([1]Planilha1!$B18))</f>
        <v>OESTE</v>
      </c>
      <c r="W18" t="str">
        <f ca="1">IF([1]Planilha1!$C18="","",TRIM([1]Planilha1!$C18))</f>
        <v>RUBI</v>
      </c>
      <c r="X18" t="str">
        <f ca="1">IFERROR(VLOOKUP($C18,[1]Planilha2!$B:$H,7,FALSE),"")</f>
        <v>14820-001</v>
      </c>
    </row>
    <row r="19" spans="1:24" x14ac:dyDescent="0.35">
      <c r="A19" t="str">
        <f ca="1">IF(LEFT(TEXT([1]Planilha1!$L19,"0000000"),1)="5","MS","SP")</f>
        <v>SP</v>
      </c>
      <c r="B19" t="str">
        <f ca="1">IF(RIGHT([1]Planilha1!$A19,5)=" - MS",LEFT([1]Planilha1!$A19,LEN([1]Planilha1!$A19)-5),TRIM([1]Planilha1!$A19))</f>
        <v>AMERICO BRASILIENSE</v>
      </c>
      <c r="C19" s="2">
        <f ca="1">[1]Planilha1!$L19</f>
        <v>3501707</v>
      </c>
      <c r="D19" t="str">
        <f>TRIM([1]Planilha1!$D19)</f>
        <v>Desktop</v>
      </c>
      <c r="E19" t="str">
        <f>IF(TRIM([1]Planilha1!$D19)="Claro","Claro","Concorrente")</f>
        <v>Concorrente</v>
      </c>
      <c r="F19" t="s">
        <v>29</v>
      </c>
      <c r="G19" t="str">
        <f t="shared" ca="1" si="0"/>
        <v>Banda Larga + Movel</v>
      </c>
      <c r="H19" t="str">
        <f ca="1">TRIM([1]Planilha1!$E19)</f>
        <v>600M+15GB=R$129,99 - 6 MESES, APÓS R$139,99</v>
      </c>
      <c r="I19" t="str">
        <f ca="1">IF([1]Planilha1!$F19="","",TRIM([1]Planilha1!$F19))</f>
        <v>Fibra</v>
      </c>
      <c r="J19" s="3">
        <f ca="1">IF([1]Planilha1!$G19="","",[1]Planilha1!$G19)</f>
        <v>600</v>
      </c>
      <c r="K19" s="4" cm="1">
        <f t="array" aca="1" ref="K19" ca="1">IFERROR(VALUE(_xlfn.REGEXEXTRACT([1]Planilha1!$E19,"\+\s*(\d+)GB",2)),"")</f>
        <v>15</v>
      </c>
      <c r="L19" s="5">
        <f ca="1">IF([1]Planilha1!$H19="","",[1]Planilha1!$H19)</f>
        <v>139.99</v>
      </c>
      <c r="M19" s="5">
        <f ca="1">IF([1]Planilha1!$I19="","",[1]Planilha1!$I19)</f>
        <v>129.99</v>
      </c>
      <c r="N19" s="2" cm="1">
        <f t="array" aca="1" ref="N19" ca="1">IFERROR(VALUE(_xlfn.REGEXEXTRACT([1]Planilha1!$E19,"(\d+)\s*MESES",2)),IFERROR(VALUE(_xlfn.REGEXEXTRACT([1]Planilha1!$E19,"por\s*(\d+)\s*M",2)),IF(_xlfn.REGEXTEST([1]Planilha1!$E19,"1[ºª]"),1,"")))</f>
        <v>6</v>
      </c>
      <c r="O19" s="6">
        <f t="shared" ca="1" si="1"/>
        <v>0.23331666666666667</v>
      </c>
      <c r="P19" t="str">
        <f ca="1">IF([1]Planilha1!$J19="","",TRIM([1]Planilha1!$J19))</f>
        <v>0</v>
      </c>
      <c r="Q19" s="7">
        <f ca="1">IF($D19="Claro","",IFERROR($L19-VLOOKUP($B19&amp;"|Claro",[1]AUX_CLARO!$A:$C,2,FALSE),""))</f>
        <v>40.090000000000003</v>
      </c>
      <c r="R19" s="8">
        <f ca="1">IF($D19="Claro","",IFERROR($J19-VLOOKUP($B19&amp;"|Claro",[1]AUX_CLARO!$A:$C,3,FALSE),""))</f>
        <v>-400</v>
      </c>
      <c r="S19" t="str">
        <f t="shared" ca="1" si="2"/>
        <v>Claro mais barata</v>
      </c>
      <c r="T19" t="str">
        <f t="shared" ca="1" si="3"/>
        <v>Claro com maior velocidade</v>
      </c>
      <c r="U19" s="9">
        <f t="shared" si="4"/>
        <v>46174</v>
      </c>
      <c r="V19" t="str">
        <f ca="1">IF(OR([1]Planilha1!$B19="",[1]Planilha1!$B19="NÃO MAPEADO"),"",TRIM([1]Planilha1!$B19))</f>
        <v>OESTE</v>
      </c>
      <c r="W19" t="str">
        <f ca="1">IF([1]Planilha1!$C19="","",TRIM([1]Planilha1!$C19))</f>
        <v>RUBI</v>
      </c>
      <c r="X19" t="str">
        <f ca="1">IFERROR(VLOOKUP($C19,[1]Planilha2!$B:$H,7,FALSE),"")</f>
        <v>14820-001</v>
      </c>
    </row>
    <row r="20" spans="1:24" x14ac:dyDescent="0.35">
      <c r="A20" t="str">
        <f ca="1">IF(LEFT(TEXT([1]Planilha1!$L20,"0000000"),1)="5","MS","SP")</f>
        <v>SP</v>
      </c>
      <c r="B20" t="str">
        <f ca="1">IF(RIGHT([1]Planilha1!$A20,5)=" - MS",LEFT([1]Planilha1!$A20,LEN([1]Planilha1!$A20)-5),TRIM([1]Planilha1!$A20))</f>
        <v>AMERICO BRASILIENSE</v>
      </c>
      <c r="C20" s="2">
        <f ca="1">[1]Planilha1!$L20</f>
        <v>3501707</v>
      </c>
      <c r="D20" t="str">
        <f>TRIM([1]Planilha1!$D20)</f>
        <v>Weclix</v>
      </c>
      <c r="E20" t="str">
        <f>IF(TRIM([1]Planilha1!$D20)="Claro","Claro","Concorrente")</f>
        <v>Concorrente</v>
      </c>
      <c r="F20" t="s">
        <v>34</v>
      </c>
      <c r="G20" t="str">
        <f t="shared" ca="1" si="0"/>
        <v>Banda Larga + Conteudo</v>
      </c>
      <c r="H20" t="str">
        <f ca="1">TRIM([1]Planilha1!$E20)</f>
        <v>1GB R$59,90 - 1ª MENSALIDADE, APÓS R$99,90</v>
      </c>
      <c r="I20" t="str">
        <f ca="1">IF([1]Planilha1!$F20="","",TRIM([1]Planilha1!$F20))</f>
        <v>Fibra</v>
      </c>
      <c r="J20" s="3">
        <f ca="1">IF([1]Planilha1!$G20="","",[1]Planilha1!$G20)</f>
        <v>1000</v>
      </c>
      <c r="K20" s="4" t="str" cm="1">
        <f t="array" aca="1" ref="K20" ca="1">IFERROR(VALUE(_xlfn.REGEXEXTRACT([1]Planilha1!$E20,"\+\s*(\d+)GB",2)),"")</f>
        <v/>
      </c>
      <c r="L20" s="5">
        <f ca="1">IF([1]Planilha1!$H20="","",[1]Planilha1!$H20)</f>
        <v>99.9</v>
      </c>
      <c r="M20" s="5">
        <f ca="1">IF([1]Planilha1!$I20="","",[1]Planilha1!$I20)</f>
        <v>59.9</v>
      </c>
      <c r="N20" s="2" cm="1">
        <f t="array" aca="1" ref="N20" ca="1">IFERROR(VALUE(_xlfn.REGEXEXTRACT([1]Planilha1!$E20,"(\d+)\s*MESES",2)),IFERROR(VALUE(_xlfn.REGEXEXTRACT([1]Planilha1!$E20,"por\s*(\d+)\s*M",2)),IF(_xlfn.REGEXTEST([1]Planilha1!$E20,"1[ºª]"),1,"")))</f>
        <v>1</v>
      </c>
      <c r="O20" s="6">
        <f t="shared" ca="1" si="1"/>
        <v>9.9900000000000003E-2</v>
      </c>
      <c r="P20" t="str">
        <f ca="1">IF([1]Planilha1!$J20="","",TRIM([1]Planilha1!$J20))</f>
        <v>0</v>
      </c>
      <c r="Q20" s="7">
        <f ca="1">IF($D20="Claro","",IFERROR($L20-VLOOKUP($B20&amp;"|Claro",[1]AUX_CLARO!$A:$C,2,FALSE),""))</f>
        <v>0</v>
      </c>
      <c r="R20" s="8">
        <f ca="1">IF($D20="Claro","",IFERROR($J20-VLOOKUP($B20&amp;"|Claro",[1]AUX_CLARO!$A:$C,3,FALSE),""))</f>
        <v>0</v>
      </c>
      <c r="S20" t="str">
        <f t="shared" ca="1" si="2"/>
        <v>Mesmo preco</v>
      </c>
      <c r="T20" t="str">
        <f t="shared" ca="1" si="3"/>
        <v>Mesma velocidade</v>
      </c>
      <c r="U20" s="9">
        <f t="shared" si="4"/>
        <v>46174</v>
      </c>
      <c r="V20" t="str">
        <f ca="1">IF(OR([1]Planilha1!$B20="",[1]Planilha1!$B20="NÃO MAPEADO"),"",TRIM([1]Planilha1!$B20))</f>
        <v>OESTE</v>
      </c>
      <c r="W20" t="str">
        <f ca="1">IF([1]Planilha1!$C20="","",TRIM([1]Planilha1!$C20))</f>
        <v>RUBI</v>
      </c>
      <c r="X20" t="str">
        <f ca="1">IFERROR(VLOOKUP($C20,[1]Planilha2!$B:$H,7,FALSE),"")</f>
        <v>14820-001</v>
      </c>
    </row>
    <row r="21" spans="1:24" x14ac:dyDescent="0.35">
      <c r="A21" t="str">
        <f ca="1">IF(LEFT(TEXT([1]Planilha1!$L21,"0000000"),1)="5","MS","SP")</f>
        <v>SP</v>
      </c>
      <c r="B21" t="str">
        <f ca="1">IF(RIGHT([1]Planilha1!$A21,5)=" - MS",LEFT([1]Planilha1!$A21,LEN([1]Planilha1!$A21)-5),TRIM([1]Planilha1!$A21))</f>
        <v>AMERICO BRASILIENSE</v>
      </c>
      <c r="C21" s="2">
        <f ca="1">[1]Planilha1!$L21</f>
        <v>3501707</v>
      </c>
      <c r="D21" t="str">
        <f>TRIM([1]Planilha1!$D21)</f>
        <v>ISP LOCAL</v>
      </c>
      <c r="E21" t="str">
        <f>IF(TRIM([1]Planilha1!$D21)="Claro","Claro","Concorrente")</f>
        <v>Concorrente</v>
      </c>
      <c r="F21" t="s">
        <v>28</v>
      </c>
      <c r="G21" t="str">
        <f t="shared" ca="1" si="0"/>
        <v>Banda Larga + Conteudo</v>
      </c>
      <c r="H21" t="str">
        <f ca="1">TRIM([1]Planilha1!$E21)</f>
        <v>CABONNET - 600M R$49,90 - 3 MESES, APÓS R$99,90</v>
      </c>
      <c r="I21" t="str">
        <f ca="1">IF([1]Planilha1!$F21="","",TRIM([1]Planilha1!$F21))</f>
        <v>Fibra</v>
      </c>
      <c r="J21" s="3">
        <f ca="1">IF([1]Planilha1!$G21="","",[1]Planilha1!$G21)</f>
        <v>600</v>
      </c>
      <c r="K21" s="4" t="str" cm="1">
        <f t="array" aca="1" ref="K21" ca="1">IFERROR(VALUE(_xlfn.REGEXEXTRACT([1]Planilha1!$E21,"\+\s*(\d+)GB",2)),"")</f>
        <v/>
      </c>
      <c r="L21" s="5">
        <f ca="1">IF([1]Planilha1!$H21="","",[1]Planilha1!$H21)</f>
        <v>99.9</v>
      </c>
      <c r="M21" s="5">
        <f ca="1">IF([1]Planilha1!$I21="","",[1]Planilha1!$I21)</f>
        <v>49.9</v>
      </c>
      <c r="N21" s="2" cm="1">
        <f t="array" aca="1" ref="N21" ca="1">IFERROR(VALUE(_xlfn.REGEXEXTRACT([1]Planilha1!$E21,"(\d+)\s*MESES",2)),IFERROR(VALUE(_xlfn.REGEXEXTRACT([1]Planilha1!$E21,"por\s*(\d+)\s*M",2)),IF(_xlfn.REGEXTEST([1]Planilha1!$E21,"1[ºª]"),1,"")))</f>
        <v>3</v>
      </c>
      <c r="O21" s="6">
        <f t="shared" ca="1" si="1"/>
        <v>0.16650000000000001</v>
      </c>
      <c r="P21" t="str">
        <f ca="1">IF([1]Planilha1!$J21="","",TRIM([1]Planilha1!$J21))</f>
        <v>0</v>
      </c>
      <c r="Q21" s="7">
        <f ca="1">IF($D21="Claro","",IFERROR($L21-VLOOKUP($B21&amp;"|Claro",[1]AUX_CLARO!$A:$C,2,FALSE),""))</f>
        <v>0</v>
      </c>
      <c r="R21" s="8">
        <f ca="1">IF($D21="Claro","",IFERROR($J21-VLOOKUP($B21&amp;"|Claro",[1]AUX_CLARO!$A:$C,3,FALSE),""))</f>
        <v>-400</v>
      </c>
      <c r="S21" t="str">
        <f t="shared" ca="1" si="2"/>
        <v>Mesmo preco</v>
      </c>
      <c r="T21" t="str">
        <f t="shared" ca="1" si="3"/>
        <v>Claro com maior velocidade</v>
      </c>
      <c r="U21" s="9">
        <f t="shared" si="4"/>
        <v>46174</v>
      </c>
      <c r="V21" t="str">
        <f ca="1">IF(OR([1]Planilha1!$B21="",[1]Planilha1!$B21="NÃO MAPEADO"),"",TRIM([1]Planilha1!$B21))</f>
        <v>OESTE</v>
      </c>
      <c r="W21" t="str">
        <f ca="1">IF([1]Planilha1!$C21="","",TRIM([1]Planilha1!$C21))</f>
        <v>RUBI</v>
      </c>
      <c r="X21" t="str">
        <f ca="1">IFERROR(VLOOKUP($C21,[1]Planilha2!$B:$H,7,FALSE),"")</f>
        <v>14820-001</v>
      </c>
    </row>
    <row r="22" spans="1:24" x14ac:dyDescent="0.35">
      <c r="A22" t="str">
        <f ca="1">IF(LEFT(TEXT([1]Planilha1!$L22,"0000000"),1)="5","MS","SP")</f>
        <v>SP</v>
      </c>
      <c r="B22" t="str">
        <f ca="1">IF(RIGHT([1]Planilha1!$A22,5)=" - MS",LEFT([1]Planilha1!$A22,LEN([1]Planilha1!$A22)-5),TRIM([1]Planilha1!$A22))</f>
        <v>AMPARO</v>
      </c>
      <c r="C22" s="2">
        <f ca="1">[1]Planilha1!$L22</f>
        <v>3501905</v>
      </c>
      <c r="D22" t="str">
        <f>TRIM([1]Planilha1!$D22)</f>
        <v>Claro</v>
      </c>
      <c r="E22" t="str">
        <f>IF(TRIM([1]Planilha1!$D22)="Claro","Claro","Concorrente")</f>
        <v>Claro</v>
      </c>
      <c r="F22" t="s">
        <v>24</v>
      </c>
      <c r="G22" t="str">
        <f t="shared" ca="1" si="0"/>
        <v>Banda Larga + Movel</v>
      </c>
      <c r="H22" t="str">
        <f ca="1">TRIM([1]Planilha1!$E22)</f>
        <v>600M+100GB=R$119,90 por 6M, após R$139,90</v>
      </c>
      <c r="I22" t="str">
        <f ca="1">IF([1]Planilha1!$F22="","",TRIM([1]Planilha1!$F22))</f>
        <v>Fibra</v>
      </c>
      <c r="J22" s="3">
        <f ca="1">IF([1]Planilha1!$G22="","",[1]Planilha1!$G22)</f>
        <v>600</v>
      </c>
      <c r="K22" s="4" cm="1">
        <f t="array" aca="1" ref="K22" ca="1">IFERROR(VALUE(_xlfn.REGEXEXTRACT([1]Planilha1!$E22,"\+\s*(\d+)GB",2)),"")</f>
        <v>100</v>
      </c>
      <c r="L22" s="5">
        <f ca="1">IF([1]Planilha1!$H22="","",[1]Planilha1!$H22)</f>
        <v>139.9</v>
      </c>
      <c r="M22" s="5">
        <f ca="1">IF([1]Planilha1!$I22="","",[1]Planilha1!$I22)</f>
        <v>119.9</v>
      </c>
      <c r="N22" s="2" cm="1">
        <f t="array" aca="1" ref="N22" ca="1">IFERROR(VALUE(_xlfn.REGEXEXTRACT([1]Planilha1!$E22,"(\d+)\s*MESES",2)),IFERROR(VALUE(_xlfn.REGEXEXTRACT([1]Planilha1!$E22,"por\s*(\d+)\s*M",2)),IF(_xlfn.REGEXTEST([1]Planilha1!$E22,"1[ºª]"),1,"")))</f>
        <v>6</v>
      </c>
      <c r="O22" s="6">
        <f t="shared" ca="1" si="1"/>
        <v>0.23316666666666669</v>
      </c>
      <c r="P22" t="str">
        <f ca="1">IF([1]Planilha1!$J22="","",TRIM([1]Planilha1!$J22))</f>
        <v>GLOBOPLAY</v>
      </c>
      <c r="Q22" s="7" t="str">
        <f>IF($D22="Claro","",IFERROR($L22-VLOOKUP($B22&amp;"|Claro",[1]AUX_CLARO!$A:$C,2,FALSE),""))</f>
        <v/>
      </c>
      <c r="R22" s="8" t="str">
        <f>IF($D22="Claro","",IFERROR($J22-VLOOKUP($B22&amp;"|Claro",[1]AUX_CLARO!$A:$C,3,FALSE),""))</f>
        <v/>
      </c>
      <c r="S22" t="str">
        <f t="shared" si="2"/>
        <v/>
      </c>
      <c r="T22" t="str">
        <f t="shared" si="3"/>
        <v/>
      </c>
      <c r="U22" s="9">
        <f t="shared" si="4"/>
        <v>46174</v>
      </c>
      <c r="V22" t="str">
        <f ca="1">IF(OR([1]Planilha1!$B22="",[1]Planilha1!$B22="NÃO MAPEADO"),"",TRIM([1]Planilha1!$B22))</f>
        <v>SUDESTE</v>
      </c>
      <c r="W22" t="str">
        <f ca="1">IF([1]Planilha1!$C22="","",TRIM([1]Planilha1!$C22))</f>
        <v>MD 1</v>
      </c>
      <c r="X22" s="12" t="str">
        <f ca="1">IFERROR(VLOOKUP($C22,[1]Planilha2!$B:$H,7,FALSE),"")</f>
        <v>13900-001</v>
      </c>
    </row>
    <row r="23" spans="1:24" x14ac:dyDescent="0.35">
      <c r="A23" t="str">
        <f ca="1">IF(LEFT(TEXT([1]Planilha1!$L23,"0000000"),1)="5","MS","SP")</f>
        <v>SP</v>
      </c>
      <c r="B23" t="str">
        <f ca="1">IF(RIGHT([1]Planilha1!$A23,5)=" - MS",LEFT([1]Planilha1!$A23,LEN([1]Planilha1!$A23)-5),TRIM([1]Planilha1!$A23))</f>
        <v>AMPARO</v>
      </c>
      <c r="C23" s="2">
        <f ca="1">[1]Planilha1!$L23</f>
        <v>3501905</v>
      </c>
      <c r="D23" t="str">
        <f>TRIM([1]Planilha1!$D23)</f>
        <v>Vivo</v>
      </c>
      <c r="E23" t="str">
        <f>IF(TRIM([1]Planilha1!$D23)="Claro","Claro","Concorrente")</f>
        <v>Concorrente</v>
      </c>
      <c r="F23" t="s">
        <v>25</v>
      </c>
      <c r="G23" t="str">
        <f t="shared" ca="1" si="0"/>
        <v>Banda Larga + Movel</v>
      </c>
      <c r="H23" t="s">
        <v>26</v>
      </c>
      <c r="I23" t="str">
        <f ca="1">IF([1]Planilha1!$F23="","",TRIM([1]Planilha1!$F23))</f>
        <v>Fibra</v>
      </c>
      <c r="J23" s="11" t="s">
        <v>27</v>
      </c>
      <c r="K23" s="4" cm="1">
        <f t="array" aca="1" ref="K23" ca="1">IFERROR(VALUE(_xlfn.REGEXEXTRACT([1]Planilha1!$E23,"\+\s*(\d+)GB",2)),"")</f>
        <v>70</v>
      </c>
      <c r="L23" s="5">
        <v>160</v>
      </c>
      <c r="M23" s="5" t="str">
        <f ca="1">IF([1]Planilha1!$I23="","",[1]Planilha1!$I23)</f>
        <v/>
      </c>
      <c r="N23" s="2" t="str" cm="1">
        <f t="array" aca="1" ref="N23" ca="1">IFERROR(VALUE(_xlfn.REGEXEXTRACT([1]Planilha1!$E23,"(\d+)\s*MESES",2)),IFERROR(VALUE(_xlfn.REGEXEXTRACT([1]Planilha1!$E23,"por\s*(\d+)\s*M",2)),IF(_xlfn.REGEXTEST([1]Planilha1!$E23,"1[ºª]"),1,"")))</f>
        <v/>
      </c>
      <c r="O23" s="6" t="str">
        <f t="shared" si="1"/>
        <v/>
      </c>
      <c r="P23" t="str">
        <f ca="1">IF([1]Planilha1!$J23="","",TRIM([1]Planilha1!$J23))</f>
        <v>0</v>
      </c>
      <c r="Q23" s="7">
        <f ca="1">IF($D23="Claro","",IFERROR($L23-VLOOKUP($B23&amp;"|Claro",[1]AUX_CLARO!$A:$C,2,FALSE),""))</f>
        <v>20.099999999999994</v>
      </c>
      <c r="R23" s="8" t="str">
        <f ca="1">IF($D23="Claro","",IFERROR($J23-VLOOKUP($B23&amp;"|Claro",[1]AUX_CLARO!$A:$C,3,FALSE),""))</f>
        <v/>
      </c>
      <c r="S23" t="str">
        <f t="shared" ca="1" si="2"/>
        <v>Claro mais barata</v>
      </c>
      <c r="T23" t="str">
        <f t="shared" ca="1" si="3"/>
        <v/>
      </c>
      <c r="U23" s="9">
        <f t="shared" si="4"/>
        <v>46174</v>
      </c>
      <c r="V23" t="str">
        <f ca="1">IF(OR([1]Planilha1!$B23="",[1]Planilha1!$B23="NÃO MAPEADO"),"",TRIM([1]Planilha1!$B23))</f>
        <v>SUDESTE</v>
      </c>
      <c r="W23" t="str">
        <f ca="1">IF([1]Planilha1!$C23="","",TRIM([1]Planilha1!$C23))</f>
        <v>MD 1</v>
      </c>
      <c r="X23" s="12" t="str">
        <f ca="1">IFERROR(VLOOKUP($C23,[1]Planilha2!$B:$H,7,FALSE),"")</f>
        <v>13900-001</v>
      </c>
    </row>
    <row r="24" spans="1:24" x14ac:dyDescent="0.35">
      <c r="A24" t="str">
        <f ca="1">IF(LEFT(TEXT([1]Planilha1!$L24,"0000000"),1)="5","MS","SP")</f>
        <v>SP</v>
      </c>
      <c r="B24" t="str">
        <f ca="1">IF(RIGHT([1]Planilha1!$A24,5)=" - MS",LEFT([1]Planilha1!$A24,LEN([1]Planilha1!$A24)-5),TRIM([1]Planilha1!$A24))</f>
        <v>AMPARO</v>
      </c>
      <c r="C24" s="2">
        <f ca="1">[1]Planilha1!$L24</f>
        <v>3501905</v>
      </c>
      <c r="D24" t="str">
        <f>TRIM([1]Planilha1!$D24)</f>
        <v>Desktop</v>
      </c>
      <c r="E24" t="str">
        <f>IF(TRIM([1]Planilha1!$D24)="Claro","Claro","Concorrente")</f>
        <v>Concorrente</v>
      </c>
      <c r="F24" t="s">
        <v>29</v>
      </c>
      <c r="G24" t="str">
        <f t="shared" ca="1" si="0"/>
        <v>Banda Larga + Movel</v>
      </c>
      <c r="H24" t="str">
        <f ca="1">TRIM([1]Planilha1!$E24)</f>
        <v>600M+15GB=R$129,99 - 6 MESES, APÓS R$139,99</v>
      </c>
      <c r="I24" t="str">
        <f ca="1">IF([1]Planilha1!$F24="","",TRIM([1]Planilha1!$F24))</f>
        <v>Fibra</v>
      </c>
      <c r="J24" s="3">
        <f ca="1">IF([1]Planilha1!$G24="","",[1]Planilha1!$G24)</f>
        <v>600</v>
      </c>
      <c r="K24" s="4" cm="1">
        <f t="array" aca="1" ref="K24" ca="1">IFERROR(VALUE(_xlfn.REGEXEXTRACT([1]Planilha1!$E24,"\+\s*(\d+)GB",2)),"")</f>
        <v>15</v>
      </c>
      <c r="L24" s="5">
        <f ca="1">IF([1]Planilha1!$H24="","",[1]Planilha1!$H24)</f>
        <v>139.99</v>
      </c>
      <c r="M24" s="5">
        <f ca="1">IF([1]Planilha1!$I24="","",[1]Planilha1!$I24)</f>
        <v>129.99</v>
      </c>
      <c r="N24" s="2" cm="1">
        <f t="array" aca="1" ref="N24" ca="1">IFERROR(VALUE(_xlfn.REGEXEXTRACT([1]Planilha1!$E24,"(\d+)\s*MESES",2)),IFERROR(VALUE(_xlfn.REGEXEXTRACT([1]Planilha1!$E24,"por\s*(\d+)\s*M",2)),IF(_xlfn.REGEXTEST([1]Planilha1!$E24,"1[ºª]"),1,"")))</f>
        <v>6</v>
      </c>
      <c r="O24" s="6">
        <f t="shared" ca="1" si="1"/>
        <v>0.23331666666666667</v>
      </c>
      <c r="P24" t="str">
        <f ca="1">IF([1]Planilha1!$J24="","",TRIM([1]Planilha1!$J24))</f>
        <v>0</v>
      </c>
      <c r="Q24" s="7">
        <f ca="1">IF($D24="Claro","",IFERROR($L24-VLOOKUP($B24&amp;"|Claro",[1]AUX_CLARO!$A:$C,2,FALSE),""))</f>
        <v>9.0000000000003411E-2</v>
      </c>
      <c r="R24" s="8">
        <f ca="1">IF($D24="Claro","",IFERROR($J24-VLOOKUP($B24&amp;"|Claro",[1]AUX_CLARO!$A:$C,3,FALSE),""))</f>
        <v>0</v>
      </c>
      <c r="S24" t="str">
        <f t="shared" ca="1" si="2"/>
        <v>Claro mais barata</v>
      </c>
      <c r="T24" t="str">
        <f t="shared" ca="1" si="3"/>
        <v>Mesma velocidade</v>
      </c>
      <c r="U24" s="9">
        <f t="shared" si="4"/>
        <v>46174</v>
      </c>
      <c r="V24" t="str">
        <f ca="1">IF(OR([1]Planilha1!$B24="",[1]Planilha1!$B24="NÃO MAPEADO"),"",TRIM([1]Planilha1!$B24))</f>
        <v>SUDESTE</v>
      </c>
      <c r="W24" t="str">
        <f ca="1">IF([1]Planilha1!$C24="","",TRIM([1]Planilha1!$C24))</f>
        <v>MD 1</v>
      </c>
      <c r="X24" s="12" t="str">
        <f ca="1">IFERROR(VLOOKUP($C24,[1]Planilha2!$B:$H,7,FALSE),"")</f>
        <v>13900-001</v>
      </c>
    </row>
    <row r="25" spans="1:24" x14ac:dyDescent="0.35">
      <c r="A25" t="str">
        <f ca="1">IF(LEFT(TEXT([1]Planilha1!$L25,"0000000"),1)="5","MS","SP")</f>
        <v>SP</v>
      </c>
      <c r="B25" t="str">
        <f ca="1">IF(RIGHT([1]Planilha1!$A25,5)=" - MS",LEFT([1]Planilha1!$A25,LEN([1]Planilha1!$A25)-5),TRIM([1]Planilha1!$A25))</f>
        <v>AMPARO</v>
      </c>
      <c r="C25" s="2">
        <f ca="1">[1]Planilha1!$L25</f>
        <v>3501905</v>
      </c>
      <c r="D25" t="str">
        <f>TRIM([1]Planilha1!$D25)</f>
        <v>ISP LOCAL</v>
      </c>
      <c r="E25" t="str">
        <f>IF(TRIM([1]Planilha1!$D25)="Claro","Claro","Concorrente")</f>
        <v>Concorrente</v>
      </c>
      <c r="F25" t="s">
        <v>35</v>
      </c>
      <c r="G25" t="str">
        <f t="shared" ca="1" si="0"/>
        <v>Banda Larga + Conteudo</v>
      </c>
      <c r="H25" t="str">
        <f ca="1">TRIM([1]Planilha1!$E25)</f>
        <v>TELESON - 500M R$159,90</v>
      </c>
      <c r="I25" t="str">
        <f ca="1">IF([1]Planilha1!$F25="","",TRIM([1]Planilha1!$F25))</f>
        <v>Fibra</v>
      </c>
      <c r="J25" s="3">
        <f ca="1">IF([1]Planilha1!$G25="","",[1]Planilha1!$G25)</f>
        <v>500</v>
      </c>
      <c r="K25" s="4" t="str" cm="1">
        <f t="array" aca="1" ref="K25" ca="1">IFERROR(VALUE(_xlfn.REGEXEXTRACT([1]Planilha1!$E25,"\+\s*(\d+)GB",2)),"")</f>
        <v/>
      </c>
      <c r="L25" s="5">
        <f ca="1">IF([1]Planilha1!$H25="","",[1]Planilha1!$H25)</f>
        <v>159.9</v>
      </c>
      <c r="M25" s="5" t="str">
        <f ca="1">IF([1]Planilha1!$I25="","",[1]Planilha1!$I25)</f>
        <v/>
      </c>
      <c r="N25" s="2" t="str" cm="1">
        <f t="array" aca="1" ref="N25" ca="1">IFERROR(VALUE(_xlfn.REGEXEXTRACT([1]Planilha1!$E25,"(\d+)\s*MESES",2)),IFERROR(VALUE(_xlfn.REGEXEXTRACT([1]Planilha1!$E25,"por\s*(\d+)\s*M",2)),IF(_xlfn.REGEXTEST([1]Planilha1!$E25,"1[ºª]"),1,"")))</f>
        <v/>
      </c>
      <c r="O25" s="6">
        <f t="shared" ca="1" si="1"/>
        <v>0.31980000000000003</v>
      </c>
      <c r="P25" t="str">
        <f ca="1">IF([1]Planilha1!$J25="","",TRIM([1]Planilha1!$J25))</f>
        <v>0</v>
      </c>
      <c r="Q25" s="7">
        <f ca="1">IF($D25="Claro","",IFERROR($L25-VLOOKUP($B25&amp;"|Claro",[1]AUX_CLARO!$A:$C,2,FALSE),""))</f>
        <v>20</v>
      </c>
      <c r="R25" s="8">
        <f ca="1">IF($D25="Claro","",IFERROR($J25-VLOOKUP($B25&amp;"|Claro",[1]AUX_CLARO!$A:$C,3,FALSE),""))</f>
        <v>-100</v>
      </c>
      <c r="S25" t="str">
        <f t="shared" ca="1" si="2"/>
        <v>Claro mais barata</v>
      </c>
      <c r="T25" t="str">
        <f t="shared" ca="1" si="3"/>
        <v>Claro com maior velocidade</v>
      </c>
      <c r="U25" s="9">
        <f t="shared" si="4"/>
        <v>46174</v>
      </c>
      <c r="V25" t="str">
        <f ca="1">IF(OR([1]Planilha1!$B25="",[1]Planilha1!$B25="NÃO MAPEADO"),"",TRIM([1]Planilha1!$B25))</f>
        <v>SUDESTE</v>
      </c>
      <c r="W25" t="str">
        <f ca="1">IF([1]Planilha1!$C25="","",TRIM([1]Planilha1!$C25))</f>
        <v>MD 1</v>
      </c>
      <c r="X25" s="12" t="str">
        <f ca="1">IFERROR(VLOOKUP($C25,[1]Planilha2!$B:$H,7,FALSE),"")</f>
        <v>13900-001</v>
      </c>
    </row>
    <row r="26" spans="1:24" x14ac:dyDescent="0.35">
      <c r="A26" t="str">
        <f ca="1">IF(LEFT(TEXT([1]Planilha1!$L26,"0000000"),1)="5","MS","SP")</f>
        <v>SP</v>
      </c>
      <c r="B26" t="str">
        <f ca="1">IF(RIGHT([1]Planilha1!$A26,5)=" - MS",LEFT([1]Planilha1!$A26,LEN([1]Planilha1!$A26)-5),TRIM([1]Planilha1!$A26))</f>
        <v>ANDRADINA</v>
      </c>
      <c r="C26" s="2">
        <f ca="1">[1]Planilha1!$L26</f>
        <v>3502101</v>
      </c>
      <c r="D26" t="str">
        <f>TRIM([1]Planilha1!$D26)</f>
        <v>Claro</v>
      </c>
      <c r="E26" t="str">
        <f>IF(TRIM([1]Planilha1!$D26)="Claro","Claro","Concorrente")</f>
        <v>Claro</v>
      </c>
      <c r="F26" t="s">
        <v>24</v>
      </c>
      <c r="G26" t="str">
        <f t="shared" ca="1" si="0"/>
        <v>Banda Larga + Movel</v>
      </c>
      <c r="H26" t="str">
        <f ca="1">TRIM([1]Planilha1!$E26)</f>
        <v>600M+100GB=R$109,90 por 6M, após R$139,90</v>
      </c>
      <c r="I26" t="str">
        <f ca="1">IF([1]Planilha1!$F26="","",TRIM([1]Planilha1!$F26))</f>
        <v>Fibra</v>
      </c>
      <c r="J26" s="3">
        <f ca="1">IF([1]Planilha1!$G26="","",[1]Planilha1!$G26)</f>
        <v>600</v>
      </c>
      <c r="K26" s="4" cm="1">
        <f t="array" aca="1" ref="K26" ca="1">IFERROR(VALUE(_xlfn.REGEXEXTRACT([1]Planilha1!$E26,"\+\s*(\d+)GB",2)),"")</f>
        <v>100</v>
      </c>
      <c r="L26" s="5">
        <f ca="1">IF([1]Planilha1!$H26="","",[1]Planilha1!$H26)</f>
        <v>139.9</v>
      </c>
      <c r="M26" s="5">
        <f ca="1">IF([1]Planilha1!$I26="","",[1]Planilha1!$I26)</f>
        <v>109.9</v>
      </c>
      <c r="N26" s="2" cm="1">
        <f t="array" aca="1" ref="N26" ca="1">IFERROR(VALUE(_xlfn.REGEXEXTRACT([1]Planilha1!$E26,"(\d+)\s*MESES",2)),IFERROR(VALUE(_xlfn.REGEXEXTRACT([1]Planilha1!$E26,"por\s*(\d+)\s*M",2)),IF(_xlfn.REGEXTEST([1]Planilha1!$E26,"1[ºª]"),1,"")))</f>
        <v>6</v>
      </c>
      <c r="O26" s="6">
        <f t="shared" ca="1" si="1"/>
        <v>0.23316666666666669</v>
      </c>
      <c r="P26" t="str">
        <f ca="1">IF([1]Planilha1!$J26="","",TRIM([1]Planilha1!$J26))</f>
        <v>GLOBOPLAY</v>
      </c>
      <c r="Q26" s="7" t="str">
        <f>IF($D26="Claro","",IFERROR($L26-VLOOKUP($B26&amp;"|Claro",[1]AUX_CLARO!$A:$C,2,FALSE),""))</f>
        <v/>
      </c>
      <c r="R26" s="8" t="str">
        <f>IF($D26="Claro","",IFERROR($J26-VLOOKUP($B26&amp;"|Claro",[1]AUX_CLARO!$A:$C,3,FALSE),""))</f>
        <v/>
      </c>
      <c r="S26" t="str">
        <f t="shared" si="2"/>
        <v/>
      </c>
      <c r="T26" t="str">
        <f t="shared" si="3"/>
        <v/>
      </c>
      <c r="U26" s="9">
        <f t="shared" si="4"/>
        <v>46174</v>
      </c>
      <c r="V26" t="str">
        <f ca="1">IF(OR([1]Planilha1!$B26="",[1]Planilha1!$B26="NÃO MAPEADO"),"",TRIM([1]Planilha1!$B26))</f>
        <v>NOROESTE</v>
      </c>
      <c r="W26" t="str">
        <f ca="1">IF([1]Planilha1!$C26="","",TRIM([1]Planilha1!$C26))</f>
        <v>MD 2</v>
      </c>
      <c r="X26" t="str">
        <f ca="1">IFERROR(VLOOKUP($C26,[1]Planilha2!$B:$H,7,FALSE),"")</f>
        <v>16900-001</v>
      </c>
    </row>
    <row r="27" spans="1:24" x14ac:dyDescent="0.35">
      <c r="A27" t="str">
        <f ca="1">IF(LEFT(TEXT([1]Planilha1!$L27,"0000000"),1)="5","MS","SP")</f>
        <v>SP</v>
      </c>
      <c r="B27" t="str">
        <f ca="1">IF(RIGHT([1]Planilha1!$A27,5)=" - MS",LEFT([1]Planilha1!$A27,LEN([1]Planilha1!$A27)-5),TRIM([1]Planilha1!$A27))</f>
        <v>ANDRADINA</v>
      </c>
      <c r="C27" s="2">
        <f ca="1">[1]Planilha1!$L27</f>
        <v>3502101</v>
      </c>
      <c r="D27" t="str">
        <f>TRIM([1]Planilha1!$D27)</f>
        <v>Vivo</v>
      </c>
      <c r="E27" t="str">
        <f>IF(TRIM([1]Planilha1!$D27)="Claro","Claro","Concorrente")</f>
        <v>Concorrente</v>
      </c>
      <c r="F27" t="s">
        <v>25</v>
      </c>
      <c r="G27" t="str">
        <f t="shared" ca="1" si="0"/>
        <v>Banda Larga + Movel</v>
      </c>
      <c r="H27" t="s">
        <v>26</v>
      </c>
      <c r="I27" t="str">
        <f ca="1">IF([1]Planilha1!$F27="","",TRIM([1]Planilha1!$F27))</f>
        <v>Fibra</v>
      </c>
      <c r="J27" s="11" t="s">
        <v>27</v>
      </c>
      <c r="K27" s="4" cm="1">
        <f t="array" aca="1" ref="K27" ca="1">IFERROR(VALUE(_xlfn.REGEXEXTRACT([1]Planilha1!$E27,"\+\s*(\d+)GB",2)),"")</f>
        <v>70</v>
      </c>
      <c r="L27" s="5">
        <v>160</v>
      </c>
      <c r="M27" s="5" t="str">
        <f ca="1">IF([1]Planilha1!$I27="","",[1]Planilha1!$I27)</f>
        <v/>
      </c>
      <c r="N27" s="2" t="str" cm="1">
        <f t="array" aca="1" ref="N27" ca="1">IFERROR(VALUE(_xlfn.REGEXEXTRACT([1]Planilha1!$E27,"(\d+)\s*MESES",2)),IFERROR(VALUE(_xlfn.REGEXEXTRACT([1]Planilha1!$E27,"por\s*(\d+)\s*M",2)),IF(_xlfn.REGEXTEST([1]Planilha1!$E27,"1[ºª]"),1,"")))</f>
        <v/>
      </c>
      <c r="O27" s="6" t="str">
        <f t="shared" si="1"/>
        <v/>
      </c>
      <c r="P27" t="str">
        <f ca="1">IF([1]Planilha1!$J27="","",TRIM([1]Planilha1!$J27))</f>
        <v>0</v>
      </c>
      <c r="Q27" s="7">
        <f ca="1">IF($D27="Claro","",IFERROR($L27-VLOOKUP($B27&amp;"|Claro",[1]AUX_CLARO!$A:$C,2,FALSE),""))</f>
        <v>20.099999999999994</v>
      </c>
      <c r="R27" s="8" t="str">
        <f ca="1">IF($D27="Claro","",IFERROR($J27-VLOOKUP($B27&amp;"|Claro",[1]AUX_CLARO!$A:$C,3,FALSE),""))</f>
        <v/>
      </c>
      <c r="S27" t="str">
        <f t="shared" ca="1" si="2"/>
        <v>Claro mais barata</v>
      </c>
      <c r="T27" t="str">
        <f t="shared" ca="1" si="3"/>
        <v/>
      </c>
      <c r="U27" s="9">
        <f t="shared" si="4"/>
        <v>46174</v>
      </c>
      <c r="V27" t="str">
        <f ca="1">IF(OR([1]Planilha1!$B27="",[1]Planilha1!$B27="NÃO MAPEADO"),"",TRIM([1]Planilha1!$B27))</f>
        <v>NOROESTE</v>
      </c>
      <c r="W27" t="str">
        <f ca="1">IF([1]Planilha1!$C27="","",TRIM([1]Planilha1!$C27))</f>
        <v>MD 2</v>
      </c>
      <c r="X27" t="str">
        <f ca="1">IFERROR(VLOOKUP($C27,[1]Planilha2!$B:$H,7,FALSE),"")</f>
        <v>16900-001</v>
      </c>
    </row>
    <row r="28" spans="1:24" x14ac:dyDescent="0.35">
      <c r="A28" t="str">
        <f ca="1">IF(LEFT(TEXT([1]Planilha1!$L28,"0000000"),1)="5","MS","SP")</f>
        <v>SP</v>
      </c>
      <c r="B28" t="str">
        <f ca="1">IF(RIGHT([1]Planilha1!$A28,5)=" - MS",LEFT([1]Planilha1!$A28,LEN([1]Planilha1!$A28)-5),TRIM([1]Planilha1!$A28))</f>
        <v>ANDRADINA</v>
      </c>
      <c r="C28" s="2">
        <f ca="1">[1]Planilha1!$L28</f>
        <v>3502101</v>
      </c>
      <c r="D28" t="str">
        <f>TRIM([1]Planilha1!$D28)</f>
        <v>Vero</v>
      </c>
      <c r="E28" t="str">
        <f>IF(TRIM([1]Planilha1!$D28)="Claro","Claro","Concorrente")</f>
        <v>Concorrente</v>
      </c>
      <c r="F28" t="s">
        <v>30</v>
      </c>
      <c r="G28" t="str">
        <f t="shared" ca="1" si="0"/>
        <v>Banda Larga + Movel</v>
      </c>
      <c r="H28" t="str">
        <f ca="1">TRIM([1]Planilha1!$E28)</f>
        <v>850M+60GB=R$149,99 (C/ GLOBOPLAY, HBO, DISNEY+)</v>
      </c>
      <c r="I28" t="str">
        <f ca="1">IF([1]Planilha1!$F28="","",TRIM([1]Planilha1!$F28))</f>
        <v>Fibra</v>
      </c>
      <c r="J28" s="3">
        <f ca="1">IF([1]Planilha1!$G28="","",[1]Planilha1!$G28)</f>
        <v>850</v>
      </c>
      <c r="K28" s="4" cm="1">
        <f t="array" aca="1" ref="K28" ca="1">IFERROR(VALUE(_xlfn.REGEXEXTRACT([1]Planilha1!$E28,"\+\s*(\d+)GB",2)),"")</f>
        <v>60</v>
      </c>
      <c r="L28" s="5">
        <f ca="1">IF([1]Planilha1!$H28="","",[1]Planilha1!$H28)</f>
        <v>149.99</v>
      </c>
      <c r="M28" s="5" t="str">
        <f ca="1">IF([1]Planilha1!$I28="","",[1]Planilha1!$I28)</f>
        <v/>
      </c>
      <c r="N28" s="2" t="str" cm="1">
        <f t="array" aca="1" ref="N28" ca="1">IFERROR(VALUE(_xlfn.REGEXEXTRACT([1]Planilha1!$E28,"(\d+)\s*MESES",2)),IFERROR(VALUE(_xlfn.REGEXEXTRACT([1]Planilha1!$E28,"por\s*(\d+)\s*M",2)),IF(_xlfn.REGEXTEST([1]Planilha1!$E28,"1[ºª]"),1,"")))</f>
        <v/>
      </c>
      <c r="O28" s="6">
        <f t="shared" ca="1" si="1"/>
        <v>0.17645882352941178</v>
      </c>
      <c r="P28" t="str">
        <f ca="1">IF([1]Planilha1!$J28="","",TRIM([1]Planilha1!$J28))</f>
        <v>GLOBOPLAY, HBO, DISNEY+</v>
      </c>
      <c r="Q28" s="7">
        <f ca="1">IF($D28="Claro","",IFERROR($L28-VLOOKUP($B28&amp;"|Claro",[1]AUX_CLARO!$A:$C,2,FALSE),""))</f>
        <v>10.090000000000003</v>
      </c>
      <c r="R28" s="8">
        <f ca="1">IF($D28="Claro","",IFERROR($J28-VLOOKUP($B28&amp;"|Claro",[1]AUX_CLARO!$A:$C,3,FALSE),""))</f>
        <v>250</v>
      </c>
      <c r="S28" t="str">
        <f t="shared" ca="1" si="2"/>
        <v>Claro mais barata</v>
      </c>
      <c r="T28" t="str">
        <f t="shared" ca="1" si="3"/>
        <v>Claro com menor velocidade</v>
      </c>
      <c r="U28" s="9">
        <f t="shared" si="4"/>
        <v>46174</v>
      </c>
      <c r="V28" t="str">
        <f ca="1">IF(OR([1]Planilha1!$B28="",[1]Planilha1!$B28="NÃO MAPEADO"),"",TRIM([1]Planilha1!$B28))</f>
        <v>NOROESTE</v>
      </c>
      <c r="W28" t="str">
        <f ca="1">IF([1]Planilha1!$C28="","",TRIM([1]Planilha1!$C28))</f>
        <v>MD 2</v>
      </c>
      <c r="X28" t="str">
        <f ca="1">IFERROR(VLOOKUP($C28,[1]Planilha2!$B:$H,7,FALSE),"")</f>
        <v>16900-001</v>
      </c>
    </row>
    <row r="29" spans="1:24" x14ac:dyDescent="0.35">
      <c r="A29" t="str">
        <f ca="1">IF(LEFT(TEXT([1]Planilha1!$L29,"0000000"),1)="5","MS","SP")</f>
        <v>SP</v>
      </c>
      <c r="B29" t="str">
        <f ca="1">IF(RIGHT([1]Planilha1!$A29,5)=" - MS",LEFT([1]Planilha1!$A29,LEN([1]Planilha1!$A29)-5),TRIM([1]Planilha1!$A29))</f>
        <v>ANDRADINA</v>
      </c>
      <c r="C29" s="2">
        <f ca="1">[1]Planilha1!$L29</f>
        <v>3502101</v>
      </c>
      <c r="D29" t="str">
        <f>TRIM([1]Planilha1!$D29)</f>
        <v>ISP LOCAL</v>
      </c>
      <c r="E29" t="str">
        <f>IF(TRIM([1]Planilha1!$D29)="Claro","Claro","Concorrente")</f>
        <v>Concorrente</v>
      </c>
      <c r="F29" t="s">
        <v>36</v>
      </c>
      <c r="G29" t="str">
        <f t="shared" ca="1" si="0"/>
        <v>Banda Larga + Conteudo</v>
      </c>
      <c r="H29" t="str">
        <f ca="1">TRIM([1]Planilha1!$E29)</f>
        <v>CONNECTA - 600M R$99,90</v>
      </c>
      <c r="I29" t="str">
        <f ca="1">IF([1]Planilha1!$F29="","",TRIM([1]Planilha1!$F29))</f>
        <v>Fibra</v>
      </c>
      <c r="J29" s="3">
        <f ca="1">IF([1]Planilha1!$G29="","",[1]Planilha1!$G29)</f>
        <v>600</v>
      </c>
      <c r="K29" s="4" t="str" cm="1">
        <f t="array" aca="1" ref="K29" ca="1">IFERROR(VALUE(_xlfn.REGEXEXTRACT([1]Planilha1!$E29,"\+\s*(\d+)GB",2)),"")</f>
        <v/>
      </c>
      <c r="L29" s="5">
        <f ca="1">IF([1]Planilha1!$H29="","",[1]Planilha1!$H29)</f>
        <v>99.9</v>
      </c>
      <c r="M29" s="5" t="str">
        <f ca="1">IF([1]Planilha1!$I29="","",[1]Planilha1!$I29)</f>
        <v/>
      </c>
      <c r="N29" s="2" t="str" cm="1">
        <f t="array" aca="1" ref="N29" ca="1">IFERROR(VALUE(_xlfn.REGEXEXTRACT([1]Planilha1!$E29,"(\d+)\s*MESES",2)),IFERROR(VALUE(_xlfn.REGEXEXTRACT([1]Planilha1!$E29,"por\s*(\d+)\s*M",2)),IF(_xlfn.REGEXTEST([1]Planilha1!$E29,"1[ºª]"),1,"")))</f>
        <v/>
      </c>
      <c r="O29" s="6">
        <f t="shared" ca="1" si="1"/>
        <v>0.16650000000000001</v>
      </c>
      <c r="P29" t="str">
        <f ca="1">IF([1]Planilha1!$J29="","",TRIM([1]Planilha1!$J29))</f>
        <v>0</v>
      </c>
      <c r="Q29" s="7">
        <f ca="1">IF($D29="Claro","",IFERROR($L29-VLOOKUP($B29&amp;"|Claro",[1]AUX_CLARO!$A:$C,2,FALSE),""))</f>
        <v>-40</v>
      </c>
      <c r="R29" s="8">
        <f ca="1">IF($D29="Claro","",IFERROR($J29-VLOOKUP($B29&amp;"|Claro",[1]AUX_CLARO!$A:$C,3,FALSE),""))</f>
        <v>0</v>
      </c>
      <c r="S29" t="str">
        <f t="shared" ca="1" si="2"/>
        <v>Claro mais cara</v>
      </c>
      <c r="T29" t="str">
        <f t="shared" ca="1" si="3"/>
        <v>Mesma velocidade</v>
      </c>
      <c r="U29" s="9">
        <f t="shared" si="4"/>
        <v>46174</v>
      </c>
      <c r="V29" t="str">
        <f ca="1">IF(OR([1]Planilha1!$B29="",[1]Planilha1!$B29="NÃO MAPEADO"),"",TRIM([1]Planilha1!$B29))</f>
        <v>NOROESTE</v>
      </c>
      <c r="W29" t="str">
        <f ca="1">IF([1]Planilha1!$C29="","",TRIM([1]Planilha1!$C29))</f>
        <v>MD 2</v>
      </c>
      <c r="X29" t="str">
        <f ca="1">IFERROR(VLOOKUP($C29,[1]Planilha2!$B:$H,7,FALSE),"")</f>
        <v>16900-001</v>
      </c>
    </row>
    <row r="30" spans="1:24" x14ac:dyDescent="0.35">
      <c r="A30" t="str">
        <f ca="1">IF(LEFT(TEXT([1]Planilha1!$L30,"0000000"),1)="5","MS","SP")</f>
        <v>SP</v>
      </c>
      <c r="B30" t="str">
        <f ca="1">IF(RIGHT([1]Planilha1!$A30,5)=" - MS",LEFT([1]Planilha1!$A30,LEN([1]Planilha1!$A30)-5),TRIM([1]Planilha1!$A30))</f>
        <v>APARECIDA</v>
      </c>
      <c r="C30" s="2">
        <f ca="1">[1]Planilha1!$L30</f>
        <v>3502507</v>
      </c>
      <c r="D30" t="str">
        <f>TRIM([1]Planilha1!$D30)</f>
        <v>Claro</v>
      </c>
      <c r="E30" t="str">
        <f>IF(TRIM([1]Planilha1!$D30)="Claro","Claro","Concorrente")</f>
        <v>Claro</v>
      </c>
      <c r="F30" t="s">
        <v>24</v>
      </c>
      <c r="G30" t="str">
        <f t="shared" ca="1" si="0"/>
        <v>Banda Larga + Movel</v>
      </c>
      <c r="H30" t="str">
        <f ca="1">TRIM([1]Planilha1!$E30)</f>
        <v>600M+100GB=R$109,90 por 6M, após R$139,90</v>
      </c>
      <c r="I30" t="str">
        <f ca="1">IF([1]Planilha1!$F30="","",TRIM([1]Planilha1!$F30))</f>
        <v>Fibra</v>
      </c>
      <c r="J30" s="3">
        <f ca="1">IF([1]Planilha1!$G30="","",[1]Planilha1!$G30)</f>
        <v>600</v>
      </c>
      <c r="K30" s="4" cm="1">
        <f t="array" aca="1" ref="K30" ca="1">IFERROR(VALUE(_xlfn.REGEXEXTRACT([1]Planilha1!$E30,"\+\s*(\d+)GB",2)),"")</f>
        <v>100</v>
      </c>
      <c r="L30" s="5">
        <f ca="1">IF([1]Planilha1!$H30="","",[1]Planilha1!$H30)</f>
        <v>139.9</v>
      </c>
      <c r="M30" s="5">
        <f ca="1">IF([1]Planilha1!$I30="","",[1]Planilha1!$I30)</f>
        <v>109.9</v>
      </c>
      <c r="N30" s="2" cm="1">
        <f t="array" aca="1" ref="N30" ca="1">IFERROR(VALUE(_xlfn.REGEXEXTRACT([1]Planilha1!$E30,"(\d+)\s*MESES",2)),IFERROR(VALUE(_xlfn.REGEXEXTRACT([1]Planilha1!$E30,"por\s*(\d+)\s*M",2)),IF(_xlfn.REGEXTEST([1]Planilha1!$E30,"1[ºª]"),1,"")))</f>
        <v>6</v>
      </c>
      <c r="O30" s="6">
        <f t="shared" ca="1" si="1"/>
        <v>0.23316666666666669</v>
      </c>
      <c r="P30" t="str">
        <f ca="1">IF([1]Planilha1!$J30="","",TRIM([1]Planilha1!$J30))</f>
        <v>GLOBOPLAY</v>
      </c>
      <c r="Q30" s="7" t="str">
        <f>IF($D30="Claro","",IFERROR($L30-VLOOKUP($B30&amp;"|Claro",[1]AUX_CLARO!$A:$C,2,FALSE),""))</f>
        <v/>
      </c>
      <c r="R30" s="8" t="str">
        <f>IF($D30="Claro","",IFERROR($J30-VLOOKUP($B30&amp;"|Claro",[1]AUX_CLARO!$A:$C,3,FALSE),""))</f>
        <v/>
      </c>
      <c r="S30" t="str">
        <f t="shared" si="2"/>
        <v/>
      </c>
      <c r="T30" t="str">
        <f t="shared" si="3"/>
        <v/>
      </c>
      <c r="U30" s="9">
        <f t="shared" si="4"/>
        <v>46174</v>
      </c>
      <c r="V30" t="str">
        <f ca="1">IF(OR([1]Planilha1!$B30="",[1]Planilha1!$B30="NÃO MAPEADO"),"",TRIM([1]Planilha1!$B30))</f>
        <v>SUDESTE</v>
      </c>
      <c r="W30" t="str">
        <f ca="1">IF([1]Planilha1!$C30="","",TRIM([1]Planilha1!$C30))</f>
        <v>MD 2</v>
      </c>
      <c r="X30" s="12" t="str">
        <f ca="1">IFERROR(VLOOKUP($C30,[1]Planilha2!$B:$H,7,FALSE),"")</f>
        <v>12570-001</v>
      </c>
    </row>
    <row r="31" spans="1:24" x14ac:dyDescent="0.35">
      <c r="A31" t="str">
        <f ca="1">IF(LEFT(TEXT([1]Planilha1!$L31,"0000000"),1)="5","MS","SP")</f>
        <v>SP</v>
      </c>
      <c r="B31" t="str">
        <f ca="1">IF(RIGHT([1]Planilha1!$A31,5)=" - MS",LEFT([1]Planilha1!$A31,LEN([1]Planilha1!$A31)-5),TRIM([1]Planilha1!$A31))</f>
        <v>APARECIDA</v>
      </c>
      <c r="C31" s="2">
        <f ca="1">[1]Planilha1!$L31</f>
        <v>3502507</v>
      </c>
      <c r="D31" t="str">
        <f>TRIM([1]Planilha1!$D31)</f>
        <v>Vivo</v>
      </c>
      <c r="E31" t="str">
        <f>IF(TRIM([1]Planilha1!$D31)="Claro","Claro","Concorrente")</f>
        <v>Concorrente</v>
      </c>
      <c r="F31" t="s">
        <v>25</v>
      </c>
      <c r="G31" t="str">
        <f t="shared" ca="1" si="0"/>
        <v>Banda Larga + Movel</v>
      </c>
      <c r="H31" t="s">
        <v>26</v>
      </c>
      <c r="I31" t="str">
        <f ca="1">IF([1]Planilha1!$F31="","",TRIM([1]Planilha1!$F31))</f>
        <v>Fibra</v>
      </c>
      <c r="J31" s="11" t="s">
        <v>27</v>
      </c>
      <c r="K31" s="4" cm="1">
        <f t="array" aca="1" ref="K31" ca="1">IFERROR(VALUE(_xlfn.REGEXEXTRACT([1]Planilha1!$E31,"\+\s*(\d+)GB",2)),"")</f>
        <v>70</v>
      </c>
      <c r="L31" s="5">
        <v>160</v>
      </c>
      <c r="M31" s="5" t="str">
        <f ca="1">IF([1]Planilha1!$I31="","",[1]Planilha1!$I31)</f>
        <v/>
      </c>
      <c r="N31" s="2" t="str" cm="1">
        <f t="array" aca="1" ref="N31" ca="1">IFERROR(VALUE(_xlfn.REGEXEXTRACT([1]Planilha1!$E31,"(\d+)\s*MESES",2)),IFERROR(VALUE(_xlfn.REGEXEXTRACT([1]Planilha1!$E31,"por\s*(\d+)\s*M",2)),IF(_xlfn.REGEXTEST([1]Planilha1!$E31,"1[ºª]"),1,"")))</f>
        <v/>
      </c>
      <c r="O31" s="6" t="str">
        <f t="shared" si="1"/>
        <v/>
      </c>
      <c r="P31" t="str">
        <f ca="1">IF([1]Planilha1!$J31="","",TRIM([1]Planilha1!$J31))</f>
        <v>0</v>
      </c>
      <c r="Q31" s="7">
        <f ca="1">IF($D31="Claro","",IFERROR($L31-VLOOKUP($B31&amp;"|Claro",[1]AUX_CLARO!$A:$C,2,FALSE),""))</f>
        <v>20.099999999999994</v>
      </c>
      <c r="R31" s="8" t="str">
        <f ca="1">IF($D31="Claro","",IFERROR($J31-VLOOKUP($B31&amp;"|Claro",[1]AUX_CLARO!$A:$C,3,FALSE),""))</f>
        <v/>
      </c>
      <c r="S31" t="str">
        <f t="shared" ca="1" si="2"/>
        <v>Claro mais barata</v>
      </c>
      <c r="T31" t="str">
        <f t="shared" ca="1" si="3"/>
        <v/>
      </c>
      <c r="U31" s="9">
        <f t="shared" si="4"/>
        <v>46174</v>
      </c>
      <c r="V31" t="str">
        <f ca="1">IF(OR([1]Planilha1!$B31="",[1]Planilha1!$B31="NÃO MAPEADO"),"",TRIM([1]Planilha1!$B31))</f>
        <v>SUDESTE</v>
      </c>
      <c r="W31" t="str">
        <f ca="1">IF([1]Planilha1!$C31="","",TRIM([1]Planilha1!$C31))</f>
        <v>MD 2</v>
      </c>
      <c r="X31" s="12" t="str">
        <f ca="1">IFERROR(VLOOKUP($C31,[1]Planilha2!$B:$H,7,FALSE),"")</f>
        <v>12570-001</v>
      </c>
    </row>
    <row r="32" spans="1:24" x14ac:dyDescent="0.35">
      <c r="A32" t="str">
        <f ca="1">IF(LEFT(TEXT([1]Planilha1!$L32,"0000000"),1)="5","MS","SP")</f>
        <v>SP</v>
      </c>
      <c r="B32" t="str">
        <f ca="1">IF(RIGHT([1]Planilha1!$A32,5)=" - MS",LEFT([1]Planilha1!$A32,LEN([1]Planilha1!$A32)-5),TRIM([1]Planilha1!$A32))</f>
        <v>APARECIDA</v>
      </c>
      <c r="C32" s="2">
        <f ca="1">[1]Planilha1!$L32</f>
        <v>3502507</v>
      </c>
      <c r="D32" t="str">
        <f>TRIM([1]Planilha1!$D32)</f>
        <v>Vero</v>
      </c>
      <c r="E32" t="str">
        <f>IF(TRIM([1]Planilha1!$D32)="Claro","Claro","Concorrente")</f>
        <v>Concorrente</v>
      </c>
      <c r="F32" t="s">
        <v>30</v>
      </c>
      <c r="G32" t="str">
        <f t="shared" ca="1" si="0"/>
        <v>Banda Larga + Movel</v>
      </c>
      <c r="H32" t="str">
        <f ca="1">TRIM([1]Planilha1!$E32)</f>
        <v>850M+60GB=R$149,99 (C/ GLOBOPLAY, HBO, DISNEY+)</v>
      </c>
      <c r="I32" t="str">
        <f ca="1">IF([1]Planilha1!$F32="","",TRIM([1]Planilha1!$F32))</f>
        <v>Fibra</v>
      </c>
      <c r="J32" s="3">
        <f ca="1">IF([1]Planilha1!$G32="","",[1]Planilha1!$G32)</f>
        <v>850</v>
      </c>
      <c r="K32" s="4" cm="1">
        <f t="array" aca="1" ref="K32" ca="1">IFERROR(VALUE(_xlfn.REGEXEXTRACT([1]Planilha1!$E32,"\+\s*(\d+)GB",2)),"")</f>
        <v>60</v>
      </c>
      <c r="L32" s="5">
        <f ca="1">IF([1]Planilha1!$H32="","",[1]Planilha1!$H32)</f>
        <v>149.99</v>
      </c>
      <c r="M32" s="5" t="str">
        <f ca="1">IF([1]Planilha1!$I32="","",[1]Planilha1!$I32)</f>
        <v/>
      </c>
      <c r="N32" s="2" t="str" cm="1">
        <f t="array" aca="1" ref="N32" ca="1">IFERROR(VALUE(_xlfn.REGEXEXTRACT([1]Planilha1!$E32,"(\d+)\s*MESES",2)),IFERROR(VALUE(_xlfn.REGEXEXTRACT([1]Planilha1!$E32,"por\s*(\d+)\s*M",2)),IF(_xlfn.REGEXTEST([1]Planilha1!$E32,"1[ºª]"),1,"")))</f>
        <v/>
      </c>
      <c r="O32" s="6">
        <f t="shared" ca="1" si="1"/>
        <v>0.17645882352941178</v>
      </c>
      <c r="P32" t="str">
        <f ca="1">IF([1]Planilha1!$J32="","",TRIM([1]Planilha1!$J32))</f>
        <v>GLOBOPLAY, HBO, DISNEY+</v>
      </c>
      <c r="Q32" s="7">
        <f ca="1">IF($D32="Claro","",IFERROR($L32-VLOOKUP($B32&amp;"|Claro",[1]AUX_CLARO!$A:$C,2,FALSE),""))</f>
        <v>10.090000000000003</v>
      </c>
      <c r="R32" s="8">
        <f ca="1">IF($D32="Claro","",IFERROR($J32-VLOOKUP($B32&amp;"|Claro",[1]AUX_CLARO!$A:$C,3,FALSE),""))</f>
        <v>250</v>
      </c>
      <c r="S32" t="str">
        <f t="shared" ca="1" si="2"/>
        <v>Claro mais barata</v>
      </c>
      <c r="T32" t="str">
        <f t="shared" ca="1" si="3"/>
        <v>Claro com menor velocidade</v>
      </c>
      <c r="U32" s="9">
        <f t="shared" si="4"/>
        <v>46174</v>
      </c>
      <c r="V32" t="str">
        <f ca="1">IF(OR([1]Planilha1!$B32="",[1]Planilha1!$B32="NÃO MAPEADO"),"",TRIM([1]Planilha1!$B32))</f>
        <v>SUDESTE</v>
      </c>
      <c r="W32" t="str">
        <f ca="1">IF([1]Planilha1!$C32="","",TRIM([1]Planilha1!$C32))</f>
        <v>MD 2</v>
      </c>
      <c r="X32" s="12" t="str">
        <f ca="1">IFERROR(VLOOKUP($C32,[1]Planilha2!$B:$H,7,FALSE),"")</f>
        <v>12570-001</v>
      </c>
    </row>
    <row r="33" spans="1:24" x14ac:dyDescent="0.35">
      <c r="A33" t="str">
        <f ca="1">IF(LEFT(TEXT([1]Planilha1!$L33,"0000000"),1)="5","MS","SP")</f>
        <v>SP</v>
      </c>
      <c r="B33" t="str">
        <f ca="1">IF(RIGHT([1]Planilha1!$A33,5)=" - MS",LEFT([1]Planilha1!$A33,LEN([1]Planilha1!$A33)-5),TRIM([1]Planilha1!$A33))</f>
        <v>ARACATUBA</v>
      </c>
      <c r="C33" s="2">
        <f ca="1">[1]Planilha1!$L33</f>
        <v>3502804</v>
      </c>
      <c r="D33" t="str">
        <f>TRIM([1]Planilha1!$D33)</f>
        <v>Claro</v>
      </c>
      <c r="E33" t="str">
        <f>IF(TRIM([1]Planilha1!$D33)="Claro","Claro","Concorrente")</f>
        <v>Claro</v>
      </c>
      <c r="F33" t="s">
        <v>24</v>
      </c>
      <c r="G33" t="str">
        <f t="shared" ca="1" si="0"/>
        <v>Banda Larga + Movel</v>
      </c>
      <c r="H33" t="str">
        <f ca="1">TRIM([1]Planilha1!$E33)</f>
        <v>600M+100GB=R$109,90 por 6M, após R$139,90</v>
      </c>
      <c r="I33" t="str">
        <f ca="1">IF([1]Planilha1!$F33="","",TRIM([1]Planilha1!$F33))</f>
        <v>Fibra</v>
      </c>
      <c r="J33" s="3">
        <f ca="1">IF([1]Planilha1!$G33="","",[1]Planilha1!$G33)</f>
        <v>600</v>
      </c>
      <c r="K33" s="4" cm="1">
        <f t="array" aca="1" ref="K33" ca="1">IFERROR(VALUE(_xlfn.REGEXEXTRACT([1]Planilha1!$E33,"\+\s*(\d+)GB",2)),"")</f>
        <v>100</v>
      </c>
      <c r="L33" s="5">
        <f ca="1">IF([1]Planilha1!$H33="","",[1]Planilha1!$H33)</f>
        <v>139.9</v>
      </c>
      <c r="M33" s="5">
        <f ca="1">IF([1]Planilha1!$I33="","",[1]Planilha1!$I33)</f>
        <v>109.9</v>
      </c>
      <c r="N33" s="2" cm="1">
        <f t="array" aca="1" ref="N33" ca="1">IFERROR(VALUE(_xlfn.REGEXEXTRACT([1]Planilha1!$E33,"(\d+)\s*MESES",2)),IFERROR(VALUE(_xlfn.REGEXEXTRACT([1]Planilha1!$E33,"por\s*(\d+)\s*M",2)),IF(_xlfn.REGEXTEST([1]Planilha1!$E33,"1[ºª]"),1,"")))</f>
        <v>6</v>
      </c>
      <c r="O33" s="6">
        <f t="shared" ca="1" si="1"/>
        <v>0.23316666666666669</v>
      </c>
      <c r="P33" t="str">
        <f ca="1">IF([1]Planilha1!$J33="","",TRIM([1]Planilha1!$J33))</f>
        <v>GLOBOPLAY</v>
      </c>
      <c r="Q33" s="7" t="str">
        <f>IF($D33="Claro","",IFERROR($L33-VLOOKUP($B33&amp;"|Claro",[1]AUX_CLARO!$A:$C,2,FALSE),""))</f>
        <v/>
      </c>
      <c r="R33" s="8" t="str">
        <f>IF($D33="Claro","",IFERROR($J33-VLOOKUP($B33&amp;"|Claro",[1]AUX_CLARO!$A:$C,3,FALSE),""))</f>
        <v/>
      </c>
      <c r="S33" t="str">
        <f t="shared" si="2"/>
        <v/>
      </c>
      <c r="T33" t="str">
        <f t="shared" si="3"/>
        <v/>
      </c>
      <c r="U33" s="9">
        <f t="shared" si="4"/>
        <v>46174</v>
      </c>
      <c r="V33" t="str">
        <f ca="1">IF(OR([1]Planilha1!$B33="",[1]Planilha1!$B33="NÃO MAPEADO"),"",TRIM([1]Planilha1!$B33))</f>
        <v>NOROESTE</v>
      </c>
      <c r="W33" t="str">
        <f ca="1">IF([1]Planilha1!$C33="","",TRIM([1]Planilha1!$C33))</f>
        <v>MD 2</v>
      </c>
      <c r="X33" t="str">
        <f ca="1">IFERROR(VLOOKUP($C33,[1]Planilha2!$B:$H,7,FALSE),"")</f>
        <v>16000-001</v>
      </c>
    </row>
    <row r="34" spans="1:24" x14ac:dyDescent="0.35">
      <c r="A34" t="str">
        <f ca="1">IF(LEFT(TEXT([1]Planilha1!$L34,"0000000"),1)="5","MS","SP")</f>
        <v>SP</v>
      </c>
      <c r="B34" t="str">
        <f ca="1">IF(RIGHT([1]Planilha1!$A34,5)=" - MS",LEFT([1]Planilha1!$A34,LEN([1]Planilha1!$A34)-5),TRIM([1]Planilha1!$A34))</f>
        <v>ARACATUBA</v>
      </c>
      <c r="C34" s="2">
        <f ca="1">[1]Planilha1!$L34</f>
        <v>3502804</v>
      </c>
      <c r="D34" t="str">
        <f>TRIM([1]Planilha1!$D34)</f>
        <v>Vivo</v>
      </c>
      <c r="E34" t="str">
        <f>IF(TRIM([1]Planilha1!$D34)="Claro","Claro","Concorrente")</f>
        <v>Concorrente</v>
      </c>
      <c r="F34" t="s">
        <v>25</v>
      </c>
      <c r="G34" t="str">
        <f t="shared" ca="1" si="0"/>
        <v>Banda Larga + Movel</v>
      </c>
      <c r="H34" t="s">
        <v>26</v>
      </c>
      <c r="I34" t="str">
        <f ca="1">IF([1]Planilha1!$F34="","",TRIM([1]Planilha1!$F34))</f>
        <v>Fibra</v>
      </c>
      <c r="J34" s="11" t="s">
        <v>27</v>
      </c>
      <c r="K34" s="4" cm="1">
        <f t="array" aca="1" ref="K34" ca="1">IFERROR(VALUE(_xlfn.REGEXEXTRACT([1]Planilha1!$E34,"\+\s*(\d+)GB",2)),"")</f>
        <v>70</v>
      </c>
      <c r="L34" s="5">
        <v>160</v>
      </c>
      <c r="M34" s="5" t="str">
        <f ca="1">IF([1]Planilha1!$I34="","",[1]Planilha1!$I34)</f>
        <v/>
      </c>
      <c r="N34" s="2" t="str" cm="1">
        <f t="array" aca="1" ref="N34" ca="1">IFERROR(VALUE(_xlfn.REGEXEXTRACT([1]Planilha1!$E34,"(\d+)\s*MESES",2)),IFERROR(VALUE(_xlfn.REGEXEXTRACT([1]Planilha1!$E34,"por\s*(\d+)\s*M",2)),IF(_xlfn.REGEXTEST([1]Planilha1!$E34,"1[ºª]"),1,"")))</f>
        <v/>
      </c>
      <c r="O34" s="6" t="str">
        <f t="shared" si="1"/>
        <v/>
      </c>
      <c r="P34" t="str">
        <f ca="1">IF([1]Planilha1!$J34="","",TRIM([1]Planilha1!$J34))</f>
        <v>0</v>
      </c>
      <c r="Q34" s="7">
        <f ca="1">IF($D34="Claro","",IFERROR($L34-VLOOKUP($B34&amp;"|Claro",[1]AUX_CLARO!$A:$C,2,FALSE),""))</f>
        <v>20.099999999999994</v>
      </c>
      <c r="R34" s="8" t="str">
        <f ca="1">IF($D34="Claro","",IFERROR($J34-VLOOKUP($B34&amp;"|Claro",[1]AUX_CLARO!$A:$C,3,FALSE),""))</f>
        <v/>
      </c>
      <c r="S34" t="str">
        <f t="shared" ca="1" si="2"/>
        <v>Claro mais barata</v>
      </c>
      <c r="T34" t="str">
        <f t="shared" ca="1" si="3"/>
        <v/>
      </c>
      <c r="U34" s="9">
        <f t="shared" si="4"/>
        <v>46174</v>
      </c>
      <c r="V34" t="str">
        <f ca="1">IF(OR([1]Planilha1!$B34="",[1]Planilha1!$B34="NÃO MAPEADO"),"",TRIM([1]Planilha1!$B34))</f>
        <v>NOROESTE</v>
      </c>
      <c r="W34" t="str">
        <f ca="1">IF([1]Planilha1!$C34="","",TRIM([1]Planilha1!$C34))</f>
        <v>MD 2</v>
      </c>
      <c r="X34" t="str">
        <f ca="1">IFERROR(VLOOKUP($C34,[1]Planilha2!$B:$H,7,FALSE),"")</f>
        <v>16000-001</v>
      </c>
    </row>
    <row r="35" spans="1:24" x14ac:dyDescent="0.35">
      <c r="A35" t="str">
        <f ca="1">IF(LEFT(TEXT([1]Planilha1!$L35,"0000000"),1)="5","MS","SP")</f>
        <v>SP</v>
      </c>
      <c r="B35" t="str">
        <f ca="1">IF(RIGHT([1]Planilha1!$A35,5)=" - MS",LEFT([1]Planilha1!$A35,LEN([1]Planilha1!$A35)-5),TRIM([1]Planilha1!$A35))</f>
        <v>ARACATUBA</v>
      </c>
      <c r="C35" s="2">
        <f ca="1">[1]Planilha1!$L35</f>
        <v>3502804</v>
      </c>
      <c r="D35" t="str">
        <f>TRIM([1]Planilha1!$D35)</f>
        <v>Vero</v>
      </c>
      <c r="E35" t="str">
        <f>IF(TRIM([1]Planilha1!$D35)="Claro","Claro","Concorrente")</f>
        <v>Concorrente</v>
      </c>
      <c r="F35" t="s">
        <v>30</v>
      </c>
      <c r="G35" t="str">
        <f t="shared" ca="1" si="0"/>
        <v>Banda Larga + Movel</v>
      </c>
      <c r="H35" t="str">
        <f ca="1">TRIM([1]Planilha1!$E35)</f>
        <v>850M+60GB=R$149,99 (C/ GLOBOPLAY, HBO, DISNEY+)</v>
      </c>
      <c r="I35" t="str">
        <f ca="1">IF([1]Planilha1!$F35="","",TRIM([1]Planilha1!$F35))</f>
        <v>Fibra</v>
      </c>
      <c r="J35" s="3">
        <f ca="1">IF([1]Planilha1!$G35="","",[1]Planilha1!$G35)</f>
        <v>850</v>
      </c>
      <c r="K35" s="4" cm="1">
        <f t="array" aca="1" ref="K35" ca="1">IFERROR(VALUE(_xlfn.REGEXEXTRACT([1]Planilha1!$E35,"\+\s*(\d+)GB",2)),"")</f>
        <v>60</v>
      </c>
      <c r="L35" s="5">
        <f ca="1">IF([1]Planilha1!$H35="","",[1]Planilha1!$H35)</f>
        <v>149.99</v>
      </c>
      <c r="M35" s="5" t="str">
        <f ca="1">IF([1]Planilha1!$I35="","",[1]Planilha1!$I35)</f>
        <v/>
      </c>
      <c r="N35" s="2" t="str" cm="1">
        <f t="array" aca="1" ref="N35" ca="1">IFERROR(VALUE(_xlfn.REGEXEXTRACT([1]Planilha1!$E35,"(\d+)\s*MESES",2)),IFERROR(VALUE(_xlfn.REGEXEXTRACT([1]Planilha1!$E35,"por\s*(\d+)\s*M",2)),IF(_xlfn.REGEXTEST([1]Planilha1!$E35,"1[ºª]"),1,"")))</f>
        <v/>
      </c>
      <c r="O35" s="6">
        <f t="shared" ca="1" si="1"/>
        <v>0.17645882352941178</v>
      </c>
      <c r="P35" t="str">
        <f ca="1">IF([1]Planilha1!$J35="","",TRIM([1]Planilha1!$J35))</f>
        <v>GLOBOPLAY, HBO, DISNEY+</v>
      </c>
      <c r="Q35" s="7">
        <f ca="1">IF($D35="Claro","",IFERROR($L35-VLOOKUP($B35&amp;"|Claro",[1]AUX_CLARO!$A:$C,2,FALSE),""))</f>
        <v>10.090000000000003</v>
      </c>
      <c r="R35" s="8">
        <f ca="1">IF($D35="Claro","",IFERROR($J35-VLOOKUP($B35&amp;"|Claro",[1]AUX_CLARO!$A:$C,3,FALSE),""))</f>
        <v>250</v>
      </c>
      <c r="S35" t="str">
        <f t="shared" ca="1" si="2"/>
        <v>Claro mais barata</v>
      </c>
      <c r="T35" t="str">
        <f t="shared" ca="1" si="3"/>
        <v>Claro com menor velocidade</v>
      </c>
      <c r="U35" s="9">
        <f t="shared" si="4"/>
        <v>46174</v>
      </c>
      <c r="V35" t="str">
        <f ca="1">IF(OR([1]Planilha1!$B35="",[1]Planilha1!$B35="NÃO MAPEADO"),"",TRIM([1]Planilha1!$B35))</f>
        <v>NOROESTE</v>
      </c>
      <c r="W35" t="str">
        <f ca="1">IF([1]Planilha1!$C35="","",TRIM([1]Planilha1!$C35))</f>
        <v>MD 2</v>
      </c>
      <c r="X35" t="str">
        <f ca="1">IFERROR(VLOOKUP($C35,[1]Planilha2!$B:$H,7,FALSE),"")</f>
        <v>16000-001</v>
      </c>
    </row>
    <row r="36" spans="1:24" x14ac:dyDescent="0.35">
      <c r="A36" t="str">
        <f ca="1">IF(LEFT(TEXT([1]Planilha1!$L36,"0000000"),1)="5","MS","SP")</f>
        <v>SP</v>
      </c>
      <c r="B36" t="str">
        <f ca="1">IF(RIGHT([1]Planilha1!$A36,5)=" - MS",LEFT([1]Planilha1!$A36,LEN([1]Planilha1!$A36)-5),TRIM([1]Planilha1!$A36))</f>
        <v>ARACATUBA</v>
      </c>
      <c r="C36" s="2">
        <f ca="1">[1]Planilha1!$L36</f>
        <v>3502804</v>
      </c>
      <c r="D36" t="str">
        <f>TRIM([1]Planilha1!$D36)</f>
        <v>ISP LOCAL</v>
      </c>
      <c r="E36" t="str">
        <f>IF(TRIM([1]Planilha1!$D36)="Claro","Claro","Concorrente")</f>
        <v>Concorrente</v>
      </c>
      <c r="F36" t="s">
        <v>37</v>
      </c>
      <c r="G36" t="str">
        <f t="shared" ca="1" si="0"/>
        <v>Banda Larga + Conteudo</v>
      </c>
      <c r="H36" t="str">
        <f ca="1">TRIM([1]Planilha1!$E36)</f>
        <v>VOTI - 800M R$39,90 - 3 MESES, APÓS R$99,90</v>
      </c>
      <c r="I36" t="str">
        <f ca="1">IF([1]Planilha1!$F36="","",TRIM([1]Planilha1!$F36))</f>
        <v>Fibra</v>
      </c>
      <c r="J36" s="3">
        <f ca="1">IF([1]Planilha1!$G36="","",[1]Planilha1!$G36)</f>
        <v>800</v>
      </c>
      <c r="K36" s="4" t="str" cm="1">
        <f t="array" aca="1" ref="K36" ca="1">IFERROR(VALUE(_xlfn.REGEXEXTRACT([1]Planilha1!$E36,"\+\s*(\d+)GB",2)),"")</f>
        <v/>
      </c>
      <c r="L36" s="5">
        <f ca="1">IF([1]Planilha1!$H36="","",[1]Planilha1!$H36)</f>
        <v>99.9</v>
      </c>
      <c r="M36" s="5">
        <f ca="1">IF([1]Planilha1!$I36="","",[1]Planilha1!$I36)</f>
        <v>39.9</v>
      </c>
      <c r="N36" s="2" cm="1">
        <f t="array" aca="1" ref="N36" ca="1">IFERROR(VALUE(_xlfn.REGEXEXTRACT([1]Planilha1!$E36,"(\d+)\s*MESES",2)),IFERROR(VALUE(_xlfn.REGEXEXTRACT([1]Planilha1!$E36,"por\s*(\d+)\s*M",2)),IF(_xlfn.REGEXTEST([1]Planilha1!$E36,"1[ºª]"),1,"")))</f>
        <v>3</v>
      </c>
      <c r="O36" s="6">
        <f t="shared" ca="1" si="1"/>
        <v>0.12487500000000001</v>
      </c>
      <c r="P36" t="str">
        <f ca="1">IF([1]Planilha1!$J36="","",TRIM([1]Planilha1!$J36))</f>
        <v>0</v>
      </c>
      <c r="Q36" s="7">
        <f ca="1">IF($D36="Claro","",IFERROR($L36-VLOOKUP($B36&amp;"|Claro",[1]AUX_CLARO!$A:$C,2,FALSE),""))</f>
        <v>-40</v>
      </c>
      <c r="R36" s="8">
        <f ca="1">IF($D36="Claro","",IFERROR($J36-VLOOKUP($B36&amp;"|Claro",[1]AUX_CLARO!$A:$C,3,FALSE),""))</f>
        <v>200</v>
      </c>
      <c r="S36" t="str">
        <f t="shared" ca="1" si="2"/>
        <v>Claro mais cara</v>
      </c>
      <c r="T36" t="str">
        <f t="shared" ca="1" si="3"/>
        <v>Claro com menor velocidade</v>
      </c>
      <c r="U36" s="9">
        <f t="shared" si="4"/>
        <v>46174</v>
      </c>
      <c r="V36" t="str">
        <f ca="1">IF(OR([1]Planilha1!$B36="",[1]Planilha1!$B36="NÃO MAPEADO"),"",TRIM([1]Planilha1!$B36))</f>
        <v>NOROESTE</v>
      </c>
      <c r="W36" t="str">
        <f ca="1">IF([1]Planilha1!$C36="","",TRIM([1]Planilha1!$C36))</f>
        <v>MD 2</v>
      </c>
      <c r="X36" t="str">
        <f ca="1">IFERROR(VLOOKUP($C36,[1]Planilha2!$B:$H,7,FALSE),"")</f>
        <v>16000-001</v>
      </c>
    </row>
    <row r="37" spans="1:24" x14ac:dyDescent="0.35">
      <c r="A37" t="str">
        <f ca="1">IF(LEFT(TEXT([1]Planilha1!$L37,"0000000"),1)="5","MS","SP")</f>
        <v>SP</v>
      </c>
      <c r="B37" t="str">
        <f ca="1">IF(RIGHT([1]Planilha1!$A37,5)=" - MS",LEFT([1]Planilha1!$A37,LEN([1]Planilha1!$A37)-5),TRIM([1]Planilha1!$A37))</f>
        <v>ARARAQUARA</v>
      </c>
      <c r="C37" s="2">
        <f ca="1">[1]Planilha1!$L37</f>
        <v>3503208</v>
      </c>
      <c r="D37" t="str">
        <f>TRIM([1]Planilha1!$D37)</f>
        <v>Claro</v>
      </c>
      <c r="E37" t="str">
        <f>IF(TRIM([1]Planilha1!$D37)="Claro","Claro","Concorrente")</f>
        <v>Claro</v>
      </c>
      <c r="F37" t="s">
        <v>24</v>
      </c>
      <c r="G37" t="str">
        <f t="shared" ca="1" si="0"/>
        <v>Banda Larga + Movel</v>
      </c>
      <c r="H37" t="str">
        <f ca="1">TRIM([1]Planilha1!$E37)</f>
        <v>1GB+100GB = R$99,90</v>
      </c>
      <c r="I37" t="str">
        <f ca="1">IF([1]Planilha1!$F37="","",TRIM([1]Planilha1!$F37))</f>
        <v>Fibra</v>
      </c>
      <c r="J37" s="3">
        <f ca="1">IF([1]Planilha1!$G37="","",[1]Planilha1!$G37)</f>
        <v>1000</v>
      </c>
      <c r="K37" s="4" cm="1">
        <f t="array" aca="1" ref="K37" ca="1">IFERROR(VALUE(_xlfn.REGEXEXTRACT([1]Planilha1!$E37,"\+\s*(\d+)GB",2)),"")</f>
        <v>100</v>
      </c>
      <c r="L37" s="5">
        <f ca="1">IF([1]Planilha1!$H37="","",[1]Planilha1!$H37)</f>
        <v>99.9</v>
      </c>
      <c r="M37" s="5" t="str">
        <f ca="1">IF([1]Planilha1!$I37="","",[1]Planilha1!$I37)</f>
        <v/>
      </c>
      <c r="N37" s="2" t="str" cm="1">
        <f t="array" aca="1" ref="N37" ca="1">IFERROR(VALUE(_xlfn.REGEXEXTRACT([1]Planilha1!$E37,"(\d+)\s*MESES",2)),IFERROR(VALUE(_xlfn.REGEXEXTRACT([1]Planilha1!$E37,"por\s*(\d+)\s*M",2)),IF(_xlfn.REGEXTEST([1]Planilha1!$E37,"1[ºª]"),1,"")))</f>
        <v/>
      </c>
      <c r="O37" s="6">
        <f t="shared" ca="1" si="1"/>
        <v>9.9900000000000003E-2</v>
      </c>
      <c r="P37" t="str">
        <f ca="1">IF([1]Planilha1!$J37="","",TRIM([1]Planilha1!$J37))</f>
        <v>GLOBOPLAY</v>
      </c>
      <c r="Q37" s="7" t="str">
        <f>IF($D37="Claro","",IFERROR($L37-VLOOKUP($B37&amp;"|Claro",[1]AUX_CLARO!$A:$C,2,FALSE),""))</f>
        <v/>
      </c>
      <c r="R37" s="8" t="str">
        <f>IF($D37="Claro","",IFERROR($J37-VLOOKUP($B37&amp;"|Claro",[1]AUX_CLARO!$A:$C,3,FALSE),""))</f>
        <v/>
      </c>
      <c r="S37" t="str">
        <f t="shared" si="2"/>
        <v/>
      </c>
      <c r="T37" t="str">
        <f t="shared" si="3"/>
        <v/>
      </c>
      <c r="U37" s="9">
        <f t="shared" si="4"/>
        <v>46174</v>
      </c>
      <c r="V37" t="str">
        <f ca="1">IF(OR([1]Planilha1!$B37="",[1]Planilha1!$B37="NÃO MAPEADO"),"",TRIM([1]Planilha1!$B37))</f>
        <v>OESTE</v>
      </c>
      <c r="W37" t="str">
        <f ca="1">IF([1]Planilha1!$C37="","",TRIM([1]Planilha1!$C37))</f>
        <v>RUBI</v>
      </c>
      <c r="X37" t="str">
        <f ca="1">IFERROR(VLOOKUP($C37,[1]Planilha2!$B:$H,7,FALSE),"")</f>
        <v>14800-001</v>
      </c>
    </row>
    <row r="38" spans="1:24" x14ac:dyDescent="0.35">
      <c r="A38" t="str">
        <f ca="1">IF(LEFT(TEXT([1]Planilha1!$L38,"0000000"),1)="5","MS","SP")</f>
        <v>SP</v>
      </c>
      <c r="B38" t="str">
        <f ca="1">IF(RIGHT([1]Planilha1!$A38,5)=" - MS",LEFT([1]Planilha1!$A38,LEN([1]Planilha1!$A38)-5),TRIM([1]Planilha1!$A38))</f>
        <v>ARARAQUARA</v>
      </c>
      <c r="C38" s="2">
        <f ca="1">[1]Planilha1!$L38</f>
        <v>3503208</v>
      </c>
      <c r="D38" t="str">
        <f>TRIM([1]Planilha1!$D38)</f>
        <v>Vivo</v>
      </c>
      <c r="E38" t="str">
        <f>IF(TRIM([1]Planilha1!$D38)="Claro","Claro","Concorrente")</f>
        <v>Concorrente</v>
      </c>
      <c r="F38" t="s">
        <v>25</v>
      </c>
      <c r="G38" t="str">
        <f t="shared" ca="1" si="0"/>
        <v>Banda Larga + Movel</v>
      </c>
      <c r="H38" t="s">
        <v>26</v>
      </c>
      <c r="I38" t="str">
        <f ca="1">IF([1]Planilha1!$F38="","",TRIM([1]Planilha1!$F38))</f>
        <v>Fibra</v>
      </c>
      <c r="J38" s="11" t="s">
        <v>27</v>
      </c>
      <c r="K38" s="4" cm="1">
        <f t="array" aca="1" ref="K38" ca="1">IFERROR(VALUE(_xlfn.REGEXEXTRACT([1]Planilha1!$E38,"\+\s*(\d+)GB",2)),"")</f>
        <v>70</v>
      </c>
      <c r="L38" s="5">
        <v>160</v>
      </c>
      <c r="M38" s="5" t="str">
        <f ca="1">IF([1]Planilha1!$I38="","",[1]Planilha1!$I38)</f>
        <v/>
      </c>
      <c r="N38" s="2" t="str" cm="1">
        <f t="array" aca="1" ref="N38" ca="1">IFERROR(VALUE(_xlfn.REGEXEXTRACT([1]Planilha1!$E38,"(\d+)\s*MESES",2)),IFERROR(VALUE(_xlfn.REGEXEXTRACT([1]Planilha1!$E38,"por\s*(\d+)\s*M",2)),IF(_xlfn.REGEXTEST([1]Planilha1!$E38,"1[ºª]"),1,"")))</f>
        <v/>
      </c>
      <c r="O38" s="6" t="str">
        <f t="shared" si="1"/>
        <v/>
      </c>
      <c r="P38" t="str">
        <f ca="1">IF([1]Planilha1!$J38="","",TRIM([1]Planilha1!$J38))</f>
        <v>0</v>
      </c>
      <c r="Q38" s="7">
        <f ca="1">IF($D38="Claro","",IFERROR($L38-VLOOKUP($B38&amp;"|Claro",[1]AUX_CLARO!$A:$C,2,FALSE),""))</f>
        <v>60.099999999999994</v>
      </c>
      <c r="R38" s="8" t="str">
        <f ca="1">IF($D38="Claro","",IFERROR($J38-VLOOKUP($B38&amp;"|Claro",[1]AUX_CLARO!$A:$C,3,FALSE),""))</f>
        <v/>
      </c>
      <c r="S38" t="str">
        <f t="shared" ca="1" si="2"/>
        <v>Claro mais barata</v>
      </c>
      <c r="T38" t="str">
        <f t="shared" ca="1" si="3"/>
        <v/>
      </c>
      <c r="U38" s="9">
        <f t="shared" si="4"/>
        <v>46174</v>
      </c>
      <c r="V38" t="str">
        <f ca="1">IF(OR([1]Planilha1!$B38="",[1]Planilha1!$B38="NÃO MAPEADO"),"",TRIM([1]Planilha1!$B38))</f>
        <v>OESTE</v>
      </c>
      <c r="W38" t="str">
        <f ca="1">IF([1]Planilha1!$C38="","",TRIM([1]Planilha1!$C38))</f>
        <v>RUBI</v>
      </c>
      <c r="X38" t="str">
        <f ca="1">IFERROR(VLOOKUP($C38,[1]Planilha2!$B:$H,7,FALSE),"")</f>
        <v>14800-001</v>
      </c>
    </row>
    <row r="39" spans="1:24" x14ac:dyDescent="0.35">
      <c r="A39" t="str">
        <f ca="1">IF(LEFT(TEXT([1]Planilha1!$L39,"0000000"),1)="5","MS","SP")</f>
        <v>SP</v>
      </c>
      <c r="B39" t="str">
        <f ca="1">IF(RIGHT([1]Planilha1!$A39,5)=" - MS",LEFT([1]Planilha1!$A39,LEN([1]Planilha1!$A39)-5),TRIM([1]Planilha1!$A39))</f>
        <v>ARARAQUARA</v>
      </c>
      <c r="C39" s="2">
        <f ca="1">[1]Planilha1!$L39</f>
        <v>3503208</v>
      </c>
      <c r="D39" t="str">
        <f>TRIM([1]Planilha1!$D39)</f>
        <v>Desktop</v>
      </c>
      <c r="E39" t="str">
        <f>IF(TRIM([1]Planilha1!$D39)="Claro","Claro","Concorrente")</f>
        <v>Concorrente</v>
      </c>
      <c r="F39" t="s">
        <v>29</v>
      </c>
      <c r="G39" t="str">
        <f t="shared" ca="1" si="0"/>
        <v>Banda Larga + Movel</v>
      </c>
      <c r="H39" t="str">
        <f ca="1">TRIM([1]Planilha1!$E39)</f>
        <v>600M+15GB=R$129,99 - 6 MESES, APÓS R$139,99</v>
      </c>
      <c r="I39" t="str">
        <f ca="1">IF([1]Planilha1!$F39="","",TRIM([1]Planilha1!$F39))</f>
        <v>Fibra</v>
      </c>
      <c r="J39" s="3">
        <f ca="1">IF([1]Planilha1!$G39="","",[1]Planilha1!$G39)</f>
        <v>600</v>
      </c>
      <c r="K39" s="4" cm="1">
        <f t="array" aca="1" ref="K39" ca="1">IFERROR(VALUE(_xlfn.REGEXEXTRACT([1]Planilha1!$E39,"\+\s*(\d+)GB",2)),"")</f>
        <v>15</v>
      </c>
      <c r="L39" s="5">
        <f ca="1">IF([1]Planilha1!$H39="","",[1]Planilha1!$H39)</f>
        <v>139.99</v>
      </c>
      <c r="M39" s="5">
        <f ca="1">IF([1]Planilha1!$I39="","",[1]Planilha1!$I39)</f>
        <v>129.99</v>
      </c>
      <c r="N39" s="2" cm="1">
        <f t="array" aca="1" ref="N39" ca="1">IFERROR(VALUE(_xlfn.REGEXEXTRACT([1]Planilha1!$E39,"(\d+)\s*MESES",2)),IFERROR(VALUE(_xlfn.REGEXEXTRACT([1]Planilha1!$E39,"por\s*(\d+)\s*M",2)),IF(_xlfn.REGEXTEST([1]Planilha1!$E39,"1[ºª]"),1,"")))</f>
        <v>6</v>
      </c>
      <c r="O39" s="6">
        <f t="shared" ca="1" si="1"/>
        <v>0.23331666666666667</v>
      </c>
      <c r="P39" t="str">
        <f ca="1">IF([1]Planilha1!$J39="","",TRIM([1]Planilha1!$J39))</f>
        <v>0</v>
      </c>
      <c r="Q39" s="7">
        <f ca="1">IF($D39="Claro","",IFERROR($L39-VLOOKUP($B39&amp;"|Claro",[1]AUX_CLARO!$A:$C,2,FALSE),""))</f>
        <v>40.090000000000003</v>
      </c>
      <c r="R39" s="8">
        <f ca="1">IF($D39="Claro","",IFERROR($J39-VLOOKUP($B39&amp;"|Claro",[1]AUX_CLARO!$A:$C,3,FALSE),""))</f>
        <v>-400</v>
      </c>
      <c r="S39" t="str">
        <f t="shared" ca="1" si="2"/>
        <v>Claro mais barata</v>
      </c>
      <c r="T39" t="str">
        <f t="shared" ca="1" si="3"/>
        <v>Claro com maior velocidade</v>
      </c>
      <c r="U39" s="9">
        <f t="shared" si="4"/>
        <v>46174</v>
      </c>
      <c r="V39" t="str">
        <f ca="1">IF(OR([1]Planilha1!$B39="",[1]Planilha1!$B39="NÃO MAPEADO"),"",TRIM([1]Planilha1!$B39))</f>
        <v>OESTE</v>
      </c>
      <c r="W39" t="str">
        <f ca="1">IF([1]Planilha1!$C39="","",TRIM([1]Planilha1!$C39))</f>
        <v>RUBI</v>
      </c>
      <c r="X39" t="str">
        <f ca="1">IFERROR(VLOOKUP($C39,[1]Planilha2!$B:$H,7,FALSE),"")</f>
        <v>14800-001</v>
      </c>
    </row>
    <row r="40" spans="1:24" x14ac:dyDescent="0.35">
      <c r="A40" t="str">
        <f ca="1">IF(LEFT(TEXT([1]Planilha1!$L40,"0000000"),1)="5","MS","SP")</f>
        <v>SP</v>
      </c>
      <c r="B40" t="str">
        <f ca="1">IF(RIGHT([1]Planilha1!$A40,5)=" - MS",LEFT([1]Planilha1!$A40,LEN([1]Planilha1!$A40)-5),TRIM([1]Planilha1!$A40))</f>
        <v>ARARAQUARA</v>
      </c>
      <c r="C40" s="2">
        <f ca="1">[1]Planilha1!$L40</f>
        <v>3503208</v>
      </c>
      <c r="D40" t="str">
        <f>TRIM([1]Planilha1!$D40)</f>
        <v>Algar</v>
      </c>
      <c r="E40" t="str">
        <f>IF(TRIM([1]Planilha1!$D40)="Claro","Claro","Concorrente")</f>
        <v>Concorrente</v>
      </c>
      <c r="F40" t="s">
        <v>38</v>
      </c>
      <c r="G40" t="str">
        <f t="shared" ca="1" si="0"/>
        <v>Banda Larga + Conteudo</v>
      </c>
      <c r="H40" t="str">
        <f ca="1">TRIM([1]Planilha1!$E40)</f>
        <v>800M R$99,90</v>
      </c>
      <c r="I40" t="str">
        <f ca="1">IF([1]Planilha1!$F40="","",TRIM([1]Planilha1!$F40))</f>
        <v>Fibra</v>
      </c>
      <c r="J40" s="3">
        <f ca="1">IF([1]Planilha1!$G40="","",[1]Planilha1!$G40)</f>
        <v>800</v>
      </c>
      <c r="K40" s="4" t="str" cm="1">
        <f t="array" aca="1" ref="K40" ca="1">IFERROR(VALUE(_xlfn.REGEXEXTRACT([1]Planilha1!$E40,"\+\s*(\d+)GB",2)),"")</f>
        <v/>
      </c>
      <c r="L40" s="5">
        <f ca="1">IF([1]Planilha1!$H40="","",[1]Planilha1!$H40)</f>
        <v>99.9</v>
      </c>
      <c r="M40" s="5" t="str">
        <f ca="1">IF([1]Planilha1!$I40="","",[1]Planilha1!$I40)</f>
        <v/>
      </c>
      <c r="N40" s="2" t="str" cm="1">
        <f t="array" aca="1" ref="N40" ca="1">IFERROR(VALUE(_xlfn.REGEXEXTRACT([1]Planilha1!$E40,"(\d+)\s*MESES",2)),IFERROR(VALUE(_xlfn.REGEXEXTRACT([1]Planilha1!$E40,"por\s*(\d+)\s*M",2)),IF(_xlfn.REGEXTEST([1]Planilha1!$E40,"1[ºª]"),1,"")))</f>
        <v/>
      </c>
      <c r="O40" s="6">
        <f t="shared" ca="1" si="1"/>
        <v>0.12487500000000001</v>
      </c>
      <c r="P40" t="str">
        <f ca="1">IF([1]Planilha1!$J40="","",TRIM([1]Planilha1!$J40))</f>
        <v>0</v>
      </c>
      <c r="Q40" s="7">
        <f ca="1">IF($D40="Claro","",IFERROR($L40-VLOOKUP($B40&amp;"|Claro",[1]AUX_CLARO!$A:$C,2,FALSE),""))</f>
        <v>0</v>
      </c>
      <c r="R40" s="8">
        <f ca="1">IF($D40="Claro","",IFERROR($J40-VLOOKUP($B40&amp;"|Claro",[1]AUX_CLARO!$A:$C,3,FALSE),""))</f>
        <v>-200</v>
      </c>
      <c r="S40" t="str">
        <f t="shared" ca="1" si="2"/>
        <v>Mesmo preco</v>
      </c>
      <c r="T40" t="str">
        <f t="shared" ca="1" si="3"/>
        <v>Claro com maior velocidade</v>
      </c>
      <c r="U40" s="9">
        <f t="shared" si="4"/>
        <v>46174</v>
      </c>
      <c r="V40" t="str">
        <f ca="1">IF(OR([1]Planilha1!$B40="",[1]Planilha1!$B40="NÃO MAPEADO"),"",TRIM([1]Planilha1!$B40))</f>
        <v>OESTE</v>
      </c>
      <c r="W40" t="str">
        <f ca="1">IF([1]Planilha1!$C40="","",TRIM([1]Planilha1!$C40))</f>
        <v>RUBI</v>
      </c>
      <c r="X40" t="str">
        <f ca="1">IFERROR(VLOOKUP($C40,[1]Planilha2!$B:$H,7,FALSE),"")</f>
        <v>14800-001</v>
      </c>
    </row>
    <row r="41" spans="1:24" x14ac:dyDescent="0.35">
      <c r="A41" t="str">
        <f ca="1">IF(LEFT(TEXT([1]Planilha1!$L41,"0000000"),1)="5","MS","SP")</f>
        <v>SP</v>
      </c>
      <c r="B41" t="str">
        <f ca="1">IF(RIGHT([1]Planilha1!$A41,5)=" - MS",LEFT([1]Planilha1!$A41,LEN([1]Planilha1!$A41)-5),TRIM([1]Planilha1!$A41))</f>
        <v>ARARAQUARA</v>
      </c>
      <c r="C41" s="2">
        <f ca="1">[1]Planilha1!$L41</f>
        <v>3503208</v>
      </c>
      <c r="D41" t="str">
        <f>TRIM([1]Planilha1!$D41)</f>
        <v>Weclix</v>
      </c>
      <c r="E41" t="str">
        <f>IF(TRIM([1]Planilha1!$D41)="Claro","Claro","Concorrente")</f>
        <v>Concorrente</v>
      </c>
      <c r="F41" t="s">
        <v>34</v>
      </c>
      <c r="G41" t="str">
        <f t="shared" ca="1" si="0"/>
        <v>Banda Larga + Conteudo</v>
      </c>
      <c r="H41" t="str">
        <f ca="1">TRIM([1]Planilha1!$E41)</f>
        <v>1GB R$59,90 - 1ª MENSALIDADE, APÓS R$99,90</v>
      </c>
      <c r="I41" t="str">
        <f ca="1">IF([1]Planilha1!$F41="","",TRIM([1]Planilha1!$F41))</f>
        <v>Fibra</v>
      </c>
      <c r="J41" s="3">
        <f ca="1">IF([1]Planilha1!$G41="","",[1]Planilha1!$G41)</f>
        <v>1000</v>
      </c>
      <c r="K41" s="4" t="str" cm="1">
        <f t="array" aca="1" ref="K41" ca="1">IFERROR(VALUE(_xlfn.REGEXEXTRACT([1]Planilha1!$E41,"\+\s*(\d+)GB",2)),"")</f>
        <v/>
      </c>
      <c r="L41" s="5">
        <f ca="1">IF([1]Planilha1!$H41="","",[1]Planilha1!$H41)</f>
        <v>99.9</v>
      </c>
      <c r="M41" s="5">
        <f ca="1">IF([1]Planilha1!$I41="","",[1]Planilha1!$I41)</f>
        <v>59.9</v>
      </c>
      <c r="N41" s="2" cm="1">
        <f t="array" aca="1" ref="N41" ca="1">IFERROR(VALUE(_xlfn.REGEXEXTRACT([1]Planilha1!$E41,"(\d+)\s*MESES",2)),IFERROR(VALUE(_xlfn.REGEXEXTRACT([1]Planilha1!$E41,"por\s*(\d+)\s*M",2)),IF(_xlfn.REGEXTEST([1]Planilha1!$E41,"1[ºª]"),1,"")))</f>
        <v>1</v>
      </c>
      <c r="O41" s="6">
        <f t="shared" ca="1" si="1"/>
        <v>9.9900000000000003E-2</v>
      </c>
      <c r="P41" t="str">
        <f ca="1">IF([1]Planilha1!$J41="","",TRIM([1]Planilha1!$J41))</f>
        <v>0</v>
      </c>
      <c r="Q41" s="7">
        <f ca="1">IF($D41="Claro","",IFERROR($L41-VLOOKUP($B41&amp;"|Claro",[1]AUX_CLARO!$A:$C,2,FALSE),""))</f>
        <v>0</v>
      </c>
      <c r="R41" s="8">
        <f ca="1">IF($D41="Claro","",IFERROR($J41-VLOOKUP($B41&amp;"|Claro",[1]AUX_CLARO!$A:$C,3,FALSE),""))</f>
        <v>0</v>
      </c>
      <c r="S41" t="str">
        <f t="shared" ca="1" si="2"/>
        <v>Mesmo preco</v>
      </c>
      <c r="T41" t="str">
        <f t="shared" ca="1" si="3"/>
        <v>Mesma velocidade</v>
      </c>
      <c r="U41" s="9">
        <f t="shared" si="4"/>
        <v>46174</v>
      </c>
      <c r="V41" t="str">
        <f ca="1">IF(OR([1]Planilha1!$B41="",[1]Planilha1!$B41="NÃO MAPEADO"),"",TRIM([1]Planilha1!$B41))</f>
        <v>OESTE</v>
      </c>
      <c r="W41" t="str">
        <f ca="1">IF([1]Planilha1!$C41="","",TRIM([1]Planilha1!$C41))</f>
        <v>RUBI</v>
      </c>
      <c r="X41" t="str">
        <f ca="1">IFERROR(VLOOKUP($C41,[1]Planilha2!$B:$H,7,FALSE),"")</f>
        <v>14800-001</v>
      </c>
    </row>
    <row r="42" spans="1:24" x14ac:dyDescent="0.35">
      <c r="A42" t="str">
        <f ca="1">IF(LEFT(TEXT([1]Planilha1!$L42,"0000000"),1)="5","MS","SP")</f>
        <v>SP</v>
      </c>
      <c r="B42" t="str">
        <f ca="1">IF(RIGHT([1]Planilha1!$A42,5)=" - MS",LEFT([1]Planilha1!$A42,LEN([1]Planilha1!$A42)-5),TRIM([1]Planilha1!$A42))</f>
        <v>ARARAQUARA</v>
      </c>
      <c r="C42" s="2">
        <f ca="1">[1]Planilha1!$L42</f>
        <v>3503208</v>
      </c>
      <c r="D42" t="str">
        <f>TRIM([1]Planilha1!$D42)</f>
        <v>ISP LOCAL</v>
      </c>
      <c r="E42" t="str">
        <f>IF(TRIM([1]Planilha1!$D42)="Claro","Claro","Concorrente")</f>
        <v>Concorrente</v>
      </c>
      <c r="F42" t="s">
        <v>39</v>
      </c>
      <c r="G42" t="str">
        <f t="shared" ca="1" si="0"/>
        <v>Banda Larga + Conteudo</v>
      </c>
      <c r="H42" t="str">
        <f ca="1">TRIM([1]Planilha1!$E42)</f>
        <v>NETFAST - 600M R$109,99</v>
      </c>
      <c r="I42" t="str">
        <f ca="1">IF([1]Planilha1!$F42="","",TRIM([1]Planilha1!$F42))</f>
        <v>Fibra</v>
      </c>
      <c r="J42" s="3">
        <f ca="1">IF([1]Planilha1!$G42="","",[1]Planilha1!$G42)</f>
        <v>600</v>
      </c>
      <c r="K42" s="4" t="str" cm="1">
        <f t="array" aca="1" ref="K42" ca="1">IFERROR(VALUE(_xlfn.REGEXEXTRACT([1]Planilha1!$E42,"\+\s*(\d+)GB",2)),"")</f>
        <v/>
      </c>
      <c r="L42" s="5">
        <f ca="1">IF([1]Planilha1!$H42="","",[1]Planilha1!$H42)</f>
        <v>109.99</v>
      </c>
      <c r="M42" s="5" t="str">
        <f ca="1">IF([1]Planilha1!$I42="","",[1]Planilha1!$I42)</f>
        <v/>
      </c>
      <c r="N42" s="2" t="str" cm="1">
        <f t="array" aca="1" ref="N42" ca="1">IFERROR(VALUE(_xlfn.REGEXEXTRACT([1]Planilha1!$E42,"(\d+)\s*MESES",2)),IFERROR(VALUE(_xlfn.REGEXEXTRACT([1]Planilha1!$E42,"por\s*(\d+)\s*M",2)),IF(_xlfn.REGEXTEST([1]Planilha1!$E42,"1[ºª]"),1,"")))</f>
        <v/>
      </c>
      <c r="O42" s="6">
        <f t="shared" ca="1" si="1"/>
        <v>0.18331666666666666</v>
      </c>
      <c r="P42" t="str">
        <f ca="1">IF([1]Planilha1!$J42="","",TRIM([1]Planilha1!$J42))</f>
        <v>0</v>
      </c>
      <c r="Q42" s="7">
        <f ca="1">IF($D42="Claro","",IFERROR($L42-VLOOKUP($B42&amp;"|Claro",[1]AUX_CLARO!$A:$C,2,FALSE),""))</f>
        <v>10.089999999999989</v>
      </c>
      <c r="R42" s="8">
        <f ca="1">IF($D42="Claro","",IFERROR($J42-VLOOKUP($B42&amp;"|Claro",[1]AUX_CLARO!$A:$C,3,FALSE),""))</f>
        <v>-400</v>
      </c>
      <c r="S42" t="str">
        <f t="shared" ca="1" si="2"/>
        <v>Claro mais barata</v>
      </c>
      <c r="T42" t="str">
        <f t="shared" ca="1" si="3"/>
        <v>Claro com maior velocidade</v>
      </c>
      <c r="U42" s="9">
        <f t="shared" si="4"/>
        <v>46174</v>
      </c>
      <c r="V42" t="str">
        <f ca="1">IF(OR([1]Planilha1!$B42="",[1]Planilha1!$B42="NÃO MAPEADO"),"",TRIM([1]Planilha1!$B42))</f>
        <v>OESTE</v>
      </c>
      <c r="W42" t="str">
        <f ca="1">IF([1]Planilha1!$C42="","",TRIM([1]Planilha1!$C42))</f>
        <v>RUBI</v>
      </c>
      <c r="X42" t="str">
        <f ca="1">IFERROR(VLOOKUP($C42,[1]Planilha2!$B:$H,7,FALSE),"")</f>
        <v>14800-001</v>
      </c>
    </row>
    <row r="43" spans="1:24" x14ac:dyDescent="0.35">
      <c r="A43" t="str">
        <f ca="1">IF(LEFT(TEXT([1]Planilha1!$L43,"0000000"),1)="5","MS","SP")</f>
        <v>SP</v>
      </c>
      <c r="B43" t="str">
        <f ca="1">IF(RIGHT([1]Planilha1!$A43,5)=" - MS",LEFT([1]Planilha1!$A43,LEN([1]Planilha1!$A43)-5),TRIM([1]Planilha1!$A43))</f>
        <v>ARARAS</v>
      </c>
      <c r="C43" s="2">
        <f ca="1">[1]Planilha1!$L43</f>
        <v>3503307</v>
      </c>
      <c r="D43" t="str">
        <f>TRIM([1]Planilha1!$D43)</f>
        <v>Claro</v>
      </c>
      <c r="E43" t="str">
        <f>IF(TRIM([1]Planilha1!$D43)="Claro","Claro","Concorrente")</f>
        <v>Claro</v>
      </c>
      <c r="F43" t="s">
        <v>24</v>
      </c>
      <c r="G43" t="str">
        <f t="shared" ca="1" si="0"/>
        <v>Banda Larga + Movel</v>
      </c>
      <c r="H43" t="str">
        <f ca="1">TRIM([1]Planilha1!$E43)</f>
        <v>600M+100GB=R$159,90</v>
      </c>
      <c r="I43" t="str">
        <f ca="1">IF([1]Planilha1!$F43="","",TRIM([1]Planilha1!$F43))</f>
        <v>Fibra</v>
      </c>
      <c r="J43" s="3">
        <f ca="1">IF([1]Planilha1!$G43="","",[1]Planilha1!$G43)</f>
        <v>600</v>
      </c>
      <c r="K43" s="4" cm="1">
        <f t="array" aca="1" ref="K43" ca="1">IFERROR(VALUE(_xlfn.REGEXEXTRACT([1]Planilha1!$E43,"\+\s*(\d+)GB",2)),"")</f>
        <v>100</v>
      </c>
      <c r="L43" s="5">
        <f ca="1">IF([1]Planilha1!$H43="","",[1]Planilha1!$H43)</f>
        <v>159.9</v>
      </c>
      <c r="M43" s="5" t="str">
        <f ca="1">IF([1]Planilha1!$I43="","",[1]Planilha1!$I43)</f>
        <v/>
      </c>
      <c r="N43" s="2" t="str" cm="1">
        <f t="array" aca="1" ref="N43" ca="1">IFERROR(VALUE(_xlfn.REGEXEXTRACT([1]Planilha1!$E43,"(\d+)\s*MESES",2)),IFERROR(VALUE(_xlfn.REGEXEXTRACT([1]Planilha1!$E43,"por\s*(\d+)\s*M",2)),IF(_xlfn.REGEXTEST([1]Planilha1!$E43,"1[ºª]"),1,"")))</f>
        <v/>
      </c>
      <c r="O43" s="6">
        <f t="shared" ca="1" si="1"/>
        <v>0.26650000000000001</v>
      </c>
      <c r="P43" t="str">
        <f ca="1">IF([1]Planilha1!$J43="","",TRIM([1]Planilha1!$J43))</f>
        <v>GLOBOPLAY</v>
      </c>
      <c r="Q43" s="7" t="str">
        <f>IF($D43="Claro","",IFERROR($L43-VLOOKUP($B43&amp;"|Claro",[1]AUX_CLARO!$A:$C,2,FALSE),""))</f>
        <v/>
      </c>
      <c r="R43" s="8" t="str">
        <f>IF($D43="Claro","",IFERROR($J43-VLOOKUP($B43&amp;"|Claro",[1]AUX_CLARO!$A:$C,3,FALSE),""))</f>
        <v/>
      </c>
      <c r="S43" t="str">
        <f t="shared" si="2"/>
        <v/>
      </c>
      <c r="T43" t="str">
        <f t="shared" si="3"/>
        <v/>
      </c>
      <c r="U43" s="9">
        <f t="shared" si="4"/>
        <v>46174</v>
      </c>
      <c r="V43" t="str">
        <f ca="1">IF(OR([1]Planilha1!$B43="",[1]Planilha1!$B43="NÃO MAPEADO"),"",TRIM([1]Planilha1!$B43))</f>
        <v>CENTRAL</v>
      </c>
      <c r="W43" t="str">
        <f ca="1">IF([1]Planilha1!$C43="","",TRIM([1]Planilha1!$C43))</f>
        <v>PADRÃO</v>
      </c>
      <c r="X43" t="str">
        <f ca="1">IFERROR(VLOOKUP($C43,[1]Planilha2!$B:$H,7,FALSE),"")</f>
        <v>13600-001</v>
      </c>
    </row>
    <row r="44" spans="1:24" x14ac:dyDescent="0.35">
      <c r="A44" t="str">
        <f ca="1">IF(LEFT(TEXT([1]Planilha1!$L44,"0000000"),1)="5","MS","SP")</f>
        <v>SP</v>
      </c>
      <c r="B44" t="str">
        <f ca="1">IF(RIGHT([1]Planilha1!$A44,5)=" - MS",LEFT([1]Planilha1!$A44,LEN([1]Planilha1!$A44)-5),TRIM([1]Planilha1!$A44))</f>
        <v>ARARAS</v>
      </c>
      <c r="C44" s="2">
        <f ca="1">[1]Planilha1!$L44</f>
        <v>3503307</v>
      </c>
      <c r="D44" t="str">
        <f>TRIM([1]Planilha1!$D44)</f>
        <v>Vivo</v>
      </c>
      <c r="E44" t="str">
        <f>IF(TRIM([1]Planilha1!$D44)="Claro","Claro","Concorrente")</f>
        <v>Concorrente</v>
      </c>
      <c r="F44" t="s">
        <v>25</v>
      </c>
      <c r="G44" t="str">
        <f t="shared" ca="1" si="0"/>
        <v>Banda Larga + Movel</v>
      </c>
      <c r="H44" t="s">
        <v>26</v>
      </c>
      <c r="I44" t="str">
        <f ca="1">IF([1]Planilha1!$F44="","",TRIM([1]Planilha1!$F44))</f>
        <v>Fibra</v>
      </c>
      <c r="J44" s="11" t="s">
        <v>27</v>
      </c>
      <c r="K44" s="4" cm="1">
        <f t="array" aca="1" ref="K44" ca="1">IFERROR(VALUE(_xlfn.REGEXEXTRACT([1]Planilha1!$E44,"\+\s*(\d+)GB",2)),"")</f>
        <v>70</v>
      </c>
      <c r="L44" s="5">
        <v>160</v>
      </c>
      <c r="M44" s="5" t="str">
        <f ca="1">IF([1]Planilha1!$I44="","",[1]Planilha1!$I44)</f>
        <v/>
      </c>
      <c r="N44" s="2" t="str" cm="1">
        <f t="array" aca="1" ref="N44" ca="1">IFERROR(VALUE(_xlfn.REGEXEXTRACT([1]Planilha1!$E44,"(\d+)\s*MESES",2)),IFERROR(VALUE(_xlfn.REGEXEXTRACT([1]Planilha1!$E44,"por\s*(\d+)\s*M",2)),IF(_xlfn.REGEXTEST([1]Planilha1!$E44,"1[ºª]"),1,"")))</f>
        <v/>
      </c>
      <c r="O44" s="6" t="str">
        <f t="shared" si="1"/>
        <v/>
      </c>
      <c r="P44" t="str">
        <f ca="1">IF([1]Planilha1!$J44="","",TRIM([1]Planilha1!$J44))</f>
        <v>0</v>
      </c>
      <c r="Q44" s="7">
        <f ca="1">IF($D44="Claro","",IFERROR($L44-VLOOKUP($B44&amp;"|Claro",[1]AUX_CLARO!$A:$C,2,FALSE),""))</f>
        <v>9.9999999999994316E-2</v>
      </c>
      <c r="R44" s="8" t="str">
        <f ca="1">IF($D44="Claro","",IFERROR($J44-VLOOKUP($B44&amp;"|Claro",[1]AUX_CLARO!$A:$C,3,FALSE),""))</f>
        <v/>
      </c>
      <c r="S44" t="str">
        <f t="shared" ca="1" si="2"/>
        <v>Claro mais barata</v>
      </c>
      <c r="T44" t="str">
        <f t="shared" ca="1" si="3"/>
        <v/>
      </c>
      <c r="U44" s="9">
        <f t="shared" si="4"/>
        <v>46174</v>
      </c>
      <c r="V44" t="str">
        <f ca="1">IF(OR([1]Planilha1!$B44="",[1]Planilha1!$B44="NÃO MAPEADO"),"",TRIM([1]Planilha1!$B44))</f>
        <v>CENTRAL</v>
      </c>
      <c r="W44" t="str">
        <f ca="1">IF([1]Planilha1!$C44="","",TRIM([1]Planilha1!$C44))</f>
        <v>PADRÃO</v>
      </c>
      <c r="X44" t="str">
        <f ca="1">IFERROR(VLOOKUP($C44,[1]Planilha2!$B:$H,7,FALSE),"")</f>
        <v>13600-001</v>
      </c>
    </row>
    <row r="45" spans="1:24" x14ac:dyDescent="0.35">
      <c r="A45" t="str">
        <f ca="1">IF(LEFT(TEXT([1]Planilha1!$L45,"0000000"),1)="5","MS","SP")</f>
        <v>SP</v>
      </c>
      <c r="B45" t="str">
        <f ca="1">IF(RIGHT([1]Planilha1!$A45,5)=" - MS",LEFT([1]Planilha1!$A45,LEN([1]Planilha1!$A45)-5),TRIM([1]Planilha1!$A45))</f>
        <v>ARARAS</v>
      </c>
      <c r="C45" s="2">
        <f ca="1">[1]Planilha1!$L45</f>
        <v>3503307</v>
      </c>
      <c r="D45" t="str">
        <f>TRIM([1]Planilha1!$D45)</f>
        <v>Desktop</v>
      </c>
      <c r="E45" t="str">
        <f>IF(TRIM([1]Planilha1!$D45)="Claro","Claro","Concorrente")</f>
        <v>Concorrente</v>
      </c>
      <c r="F45" t="s">
        <v>29</v>
      </c>
      <c r="G45" t="str">
        <f t="shared" ca="1" si="0"/>
        <v>Banda Larga + Conteudo</v>
      </c>
      <c r="H45" t="str">
        <f ca="1">TRIM([1]Planilha1!$E45)</f>
        <v>600M=R$49,99 por 2M, após R$89,99</v>
      </c>
      <c r="I45" t="str">
        <f ca="1">IF([1]Planilha1!$F45="","",TRIM([1]Planilha1!$F45))</f>
        <v>Fibra</v>
      </c>
      <c r="J45" s="3">
        <f ca="1">IF([1]Planilha1!$G45="","",[1]Planilha1!$G45)</f>
        <v>600</v>
      </c>
      <c r="K45" s="4" t="str" cm="1">
        <f t="array" aca="1" ref="K45" ca="1">IFERROR(VALUE(_xlfn.REGEXEXTRACT([1]Planilha1!$E45,"\+\s*(\d+)GB",2)),"")</f>
        <v/>
      </c>
      <c r="L45" s="5">
        <f ca="1">IF([1]Planilha1!$H45="","",[1]Planilha1!$H45)</f>
        <v>89.99</v>
      </c>
      <c r="M45" s="5">
        <f ca="1">IF([1]Planilha1!$I45="","",[1]Planilha1!$I45)</f>
        <v>49.99</v>
      </c>
      <c r="N45" s="2" cm="1">
        <f t="array" aca="1" ref="N45" ca="1">IFERROR(VALUE(_xlfn.REGEXEXTRACT([1]Planilha1!$E45,"(\d+)\s*MESES",2)),IFERROR(VALUE(_xlfn.REGEXEXTRACT([1]Planilha1!$E45,"por\s*(\d+)\s*M",2)),IF(_xlfn.REGEXTEST([1]Planilha1!$E45,"1[ºª]"),1,"")))</f>
        <v>2</v>
      </c>
      <c r="O45" s="6">
        <f t="shared" ca="1" si="1"/>
        <v>0.14998333333333333</v>
      </c>
      <c r="P45" t="str">
        <f ca="1">IF([1]Planilha1!$J45="","",TRIM([1]Planilha1!$J45))</f>
        <v>0</v>
      </c>
      <c r="Q45" s="7">
        <f ca="1">IF($D45="Claro","",IFERROR($L45-VLOOKUP($B45&amp;"|Claro",[1]AUX_CLARO!$A:$C,2,FALSE),""))</f>
        <v>-69.910000000000011</v>
      </c>
      <c r="R45" s="8">
        <f ca="1">IF($D45="Claro","",IFERROR($J45-VLOOKUP($B45&amp;"|Claro",[1]AUX_CLARO!$A:$C,3,FALSE),""))</f>
        <v>0</v>
      </c>
      <c r="S45" t="str">
        <f t="shared" ca="1" si="2"/>
        <v>Claro mais cara</v>
      </c>
      <c r="T45" t="str">
        <f t="shared" ca="1" si="3"/>
        <v>Mesma velocidade</v>
      </c>
      <c r="U45" s="9">
        <f t="shared" si="4"/>
        <v>46174</v>
      </c>
      <c r="V45" t="str">
        <f ca="1">IF(OR([1]Planilha1!$B45="",[1]Planilha1!$B45="NÃO MAPEADO"),"",TRIM([1]Planilha1!$B45))</f>
        <v>CENTRAL</v>
      </c>
      <c r="W45" t="str">
        <f ca="1">IF([1]Planilha1!$C45="","",TRIM([1]Planilha1!$C45))</f>
        <v>PADRÃO</v>
      </c>
      <c r="X45" t="str">
        <f ca="1">IFERROR(VLOOKUP($C45,[1]Planilha2!$B:$H,7,FALSE),"")</f>
        <v>13600-001</v>
      </c>
    </row>
    <row r="46" spans="1:24" x14ac:dyDescent="0.35">
      <c r="A46" t="str">
        <f ca="1">IF(LEFT(TEXT([1]Planilha1!$L46,"0000000"),1)="5","MS","SP")</f>
        <v>SP</v>
      </c>
      <c r="B46" t="str">
        <f ca="1">IF(RIGHT([1]Planilha1!$A46,5)=" - MS",LEFT([1]Planilha1!$A46,LEN([1]Planilha1!$A46)-5),TRIM([1]Planilha1!$A46))</f>
        <v>ARARAS</v>
      </c>
      <c r="C46" s="2">
        <f ca="1">[1]Planilha1!$L46</f>
        <v>3503307</v>
      </c>
      <c r="D46" t="str">
        <f>TRIM([1]Planilha1!$D46)</f>
        <v>Alares</v>
      </c>
      <c r="E46" t="str">
        <f>IF(TRIM([1]Planilha1!$D46)="Claro","Claro","Concorrente")</f>
        <v>Concorrente</v>
      </c>
      <c r="F46" t="s">
        <v>32</v>
      </c>
      <c r="G46" t="str">
        <f t="shared" ca="1" si="0"/>
        <v>Banda Larga + Conteudo</v>
      </c>
      <c r="H46" t="str">
        <f ca="1">TRIM([1]Planilha1!$E46)</f>
        <v>1GB + GLOBOPLAY R$99,90</v>
      </c>
      <c r="I46" t="str">
        <f ca="1">IF([1]Planilha1!$F46="","",TRIM([1]Planilha1!$F46))</f>
        <v>Fibra</v>
      </c>
      <c r="J46" s="3">
        <f ca="1">IF([1]Planilha1!$G46="","",[1]Planilha1!$G46)</f>
        <v>1000</v>
      </c>
      <c r="K46" s="4" t="str" cm="1">
        <f t="array" aca="1" ref="K46" ca="1">IFERROR(VALUE(_xlfn.REGEXEXTRACT([1]Planilha1!$E46,"\+\s*(\d+)GB",2)),"")</f>
        <v/>
      </c>
      <c r="L46" s="5">
        <f ca="1">IF([1]Planilha1!$H46="","",[1]Planilha1!$H46)</f>
        <v>99.9</v>
      </c>
      <c r="M46" s="5" t="str">
        <f ca="1">IF([1]Planilha1!$I46="","",[1]Planilha1!$I46)</f>
        <v/>
      </c>
      <c r="N46" s="2" t="str" cm="1">
        <f t="array" aca="1" ref="N46" ca="1">IFERROR(VALUE(_xlfn.REGEXEXTRACT([1]Planilha1!$E46,"(\d+)\s*MESES",2)),IFERROR(VALUE(_xlfn.REGEXEXTRACT([1]Planilha1!$E46,"por\s*(\d+)\s*M",2)),IF(_xlfn.REGEXTEST([1]Planilha1!$E46,"1[ºª]"),1,"")))</f>
        <v/>
      </c>
      <c r="O46" s="6">
        <f t="shared" ca="1" si="1"/>
        <v>9.9900000000000003E-2</v>
      </c>
      <c r="P46" t="str">
        <f ca="1">IF([1]Planilha1!$J46="","",TRIM([1]Planilha1!$J46))</f>
        <v>GLOBOPLAY</v>
      </c>
      <c r="Q46" s="7">
        <f ca="1">IF($D46="Claro","",IFERROR($L46-VLOOKUP($B46&amp;"|Claro",[1]AUX_CLARO!$A:$C,2,FALSE),""))</f>
        <v>-60</v>
      </c>
      <c r="R46" s="8">
        <f ca="1">IF($D46="Claro","",IFERROR($J46-VLOOKUP($B46&amp;"|Claro",[1]AUX_CLARO!$A:$C,3,FALSE),""))</f>
        <v>400</v>
      </c>
      <c r="S46" t="str">
        <f t="shared" ca="1" si="2"/>
        <v>Claro mais cara</v>
      </c>
      <c r="T46" t="str">
        <f t="shared" ca="1" si="3"/>
        <v>Claro com menor velocidade</v>
      </c>
      <c r="U46" s="9">
        <f t="shared" si="4"/>
        <v>46174</v>
      </c>
      <c r="V46" t="str">
        <f ca="1">IF(OR([1]Planilha1!$B46="",[1]Planilha1!$B46="NÃO MAPEADO"),"",TRIM([1]Planilha1!$B46))</f>
        <v>CENTRAL</v>
      </c>
      <c r="W46" t="str">
        <f ca="1">IF([1]Planilha1!$C46="","",TRIM([1]Planilha1!$C46))</f>
        <v>PADRÃO</v>
      </c>
      <c r="X46" t="str">
        <f ca="1">IFERROR(VLOOKUP($C46,[1]Planilha2!$B:$H,7,FALSE),"")</f>
        <v>13600-001</v>
      </c>
    </row>
    <row r="47" spans="1:24" x14ac:dyDescent="0.35">
      <c r="A47" t="str">
        <f ca="1">IF(LEFT(TEXT([1]Planilha1!$L47,"0000000"),1)="5","MS","SP")</f>
        <v>SP</v>
      </c>
      <c r="B47" t="str">
        <f ca="1">IF(RIGHT([1]Planilha1!$A47,5)=" - MS",LEFT([1]Planilha1!$A47,LEN([1]Planilha1!$A47)-5),TRIM([1]Planilha1!$A47))</f>
        <v>ARARAS</v>
      </c>
      <c r="C47" s="2">
        <f ca="1">[1]Planilha1!$L47</f>
        <v>3503307</v>
      </c>
      <c r="D47" t="str">
        <f>TRIM([1]Planilha1!$D47)</f>
        <v>ISP LOCAL</v>
      </c>
      <c r="E47" t="str">
        <f>IF(TRIM([1]Planilha1!$D47)="Claro","Claro","Concorrente")</f>
        <v>Concorrente</v>
      </c>
      <c r="F47" t="s">
        <v>40</v>
      </c>
      <c r="G47" t="str">
        <f t="shared" ca="1" si="0"/>
        <v>Banda Larga + Conteudo</v>
      </c>
      <c r="H47" t="str">
        <f ca="1">TRIM([1]Planilha1!$E47)</f>
        <v>XTURBO - 600M R$99,90</v>
      </c>
      <c r="I47" t="str">
        <f ca="1">IF([1]Planilha1!$F47="","",TRIM([1]Planilha1!$F47))</f>
        <v>Fibra</v>
      </c>
      <c r="J47" s="3">
        <f ca="1">IF([1]Planilha1!$G47="","",[1]Planilha1!$G47)</f>
        <v>600</v>
      </c>
      <c r="K47" s="4" t="str" cm="1">
        <f t="array" aca="1" ref="K47" ca="1">IFERROR(VALUE(_xlfn.REGEXEXTRACT([1]Planilha1!$E47,"\+\s*(\d+)GB",2)),"")</f>
        <v/>
      </c>
      <c r="L47" s="5">
        <f ca="1">IF([1]Planilha1!$H47="","",[1]Planilha1!$H47)</f>
        <v>99.9</v>
      </c>
      <c r="M47" s="5" t="str">
        <f ca="1">IF([1]Planilha1!$I47="","",[1]Planilha1!$I47)</f>
        <v/>
      </c>
      <c r="N47" s="2" t="str" cm="1">
        <f t="array" aca="1" ref="N47" ca="1">IFERROR(VALUE(_xlfn.REGEXEXTRACT([1]Planilha1!$E47,"(\d+)\s*MESES",2)),IFERROR(VALUE(_xlfn.REGEXEXTRACT([1]Planilha1!$E47,"por\s*(\d+)\s*M",2)),IF(_xlfn.REGEXTEST([1]Planilha1!$E47,"1[ºª]"),1,"")))</f>
        <v/>
      </c>
      <c r="O47" s="6">
        <f t="shared" ca="1" si="1"/>
        <v>0.16650000000000001</v>
      </c>
      <c r="P47" t="str">
        <f ca="1">IF([1]Planilha1!$J47="","",TRIM([1]Planilha1!$J47))</f>
        <v>0</v>
      </c>
      <c r="Q47" s="7">
        <f ca="1">IF($D47="Claro","",IFERROR($L47-VLOOKUP($B47&amp;"|Claro",[1]AUX_CLARO!$A:$C,2,FALSE),""))</f>
        <v>-60</v>
      </c>
      <c r="R47" s="8">
        <f ca="1">IF($D47="Claro","",IFERROR($J47-VLOOKUP($B47&amp;"|Claro",[1]AUX_CLARO!$A:$C,3,FALSE),""))</f>
        <v>0</v>
      </c>
      <c r="S47" t="str">
        <f t="shared" ca="1" si="2"/>
        <v>Claro mais cara</v>
      </c>
      <c r="T47" t="str">
        <f t="shared" ca="1" si="3"/>
        <v>Mesma velocidade</v>
      </c>
      <c r="U47" s="9">
        <f t="shared" si="4"/>
        <v>46174</v>
      </c>
      <c r="V47" t="str">
        <f ca="1">IF(OR([1]Planilha1!$B47="",[1]Planilha1!$B47="NÃO MAPEADO"),"",TRIM([1]Planilha1!$B47))</f>
        <v>CENTRAL</v>
      </c>
      <c r="W47" t="str">
        <f ca="1">IF([1]Planilha1!$C47="","",TRIM([1]Planilha1!$C47))</f>
        <v>PADRÃO</v>
      </c>
      <c r="X47" t="str">
        <f ca="1">IFERROR(VLOOKUP($C47,[1]Planilha2!$B:$H,7,FALSE),"")</f>
        <v>13600-001</v>
      </c>
    </row>
    <row r="48" spans="1:24" x14ac:dyDescent="0.35">
      <c r="A48" t="str">
        <f ca="1">IF(LEFT(TEXT([1]Planilha1!$L48,"0000000"),1)="5","MS","SP")</f>
        <v>SP</v>
      </c>
      <c r="B48" t="str">
        <f ca="1">IF(RIGHT([1]Planilha1!$A48,5)=" - MS",LEFT([1]Planilha1!$A48,LEN([1]Planilha1!$A48)-5),TRIM([1]Planilha1!$A48))</f>
        <v>ARTUR NOGUEIRA</v>
      </c>
      <c r="C48" s="2">
        <f ca="1">[1]Planilha1!$L48</f>
        <v>3503802</v>
      </c>
      <c r="D48" t="str">
        <f>TRIM([1]Planilha1!$D48)</f>
        <v>Claro</v>
      </c>
      <c r="E48" t="str">
        <f>IF(TRIM([1]Planilha1!$D48)="Claro","Claro","Concorrente")</f>
        <v>Claro</v>
      </c>
      <c r="F48" t="s">
        <v>24</v>
      </c>
      <c r="G48" t="str">
        <f t="shared" ca="1" si="0"/>
        <v>Banda Larga + Movel</v>
      </c>
      <c r="H48" t="str">
        <f ca="1">TRIM([1]Planilha1!$E48)</f>
        <v>600M+100GB=R$119,90 por 3M, após R$159,90</v>
      </c>
      <c r="I48" t="str">
        <f ca="1">IF([1]Planilha1!$F48="","",TRIM([1]Planilha1!$F48))</f>
        <v>Fibra</v>
      </c>
      <c r="J48" s="3">
        <f ca="1">IF([1]Planilha1!$G48="","",[1]Planilha1!$G48)</f>
        <v>600</v>
      </c>
      <c r="K48" s="4" cm="1">
        <f t="array" aca="1" ref="K48" ca="1">IFERROR(VALUE(_xlfn.REGEXEXTRACT([1]Planilha1!$E48,"\+\s*(\d+)GB",2)),"")</f>
        <v>100</v>
      </c>
      <c r="L48" s="5">
        <f ca="1">IF([1]Planilha1!$H48="","",[1]Planilha1!$H48)</f>
        <v>159.9</v>
      </c>
      <c r="M48" s="5">
        <f ca="1">IF([1]Planilha1!$I48="","",[1]Planilha1!$I48)</f>
        <v>119.9</v>
      </c>
      <c r="N48" s="2" cm="1">
        <f t="array" aca="1" ref="N48" ca="1">IFERROR(VALUE(_xlfn.REGEXEXTRACT([1]Planilha1!$E48,"(\d+)\s*MESES",2)),IFERROR(VALUE(_xlfn.REGEXEXTRACT([1]Planilha1!$E48,"por\s*(\d+)\s*M",2)),IF(_xlfn.REGEXTEST([1]Planilha1!$E48,"1[ºª]"),1,"")))</f>
        <v>3</v>
      </c>
      <c r="O48" s="6">
        <f t="shared" ca="1" si="1"/>
        <v>0.26650000000000001</v>
      </c>
      <c r="P48" t="str">
        <f ca="1">IF([1]Planilha1!$J48="","",TRIM([1]Planilha1!$J48))</f>
        <v>GLOBOPLAY</v>
      </c>
      <c r="Q48" s="7" t="str">
        <f>IF($D48="Claro","",IFERROR($L48-VLOOKUP($B48&amp;"|Claro",[1]AUX_CLARO!$A:$C,2,FALSE),""))</f>
        <v/>
      </c>
      <c r="R48" s="8" t="str">
        <f>IF($D48="Claro","",IFERROR($J48-VLOOKUP($B48&amp;"|Claro",[1]AUX_CLARO!$A:$C,3,FALSE),""))</f>
        <v/>
      </c>
      <c r="S48" t="str">
        <f t="shared" si="2"/>
        <v/>
      </c>
      <c r="T48" t="str">
        <f t="shared" si="3"/>
        <v/>
      </c>
      <c r="U48" s="9">
        <f t="shared" si="4"/>
        <v>46174</v>
      </c>
      <c r="V48" t="str">
        <f ca="1">IF(OR([1]Planilha1!$B48="",[1]Planilha1!$B48="NÃO MAPEADO"),"",TRIM([1]Planilha1!$B48))</f>
        <v>CENTRAL</v>
      </c>
      <c r="W48" t="str">
        <f ca="1">IF([1]Planilha1!$C48="","",TRIM([1]Planilha1!$C48))</f>
        <v>ESPECIAL</v>
      </c>
      <c r="X48" t="str">
        <f ca="1">IFERROR(VLOOKUP($C48,[1]Planilha2!$B:$H,7,FALSE),"")</f>
        <v>13160-001</v>
      </c>
    </row>
    <row r="49" spans="1:24" x14ac:dyDescent="0.35">
      <c r="A49" t="str">
        <f ca="1">IF(LEFT(TEXT([1]Planilha1!$L49,"0000000"),1)="5","MS","SP")</f>
        <v>SP</v>
      </c>
      <c r="B49" t="str">
        <f ca="1">IF(RIGHT([1]Planilha1!$A49,5)=" - MS",LEFT([1]Planilha1!$A49,LEN([1]Planilha1!$A49)-5),TRIM([1]Planilha1!$A49))</f>
        <v>ARTUR NOGUEIRA</v>
      </c>
      <c r="C49" s="2">
        <f ca="1">[1]Planilha1!$L49</f>
        <v>3503802</v>
      </c>
      <c r="D49" t="str">
        <f>TRIM([1]Planilha1!$D49)</f>
        <v>Vivo</v>
      </c>
      <c r="E49" t="str">
        <f>IF(TRIM([1]Planilha1!$D49)="Claro","Claro","Concorrente")</f>
        <v>Concorrente</v>
      </c>
      <c r="F49" t="s">
        <v>25</v>
      </c>
      <c r="G49" t="str">
        <f t="shared" ca="1" si="0"/>
        <v>Banda Larga + Movel</v>
      </c>
      <c r="H49" t="s">
        <v>26</v>
      </c>
      <c r="I49" t="str">
        <f ca="1">IF([1]Planilha1!$F49="","",TRIM([1]Planilha1!$F49))</f>
        <v>Fibra</v>
      </c>
      <c r="J49" s="11" t="s">
        <v>27</v>
      </c>
      <c r="K49" s="4" cm="1">
        <f t="array" aca="1" ref="K49" ca="1">IFERROR(VALUE(_xlfn.REGEXEXTRACT([1]Planilha1!$E49,"\+\s*(\d+)GB",2)),"")</f>
        <v>70</v>
      </c>
      <c r="L49" s="5">
        <v>160</v>
      </c>
      <c r="M49" s="5" t="str">
        <f ca="1">IF([1]Planilha1!$I49="","",[1]Planilha1!$I49)</f>
        <v/>
      </c>
      <c r="N49" s="2" t="str" cm="1">
        <f t="array" aca="1" ref="N49" ca="1">IFERROR(VALUE(_xlfn.REGEXEXTRACT([1]Planilha1!$E49,"(\d+)\s*MESES",2)),IFERROR(VALUE(_xlfn.REGEXEXTRACT([1]Planilha1!$E49,"por\s*(\d+)\s*M",2)),IF(_xlfn.REGEXTEST([1]Planilha1!$E49,"1[ºª]"),1,"")))</f>
        <v/>
      </c>
      <c r="O49" s="6" t="str">
        <f t="shared" si="1"/>
        <v/>
      </c>
      <c r="P49" t="str">
        <f ca="1">IF([1]Planilha1!$J49="","",TRIM([1]Planilha1!$J49))</f>
        <v>0</v>
      </c>
      <c r="Q49" s="7">
        <f ca="1">IF($D49="Claro","",IFERROR($L49-VLOOKUP($B49&amp;"|Claro",[1]AUX_CLARO!$A:$C,2,FALSE),""))</f>
        <v>9.9999999999994316E-2</v>
      </c>
      <c r="R49" s="8" t="str">
        <f ca="1">IF($D49="Claro","",IFERROR($J49-VLOOKUP($B49&amp;"|Claro",[1]AUX_CLARO!$A:$C,3,FALSE),""))</f>
        <v/>
      </c>
      <c r="S49" t="str">
        <f t="shared" ca="1" si="2"/>
        <v>Claro mais barata</v>
      </c>
      <c r="T49" t="str">
        <f t="shared" ca="1" si="3"/>
        <v/>
      </c>
      <c r="U49" s="9">
        <f t="shared" si="4"/>
        <v>46174</v>
      </c>
      <c r="V49" t="str">
        <f ca="1">IF(OR([1]Planilha1!$B49="",[1]Planilha1!$B49="NÃO MAPEADO"),"",TRIM([1]Planilha1!$B49))</f>
        <v>CENTRAL</v>
      </c>
      <c r="W49" t="str">
        <f ca="1">IF([1]Planilha1!$C49="","",TRIM([1]Planilha1!$C49))</f>
        <v>ESPECIAL</v>
      </c>
      <c r="X49" t="str">
        <f ca="1">IFERROR(VLOOKUP($C49,[1]Planilha2!$B:$H,7,FALSE),"")</f>
        <v>13160-001</v>
      </c>
    </row>
    <row r="50" spans="1:24" x14ac:dyDescent="0.35">
      <c r="A50" t="str">
        <f ca="1">IF(LEFT(TEXT([1]Planilha1!$L50,"0000000"),1)="5","MS","SP")</f>
        <v>SP</v>
      </c>
      <c r="B50" t="str">
        <f ca="1">IF(RIGHT([1]Planilha1!$A50,5)=" - MS",LEFT([1]Planilha1!$A50,LEN([1]Planilha1!$A50)-5),TRIM([1]Planilha1!$A50))</f>
        <v>ARTUR NOGUEIRA</v>
      </c>
      <c r="C50" s="2">
        <f ca="1">[1]Planilha1!$L50</f>
        <v>3503802</v>
      </c>
      <c r="D50" t="str">
        <f>TRIM([1]Planilha1!$D50)</f>
        <v>Desktop</v>
      </c>
      <c r="E50" t="str">
        <f>IF(TRIM([1]Planilha1!$D50)="Claro","Claro","Concorrente")</f>
        <v>Concorrente</v>
      </c>
      <c r="F50" t="s">
        <v>29</v>
      </c>
      <c r="G50" t="str">
        <f t="shared" ca="1" si="0"/>
        <v>Banda Larga + Conteudo</v>
      </c>
      <c r="H50" t="str">
        <f ca="1">TRIM([1]Planilha1!$E50)</f>
        <v>600M=R$49,99 por 2M, após R$89,99</v>
      </c>
      <c r="I50" t="str">
        <f ca="1">IF([1]Planilha1!$F50="","",TRIM([1]Planilha1!$F50))</f>
        <v>Fibra</v>
      </c>
      <c r="J50" s="3">
        <f ca="1">IF([1]Planilha1!$G50="","",[1]Planilha1!$G50)</f>
        <v>600</v>
      </c>
      <c r="K50" s="4" t="str" cm="1">
        <f t="array" aca="1" ref="K50" ca="1">IFERROR(VALUE(_xlfn.REGEXEXTRACT([1]Planilha1!$E50,"\+\s*(\d+)GB",2)),"")</f>
        <v/>
      </c>
      <c r="L50" s="5">
        <f ca="1">IF([1]Planilha1!$H50="","",[1]Planilha1!$H50)</f>
        <v>89.99</v>
      </c>
      <c r="M50" s="5">
        <f ca="1">IF([1]Planilha1!$I50="","",[1]Planilha1!$I50)</f>
        <v>49.99</v>
      </c>
      <c r="N50" s="2" cm="1">
        <f t="array" aca="1" ref="N50" ca="1">IFERROR(VALUE(_xlfn.REGEXEXTRACT([1]Planilha1!$E50,"(\d+)\s*MESES",2)),IFERROR(VALUE(_xlfn.REGEXEXTRACT([1]Planilha1!$E50,"por\s*(\d+)\s*M",2)),IF(_xlfn.REGEXTEST([1]Planilha1!$E50,"1[ºª]"),1,"")))</f>
        <v>2</v>
      </c>
      <c r="O50" s="6">
        <f t="shared" ca="1" si="1"/>
        <v>0.14998333333333333</v>
      </c>
      <c r="P50" t="str">
        <f ca="1">IF([1]Planilha1!$J50="","",TRIM([1]Planilha1!$J50))</f>
        <v>0</v>
      </c>
      <c r="Q50" s="7">
        <f ca="1">IF($D50="Claro","",IFERROR($L50-VLOOKUP($B50&amp;"|Claro",[1]AUX_CLARO!$A:$C,2,FALSE),""))</f>
        <v>-69.910000000000011</v>
      </c>
      <c r="R50" s="8">
        <f ca="1">IF($D50="Claro","",IFERROR($J50-VLOOKUP($B50&amp;"|Claro",[1]AUX_CLARO!$A:$C,3,FALSE),""))</f>
        <v>0</v>
      </c>
      <c r="S50" t="str">
        <f t="shared" ca="1" si="2"/>
        <v>Claro mais cara</v>
      </c>
      <c r="T50" t="str">
        <f t="shared" ca="1" si="3"/>
        <v>Mesma velocidade</v>
      </c>
      <c r="U50" s="9">
        <f t="shared" si="4"/>
        <v>46174</v>
      </c>
      <c r="V50" t="str">
        <f ca="1">IF(OR([1]Planilha1!$B50="",[1]Planilha1!$B50="NÃO MAPEADO"),"",TRIM([1]Planilha1!$B50))</f>
        <v>CENTRAL</v>
      </c>
      <c r="W50" t="str">
        <f ca="1">IF([1]Planilha1!$C50="","",TRIM([1]Planilha1!$C50))</f>
        <v>ESPECIAL</v>
      </c>
      <c r="X50" t="str">
        <f ca="1">IFERROR(VLOOKUP($C50,[1]Planilha2!$B:$H,7,FALSE),"")</f>
        <v>13160-001</v>
      </c>
    </row>
    <row r="51" spans="1:24" x14ac:dyDescent="0.35">
      <c r="A51" t="str">
        <f ca="1">IF(LEFT(TEXT([1]Planilha1!$L51,"0000000"),1)="5","MS","SP")</f>
        <v>SP</v>
      </c>
      <c r="B51" t="str">
        <f ca="1">IF(RIGHT([1]Planilha1!$A51,5)=" - MS",LEFT([1]Planilha1!$A51,LEN([1]Planilha1!$A51)-5),TRIM([1]Planilha1!$A51))</f>
        <v>ARTUR NOGUEIRA</v>
      </c>
      <c r="C51" s="2">
        <f ca="1">[1]Planilha1!$L51</f>
        <v>3503802</v>
      </c>
      <c r="D51" t="str">
        <f>TRIM([1]Planilha1!$D51)</f>
        <v>ISP LOCAL</v>
      </c>
      <c r="E51" t="str">
        <f>IF(TRIM([1]Planilha1!$D51)="Claro","Claro","Concorrente")</f>
        <v>Concorrente</v>
      </c>
      <c r="F51" t="s">
        <v>41</v>
      </c>
      <c r="G51" t="str">
        <f t="shared" ca="1" si="0"/>
        <v>Banda Larga + Conteudo</v>
      </c>
      <c r="H51" t="str">
        <f ca="1">TRIM([1]Planilha1!$E51)</f>
        <v>NETAKI - 600M R$99,90</v>
      </c>
      <c r="I51" t="str">
        <f ca="1">IF([1]Planilha1!$F51="","",TRIM([1]Planilha1!$F51))</f>
        <v>Fibra</v>
      </c>
      <c r="J51" s="3">
        <f ca="1">IF([1]Planilha1!$G51="","",[1]Planilha1!$G51)</f>
        <v>600</v>
      </c>
      <c r="K51" s="4" t="str" cm="1">
        <f t="array" aca="1" ref="K51" ca="1">IFERROR(VALUE(_xlfn.REGEXEXTRACT([1]Planilha1!$E51,"\+\s*(\d+)GB",2)),"")</f>
        <v/>
      </c>
      <c r="L51" s="5">
        <f ca="1">IF([1]Planilha1!$H51="","",[1]Planilha1!$H51)</f>
        <v>99.9</v>
      </c>
      <c r="M51" s="5" t="str">
        <f ca="1">IF([1]Planilha1!$I51="","",[1]Planilha1!$I51)</f>
        <v/>
      </c>
      <c r="N51" s="2" t="str" cm="1">
        <f t="array" aca="1" ref="N51" ca="1">IFERROR(VALUE(_xlfn.REGEXEXTRACT([1]Planilha1!$E51,"(\d+)\s*MESES",2)),IFERROR(VALUE(_xlfn.REGEXEXTRACT([1]Planilha1!$E51,"por\s*(\d+)\s*M",2)),IF(_xlfn.REGEXTEST([1]Planilha1!$E51,"1[ºª]"),1,"")))</f>
        <v/>
      </c>
      <c r="O51" s="6">
        <f t="shared" ca="1" si="1"/>
        <v>0.16650000000000001</v>
      </c>
      <c r="P51" t="str">
        <f ca="1">IF([1]Planilha1!$J51="","",TRIM([1]Planilha1!$J51))</f>
        <v>0</v>
      </c>
      <c r="Q51" s="7">
        <f ca="1">IF($D51="Claro","",IFERROR($L51-VLOOKUP($B51&amp;"|Claro",[1]AUX_CLARO!$A:$C,2,FALSE),""))</f>
        <v>-60</v>
      </c>
      <c r="R51" s="8">
        <f ca="1">IF($D51="Claro","",IFERROR($J51-VLOOKUP($B51&amp;"|Claro",[1]AUX_CLARO!$A:$C,3,FALSE),""))</f>
        <v>0</v>
      </c>
      <c r="S51" t="str">
        <f t="shared" ca="1" si="2"/>
        <v>Claro mais cara</v>
      </c>
      <c r="T51" t="str">
        <f t="shared" ca="1" si="3"/>
        <v>Mesma velocidade</v>
      </c>
      <c r="U51" s="9">
        <f t="shared" si="4"/>
        <v>46174</v>
      </c>
      <c r="V51" t="str">
        <f ca="1">IF(OR([1]Planilha1!$B51="",[1]Planilha1!$B51="NÃO MAPEADO"),"",TRIM([1]Planilha1!$B51))</f>
        <v>CENTRAL</v>
      </c>
      <c r="W51" t="str">
        <f ca="1">IF([1]Planilha1!$C51="","",TRIM([1]Planilha1!$C51))</f>
        <v>ESPECIAL</v>
      </c>
      <c r="X51" t="str">
        <f ca="1">IFERROR(VLOOKUP($C51,[1]Planilha2!$B:$H,7,FALSE),"")</f>
        <v>13160-001</v>
      </c>
    </row>
    <row r="52" spans="1:24" x14ac:dyDescent="0.35">
      <c r="A52" t="str">
        <f ca="1">IF(LEFT(TEXT([1]Planilha1!$L52,"0000000"),1)="5","MS","SP")</f>
        <v>SP</v>
      </c>
      <c r="B52" t="str">
        <f ca="1">IF(RIGHT([1]Planilha1!$A52,5)=" - MS",LEFT([1]Planilha1!$A52,LEN([1]Planilha1!$A52)-5),TRIM([1]Planilha1!$A52))</f>
        <v>AVARE</v>
      </c>
      <c r="C52" s="2">
        <f ca="1">[1]Planilha1!$L52</f>
        <v>3504503</v>
      </c>
      <c r="D52" t="str">
        <f>TRIM([1]Planilha1!$D52)</f>
        <v>Claro</v>
      </c>
      <c r="E52" t="str">
        <f>IF(TRIM([1]Planilha1!$D52)="Claro","Claro","Concorrente")</f>
        <v>Claro</v>
      </c>
      <c r="F52" t="s">
        <v>24</v>
      </c>
      <c r="G52" t="str">
        <f t="shared" ca="1" si="0"/>
        <v>Banda Larga + Movel</v>
      </c>
      <c r="H52" t="str">
        <f ca="1">TRIM([1]Planilha1!$E52)</f>
        <v>600M+100GB=R$109,90 por 6M, após R$139,90</v>
      </c>
      <c r="I52" t="str">
        <f ca="1">IF([1]Planilha1!$F52="","",TRIM([1]Planilha1!$F52))</f>
        <v>Fibra</v>
      </c>
      <c r="J52" s="3">
        <f ca="1">IF([1]Planilha1!$G52="","",[1]Planilha1!$G52)</f>
        <v>600</v>
      </c>
      <c r="K52" s="4" cm="1">
        <f t="array" aca="1" ref="K52" ca="1">IFERROR(VALUE(_xlfn.REGEXEXTRACT([1]Planilha1!$E52,"\+\s*(\d+)GB",2)),"")</f>
        <v>100</v>
      </c>
      <c r="L52" s="5">
        <f ca="1">IF([1]Planilha1!$H52="","",[1]Planilha1!$H52)</f>
        <v>139.9</v>
      </c>
      <c r="M52" s="5">
        <f ca="1">IF([1]Planilha1!$I52="","",[1]Planilha1!$I52)</f>
        <v>109.9</v>
      </c>
      <c r="N52" s="2" cm="1">
        <f t="array" aca="1" ref="N52" ca="1">IFERROR(VALUE(_xlfn.REGEXEXTRACT([1]Planilha1!$E52,"(\d+)\s*MESES",2)),IFERROR(VALUE(_xlfn.REGEXEXTRACT([1]Planilha1!$E52,"por\s*(\d+)\s*M",2)),IF(_xlfn.REGEXTEST([1]Planilha1!$E52,"1[ºª]"),1,"")))</f>
        <v>6</v>
      </c>
      <c r="O52" s="6">
        <f t="shared" ca="1" si="1"/>
        <v>0.23316666666666669</v>
      </c>
      <c r="P52" t="str">
        <f ca="1">IF([1]Planilha1!$J52="","",TRIM([1]Planilha1!$J52))</f>
        <v>GLOBOPLAY</v>
      </c>
      <c r="Q52" s="7" t="str">
        <f>IF($D52="Claro","",IFERROR($L52-VLOOKUP($B52&amp;"|Claro",[1]AUX_CLARO!$A:$C,2,FALSE),""))</f>
        <v/>
      </c>
      <c r="R52" s="8" t="str">
        <f>IF($D52="Claro","",IFERROR($J52-VLOOKUP($B52&amp;"|Claro",[1]AUX_CLARO!$A:$C,3,FALSE),""))</f>
        <v/>
      </c>
      <c r="S52" t="str">
        <f t="shared" si="2"/>
        <v/>
      </c>
      <c r="T52" t="str">
        <f t="shared" si="3"/>
        <v/>
      </c>
      <c r="U52" s="9">
        <f t="shared" si="4"/>
        <v>46174</v>
      </c>
      <c r="V52" t="str">
        <f ca="1">IF(OR([1]Planilha1!$B52="",[1]Planilha1!$B52="NÃO MAPEADO"),"",TRIM([1]Planilha1!$B52))</f>
        <v>SUDESTE</v>
      </c>
      <c r="W52" t="str">
        <f ca="1">IF([1]Planilha1!$C52="","",TRIM([1]Planilha1!$C52))</f>
        <v>MD 2</v>
      </c>
      <c r="X52" s="12" t="str">
        <f ca="1">IFERROR(VLOOKUP($C52,[1]Planilha2!$B:$H,7,FALSE),"")</f>
        <v>18700-001</v>
      </c>
    </row>
    <row r="53" spans="1:24" x14ac:dyDescent="0.35">
      <c r="A53" t="str">
        <f ca="1">IF(LEFT(TEXT([1]Planilha1!$L53,"0000000"),1)="5","MS","SP")</f>
        <v>SP</v>
      </c>
      <c r="B53" t="str">
        <f ca="1">IF(RIGHT([1]Planilha1!$A53,5)=" - MS",LEFT([1]Planilha1!$A53,LEN([1]Planilha1!$A53)-5),TRIM([1]Planilha1!$A53))</f>
        <v>AVARE</v>
      </c>
      <c r="C53" s="2">
        <f ca="1">[1]Planilha1!$L53</f>
        <v>3504503</v>
      </c>
      <c r="D53" t="str">
        <f>TRIM([1]Planilha1!$D53)</f>
        <v>Vivo</v>
      </c>
      <c r="E53" t="str">
        <f>IF(TRIM([1]Planilha1!$D53)="Claro","Claro","Concorrente")</f>
        <v>Concorrente</v>
      </c>
      <c r="F53" t="s">
        <v>25</v>
      </c>
      <c r="G53" t="str">
        <f t="shared" ca="1" si="0"/>
        <v>Banda Larga + Movel</v>
      </c>
      <c r="H53" t="s">
        <v>26</v>
      </c>
      <c r="I53" t="str">
        <f ca="1">IF([1]Planilha1!$F53="","",TRIM([1]Planilha1!$F53))</f>
        <v>Fibra</v>
      </c>
      <c r="J53" s="11" t="s">
        <v>27</v>
      </c>
      <c r="K53" s="4" cm="1">
        <f t="array" aca="1" ref="K53" ca="1">IFERROR(VALUE(_xlfn.REGEXEXTRACT([1]Planilha1!$E53,"\+\s*(\d+)GB",2)),"")</f>
        <v>70</v>
      </c>
      <c r="L53" s="5">
        <v>160</v>
      </c>
      <c r="M53" s="5" t="str">
        <f ca="1">IF([1]Planilha1!$I53="","",[1]Planilha1!$I53)</f>
        <v/>
      </c>
      <c r="N53" s="2" t="str" cm="1">
        <f t="array" aca="1" ref="N53" ca="1">IFERROR(VALUE(_xlfn.REGEXEXTRACT([1]Planilha1!$E53,"(\d+)\s*MESES",2)),IFERROR(VALUE(_xlfn.REGEXEXTRACT([1]Planilha1!$E53,"por\s*(\d+)\s*M",2)),IF(_xlfn.REGEXTEST([1]Planilha1!$E53,"1[ºª]"),1,"")))</f>
        <v/>
      </c>
      <c r="O53" s="6" t="str">
        <f t="shared" si="1"/>
        <v/>
      </c>
      <c r="P53" t="str">
        <f ca="1">IF([1]Planilha1!$J53="","",TRIM([1]Planilha1!$J53))</f>
        <v>0</v>
      </c>
      <c r="Q53" s="7">
        <f ca="1">IF($D53="Claro","",IFERROR($L53-VLOOKUP($B53&amp;"|Claro",[1]AUX_CLARO!$A:$C,2,FALSE),""))</f>
        <v>20.099999999999994</v>
      </c>
      <c r="R53" s="8" t="str">
        <f ca="1">IF($D53="Claro","",IFERROR($J53-VLOOKUP($B53&amp;"|Claro",[1]AUX_CLARO!$A:$C,3,FALSE),""))</f>
        <v/>
      </c>
      <c r="S53" t="str">
        <f t="shared" ca="1" si="2"/>
        <v>Claro mais barata</v>
      </c>
      <c r="T53" t="str">
        <f t="shared" ca="1" si="3"/>
        <v/>
      </c>
      <c r="U53" s="9">
        <f t="shared" si="4"/>
        <v>46174</v>
      </c>
      <c r="V53" t="str">
        <f ca="1">IF(OR([1]Planilha1!$B53="",[1]Planilha1!$B53="NÃO MAPEADO"),"",TRIM([1]Planilha1!$B53))</f>
        <v>SUDESTE</v>
      </c>
      <c r="W53" t="str">
        <f ca="1">IF([1]Planilha1!$C53="","",TRIM([1]Planilha1!$C53))</f>
        <v>MD 2</v>
      </c>
      <c r="X53" s="12" t="str">
        <f ca="1">IFERROR(VLOOKUP($C53,[1]Planilha2!$B:$H,7,FALSE),"")</f>
        <v>18700-001</v>
      </c>
    </row>
    <row r="54" spans="1:24" x14ac:dyDescent="0.35">
      <c r="A54" t="str">
        <f ca="1">IF(LEFT(TEXT([1]Planilha1!$L54,"0000000"),1)="5","MS","SP")</f>
        <v>SP</v>
      </c>
      <c r="B54" t="str">
        <f ca="1">IF(RIGHT([1]Planilha1!$A54,5)=" - MS",LEFT([1]Planilha1!$A54,LEN([1]Planilha1!$A54)-5),TRIM([1]Planilha1!$A54))</f>
        <v>AVARE</v>
      </c>
      <c r="C54" s="2">
        <f ca="1">[1]Planilha1!$L54</f>
        <v>3504503</v>
      </c>
      <c r="D54" t="str">
        <f>TRIM([1]Planilha1!$D54)</f>
        <v>Desktop</v>
      </c>
      <c r="E54" t="str">
        <f>IF(TRIM([1]Planilha1!$D54)="Claro","Claro","Concorrente")</f>
        <v>Concorrente</v>
      </c>
      <c r="F54" t="s">
        <v>29</v>
      </c>
      <c r="G54" t="str">
        <f t="shared" ca="1" si="0"/>
        <v>Banda Larga + Conteudo</v>
      </c>
      <c r="H54" t="str">
        <f ca="1">TRIM([1]Planilha1!$E54)</f>
        <v>600M=R$49,99 por 2M, após R$89,99</v>
      </c>
      <c r="I54" t="str">
        <f ca="1">IF([1]Planilha1!$F54="","",TRIM([1]Planilha1!$F54))</f>
        <v>Fibra</v>
      </c>
      <c r="J54" s="3">
        <f ca="1">IF([1]Planilha1!$G54="","",[1]Planilha1!$G54)</f>
        <v>600</v>
      </c>
      <c r="K54" s="4" t="str" cm="1">
        <f t="array" aca="1" ref="K54" ca="1">IFERROR(VALUE(_xlfn.REGEXEXTRACT([1]Planilha1!$E54,"\+\s*(\d+)GB",2)),"")</f>
        <v/>
      </c>
      <c r="L54" s="5">
        <f ca="1">IF([1]Planilha1!$H54="","",[1]Planilha1!$H54)</f>
        <v>89.99</v>
      </c>
      <c r="M54" s="5">
        <f ca="1">IF([1]Planilha1!$I54="","",[1]Planilha1!$I54)</f>
        <v>49.99</v>
      </c>
      <c r="N54" s="2" cm="1">
        <f t="array" aca="1" ref="N54" ca="1">IFERROR(VALUE(_xlfn.REGEXEXTRACT([1]Planilha1!$E54,"(\d+)\s*MESES",2)),IFERROR(VALUE(_xlfn.REGEXEXTRACT([1]Planilha1!$E54,"por\s*(\d+)\s*M",2)),IF(_xlfn.REGEXTEST([1]Planilha1!$E54,"1[ºª]"),1,"")))</f>
        <v>2</v>
      </c>
      <c r="O54" s="6">
        <f t="shared" ca="1" si="1"/>
        <v>0.14998333333333333</v>
      </c>
      <c r="P54" t="str">
        <f ca="1">IF([1]Planilha1!$J54="","",TRIM([1]Planilha1!$J54))</f>
        <v>0</v>
      </c>
      <c r="Q54" s="7">
        <f ca="1">IF($D54="Claro","",IFERROR($L54-VLOOKUP($B54&amp;"|Claro",[1]AUX_CLARO!$A:$C,2,FALSE),""))</f>
        <v>-49.910000000000011</v>
      </c>
      <c r="R54" s="8">
        <f ca="1">IF($D54="Claro","",IFERROR($J54-VLOOKUP($B54&amp;"|Claro",[1]AUX_CLARO!$A:$C,3,FALSE),""))</f>
        <v>0</v>
      </c>
      <c r="S54" t="str">
        <f t="shared" ca="1" si="2"/>
        <v>Claro mais cara</v>
      </c>
      <c r="T54" t="str">
        <f t="shared" ca="1" si="3"/>
        <v>Mesma velocidade</v>
      </c>
      <c r="U54" s="9">
        <f t="shared" si="4"/>
        <v>46174</v>
      </c>
      <c r="V54" t="str">
        <f ca="1">IF(OR([1]Planilha1!$B54="",[1]Planilha1!$B54="NÃO MAPEADO"),"",TRIM([1]Planilha1!$B54))</f>
        <v>SUDESTE</v>
      </c>
      <c r="W54" t="str">
        <f ca="1">IF([1]Planilha1!$C54="","",TRIM([1]Planilha1!$C54))</f>
        <v>MD 2</v>
      </c>
      <c r="X54" s="12" t="str">
        <f ca="1">IFERROR(VLOOKUP($C54,[1]Planilha2!$B:$H,7,FALSE),"")</f>
        <v>18700-001</v>
      </c>
    </row>
    <row r="55" spans="1:24" x14ac:dyDescent="0.35">
      <c r="A55" t="str">
        <f ca="1">IF(LEFT(TEXT([1]Planilha1!$L55,"0000000"),1)="5","MS","SP")</f>
        <v>SP</v>
      </c>
      <c r="B55" t="str">
        <f ca="1">IF(RIGHT([1]Planilha1!$A55,5)=" - MS",LEFT([1]Planilha1!$A55,LEN([1]Planilha1!$A55)-5),TRIM([1]Planilha1!$A55))</f>
        <v>AVARE</v>
      </c>
      <c r="C55" s="2">
        <f ca="1">[1]Planilha1!$L55</f>
        <v>3504503</v>
      </c>
      <c r="D55" t="str">
        <f>TRIM([1]Planilha1!$D55)</f>
        <v>ISP LOCAL</v>
      </c>
      <c r="E55" t="str">
        <f>IF(TRIM([1]Planilha1!$D55)="Claro","Claro","Concorrente")</f>
        <v>Concorrente</v>
      </c>
      <c r="F55" t="s">
        <v>42</v>
      </c>
      <c r="G55" t="str">
        <f t="shared" ca="1" si="0"/>
        <v>Banda Larga + Conteudo</v>
      </c>
      <c r="H55" t="str">
        <f ca="1">TRIM([1]Planilha1!$E55)</f>
        <v>ZAAZ - 600M R$99,90</v>
      </c>
      <c r="I55" t="str">
        <f ca="1">IF([1]Planilha1!$F55="","",TRIM([1]Planilha1!$F55))</f>
        <v>Fibra</v>
      </c>
      <c r="J55" s="3">
        <f ca="1">IF([1]Planilha1!$G55="","",[1]Planilha1!$G55)</f>
        <v>600</v>
      </c>
      <c r="K55" s="4" t="str" cm="1">
        <f t="array" aca="1" ref="K55" ca="1">IFERROR(VALUE(_xlfn.REGEXEXTRACT([1]Planilha1!$E55,"\+\s*(\d+)GB",2)),"")</f>
        <v/>
      </c>
      <c r="L55" s="5">
        <f ca="1">IF([1]Planilha1!$H55="","",[1]Planilha1!$H55)</f>
        <v>99.9</v>
      </c>
      <c r="M55" s="5" t="str">
        <f ca="1">IF([1]Planilha1!$I55="","",[1]Planilha1!$I55)</f>
        <v/>
      </c>
      <c r="N55" s="2" t="str" cm="1">
        <f t="array" aca="1" ref="N55" ca="1">IFERROR(VALUE(_xlfn.REGEXEXTRACT([1]Planilha1!$E55,"(\d+)\s*MESES",2)),IFERROR(VALUE(_xlfn.REGEXEXTRACT([1]Planilha1!$E55,"por\s*(\d+)\s*M",2)),IF(_xlfn.REGEXTEST([1]Planilha1!$E55,"1[ºª]"),1,"")))</f>
        <v/>
      </c>
      <c r="O55" s="6">
        <f t="shared" ca="1" si="1"/>
        <v>0.16650000000000001</v>
      </c>
      <c r="P55" t="str">
        <f ca="1">IF([1]Planilha1!$J55="","",TRIM([1]Planilha1!$J55))</f>
        <v>0</v>
      </c>
      <c r="Q55" s="7">
        <f ca="1">IF($D55="Claro","",IFERROR($L55-VLOOKUP($B55&amp;"|Claro",[1]AUX_CLARO!$A:$C,2,FALSE),""))</f>
        <v>-40</v>
      </c>
      <c r="R55" s="8">
        <f ca="1">IF($D55="Claro","",IFERROR($J55-VLOOKUP($B55&amp;"|Claro",[1]AUX_CLARO!$A:$C,3,FALSE),""))</f>
        <v>0</v>
      </c>
      <c r="S55" t="str">
        <f t="shared" ca="1" si="2"/>
        <v>Claro mais cara</v>
      </c>
      <c r="T55" t="str">
        <f t="shared" ca="1" si="3"/>
        <v>Mesma velocidade</v>
      </c>
      <c r="U55" s="9">
        <f t="shared" si="4"/>
        <v>46174</v>
      </c>
      <c r="V55" t="str">
        <f ca="1">IF(OR([1]Planilha1!$B55="",[1]Planilha1!$B55="NÃO MAPEADO"),"",TRIM([1]Planilha1!$B55))</f>
        <v>SUDESTE</v>
      </c>
      <c r="W55" t="str">
        <f ca="1">IF([1]Planilha1!$C55="","",TRIM([1]Planilha1!$C55))</f>
        <v>MD 2</v>
      </c>
      <c r="X55" s="12" t="str">
        <f ca="1">IFERROR(VLOOKUP($C55,[1]Planilha2!$B:$H,7,FALSE),"")</f>
        <v>18700-001</v>
      </c>
    </row>
    <row r="56" spans="1:24" x14ac:dyDescent="0.35">
      <c r="A56" t="str">
        <f ca="1">IF(LEFT(TEXT([1]Planilha1!$L56,"0000000"),1)="5","MS","SP")</f>
        <v>SP</v>
      </c>
      <c r="B56" t="str">
        <f ca="1">IF(RIGHT([1]Planilha1!$A56,5)=" - MS",LEFT([1]Planilha1!$A56,LEN([1]Planilha1!$A56)-5),TRIM([1]Planilha1!$A56))</f>
        <v>BADY BASSITT</v>
      </c>
      <c r="C56" s="2">
        <f ca="1">[1]Planilha1!$L56</f>
        <v>3504602</v>
      </c>
      <c r="D56" t="str">
        <f>TRIM([1]Planilha1!$D56)</f>
        <v>Claro</v>
      </c>
      <c r="E56" t="str">
        <f>IF(TRIM([1]Planilha1!$D56)="Claro","Claro","Concorrente")</f>
        <v>Claro</v>
      </c>
      <c r="F56" t="s">
        <v>24</v>
      </c>
      <c r="G56" t="str">
        <f t="shared" ca="1" si="0"/>
        <v>Banda Larga + Movel</v>
      </c>
      <c r="H56" t="str">
        <f ca="1">TRIM([1]Planilha1!$E56)</f>
        <v>600M+100GB=R$109,90 por 6M, após R$139,90</v>
      </c>
      <c r="I56" t="str">
        <f ca="1">IF([1]Planilha1!$F56="","",TRIM([1]Planilha1!$F56))</f>
        <v>Fibra</v>
      </c>
      <c r="J56" s="3">
        <f ca="1">IF([1]Planilha1!$G56="","",[1]Planilha1!$G56)</f>
        <v>600</v>
      </c>
      <c r="K56" s="4" cm="1">
        <f t="array" aca="1" ref="K56" ca="1">IFERROR(VALUE(_xlfn.REGEXEXTRACT([1]Planilha1!$E56,"\+\s*(\d+)GB",2)),"")</f>
        <v>100</v>
      </c>
      <c r="L56" s="5">
        <f ca="1">IF([1]Planilha1!$H56="","",[1]Planilha1!$H56)</f>
        <v>139.9</v>
      </c>
      <c r="M56" s="5">
        <f ca="1">IF([1]Planilha1!$I56="","",[1]Planilha1!$I56)</f>
        <v>109.9</v>
      </c>
      <c r="N56" s="2" cm="1">
        <f t="array" aca="1" ref="N56" ca="1">IFERROR(VALUE(_xlfn.REGEXEXTRACT([1]Planilha1!$E56,"(\d+)\s*MESES",2)),IFERROR(VALUE(_xlfn.REGEXEXTRACT([1]Planilha1!$E56,"por\s*(\d+)\s*M",2)),IF(_xlfn.REGEXTEST([1]Planilha1!$E56,"1[ºª]"),1,"")))</f>
        <v>6</v>
      </c>
      <c r="O56" s="6">
        <f t="shared" ca="1" si="1"/>
        <v>0.23316666666666669</v>
      </c>
      <c r="P56" t="str">
        <f ca="1">IF([1]Planilha1!$J56="","",TRIM([1]Planilha1!$J56))</f>
        <v>GLOBOPLAY</v>
      </c>
      <c r="Q56" s="7" t="str">
        <f>IF($D56="Claro","",IFERROR($L56-VLOOKUP($B56&amp;"|Claro",[1]AUX_CLARO!$A:$C,2,FALSE),""))</f>
        <v/>
      </c>
      <c r="R56" s="8" t="str">
        <f>IF($D56="Claro","",IFERROR($J56-VLOOKUP($B56&amp;"|Claro",[1]AUX_CLARO!$A:$C,3,FALSE),""))</f>
        <v/>
      </c>
      <c r="S56" t="str">
        <f t="shared" si="2"/>
        <v/>
      </c>
      <c r="T56" t="str">
        <f t="shared" si="3"/>
        <v/>
      </c>
      <c r="U56" s="9">
        <f t="shared" si="4"/>
        <v>46174</v>
      </c>
      <c r="V56" t="str">
        <f ca="1">IF(OR([1]Planilha1!$B56="",[1]Planilha1!$B56="NÃO MAPEADO"),"",TRIM([1]Planilha1!$B56))</f>
        <v>NOROESTE</v>
      </c>
      <c r="W56" t="str">
        <f ca="1">IF([1]Planilha1!$C56="","",TRIM([1]Planilha1!$C56))</f>
        <v>MD 2</v>
      </c>
      <c r="X56" t="str">
        <f ca="1">IFERROR(VLOOKUP($C56,[1]Planilha2!$B:$H,7,FALSE),"")</f>
        <v>15115-001</v>
      </c>
    </row>
    <row r="57" spans="1:24" x14ac:dyDescent="0.35">
      <c r="A57" t="str">
        <f ca="1">IF(LEFT(TEXT([1]Planilha1!$L57,"0000000"),1)="5","MS","SP")</f>
        <v>SP</v>
      </c>
      <c r="B57" t="str">
        <f ca="1">IF(RIGHT([1]Planilha1!$A57,5)=" - MS",LEFT([1]Planilha1!$A57,LEN([1]Planilha1!$A57)-5),TRIM([1]Planilha1!$A57))</f>
        <v>BADY BASSITT</v>
      </c>
      <c r="C57" s="2">
        <f ca="1">[1]Planilha1!$L57</f>
        <v>3504602</v>
      </c>
      <c r="D57" t="str">
        <f>TRIM([1]Planilha1!$D57)</f>
        <v>Desktop</v>
      </c>
      <c r="E57" t="str">
        <f>IF(TRIM([1]Planilha1!$D57)="Claro","Claro","Concorrente")</f>
        <v>Concorrente</v>
      </c>
      <c r="F57" t="s">
        <v>29</v>
      </c>
      <c r="G57" t="str">
        <f t="shared" ca="1" si="0"/>
        <v>Banda Larga + Conteudo</v>
      </c>
      <c r="H57" t="str">
        <f ca="1">TRIM([1]Planilha1!$E57)</f>
        <v>600M=R$49,99 por 2M, após R$89,99</v>
      </c>
      <c r="I57" t="str">
        <f ca="1">IF([1]Planilha1!$F57="","",TRIM([1]Planilha1!$F57))</f>
        <v>Fibra</v>
      </c>
      <c r="J57" s="3">
        <f ca="1">IF([1]Planilha1!$G57="","",[1]Planilha1!$G57)</f>
        <v>600</v>
      </c>
      <c r="K57" s="4" t="str" cm="1">
        <f t="array" aca="1" ref="K57" ca="1">IFERROR(VALUE(_xlfn.REGEXEXTRACT([1]Planilha1!$E57,"\+\s*(\d+)GB",2)),"")</f>
        <v/>
      </c>
      <c r="L57" s="5">
        <f ca="1">IF([1]Planilha1!$H57="","",[1]Planilha1!$H57)</f>
        <v>89.99</v>
      </c>
      <c r="M57" s="5">
        <f ca="1">IF([1]Planilha1!$I57="","",[1]Planilha1!$I57)</f>
        <v>49.99</v>
      </c>
      <c r="N57" s="2" cm="1">
        <f t="array" aca="1" ref="N57" ca="1">IFERROR(VALUE(_xlfn.REGEXEXTRACT([1]Planilha1!$E57,"(\d+)\s*MESES",2)),IFERROR(VALUE(_xlfn.REGEXEXTRACT([1]Planilha1!$E57,"por\s*(\d+)\s*M",2)),IF(_xlfn.REGEXTEST([1]Planilha1!$E57,"1[ºª]"),1,"")))</f>
        <v>2</v>
      </c>
      <c r="O57" s="6">
        <f t="shared" ca="1" si="1"/>
        <v>0.14998333333333333</v>
      </c>
      <c r="P57" t="str">
        <f ca="1">IF([1]Planilha1!$J57="","",TRIM([1]Planilha1!$J57))</f>
        <v>0</v>
      </c>
      <c r="Q57" s="7">
        <f ca="1">IF($D57="Claro","",IFERROR($L57-VLOOKUP($B57&amp;"|Claro",[1]AUX_CLARO!$A:$C,2,FALSE),""))</f>
        <v>-49.910000000000011</v>
      </c>
      <c r="R57" s="8">
        <f ca="1">IF($D57="Claro","",IFERROR($J57-VLOOKUP($B57&amp;"|Claro",[1]AUX_CLARO!$A:$C,3,FALSE),""))</f>
        <v>0</v>
      </c>
      <c r="S57" t="str">
        <f t="shared" ca="1" si="2"/>
        <v>Claro mais cara</v>
      </c>
      <c r="T57" t="str">
        <f t="shared" ca="1" si="3"/>
        <v>Mesma velocidade</v>
      </c>
      <c r="U57" s="9">
        <f t="shared" si="4"/>
        <v>46174</v>
      </c>
      <c r="V57" t="str">
        <f ca="1">IF(OR([1]Planilha1!$B57="",[1]Planilha1!$B57="NÃO MAPEADO"),"",TRIM([1]Planilha1!$B57))</f>
        <v>NOROESTE</v>
      </c>
      <c r="W57" t="str">
        <f ca="1">IF([1]Planilha1!$C57="","",TRIM([1]Planilha1!$C57))</f>
        <v>MD 2</v>
      </c>
      <c r="X57" t="str">
        <f ca="1">IFERROR(VLOOKUP($C57,[1]Planilha2!$B:$H,7,FALSE),"")</f>
        <v>15115-001</v>
      </c>
    </row>
    <row r="58" spans="1:24" x14ac:dyDescent="0.35">
      <c r="A58" t="str">
        <f ca="1">IF(LEFT(TEXT([1]Planilha1!$L58,"0000000"),1)="5","MS","SP")</f>
        <v>SP</v>
      </c>
      <c r="B58" t="str">
        <f ca="1">IF(RIGHT([1]Planilha1!$A58,5)=" - MS",LEFT([1]Planilha1!$A58,LEN([1]Planilha1!$A58)-5),TRIM([1]Planilha1!$A58))</f>
        <v>BADY BASSITT</v>
      </c>
      <c r="C58" s="2">
        <f ca="1">[1]Planilha1!$L58</f>
        <v>3504602</v>
      </c>
      <c r="D58" t="str">
        <f>TRIM([1]Planilha1!$D58)</f>
        <v>Weclix</v>
      </c>
      <c r="E58" t="str">
        <f>IF(TRIM([1]Planilha1!$D58)="Claro","Claro","Concorrente")</f>
        <v>Concorrente</v>
      </c>
      <c r="F58" t="s">
        <v>34</v>
      </c>
      <c r="G58" t="str">
        <f t="shared" ca="1" si="0"/>
        <v>Banda Larga + Conteudo</v>
      </c>
      <c r="H58" t="str">
        <f ca="1">TRIM([1]Planilha1!$E58)</f>
        <v>1GB R$59,90 - 1ª MENSALIDADE, APÓS R$99,90</v>
      </c>
      <c r="I58" t="str">
        <f ca="1">IF([1]Planilha1!$F58="","",TRIM([1]Planilha1!$F58))</f>
        <v>Fibra</v>
      </c>
      <c r="J58" s="3">
        <f ca="1">IF([1]Planilha1!$G58="","",[1]Planilha1!$G58)</f>
        <v>1000</v>
      </c>
      <c r="K58" s="4" t="str" cm="1">
        <f t="array" aca="1" ref="K58" ca="1">IFERROR(VALUE(_xlfn.REGEXEXTRACT([1]Planilha1!$E58,"\+\s*(\d+)GB",2)),"")</f>
        <v/>
      </c>
      <c r="L58" s="5">
        <f ca="1">IF([1]Planilha1!$H58="","",[1]Planilha1!$H58)</f>
        <v>99.9</v>
      </c>
      <c r="M58" s="5">
        <f ca="1">IF([1]Planilha1!$I58="","",[1]Planilha1!$I58)</f>
        <v>59.9</v>
      </c>
      <c r="N58" s="2" cm="1">
        <f t="array" aca="1" ref="N58" ca="1">IFERROR(VALUE(_xlfn.REGEXEXTRACT([1]Planilha1!$E58,"(\d+)\s*MESES",2)),IFERROR(VALUE(_xlfn.REGEXEXTRACT([1]Planilha1!$E58,"por\s*(\d+)\s*M",2)),IF(_xlfn.REGEXTEST([1]Planilha1!$E58,"1[ºª]"),1,"")))</f>
        <v>1</v>
      </c>
      <c r="O58" s="6">
        <f t="shared" ca="1" si="1"/>
        <v>9.9900000000000003E-2</v>
      </c>
      <c r="P58" t="str">
        <f ca="1">IF([1]Planilha1!$J58="","",TRIM([1]Planilha1!$J58))</f>
        <v>0</v>
      </c>
      <c r="Q58" s="7">
        <f ca="1">IF($D58="Claro","",IFERROR($L58-VLOOKUP($B58&amp;"|Claro",[1]AUX_CLARO!$A:$C,2,FALSE),""))</f>
        <v>-40</v>
      </c>
      <c r="R58" s="8">
        <f ca="1">IF($D58="Claro","",IFERROR($J58-VLOOKUP($B58&amp;"|Claro",[1]AUX_CLARO!$A:$C,3,FALSE),""))</f>
        <v>400</v>
      </c>
      <c r="S58" t="str">
        <f t="shared" ca="1" si="2"/>
        <v>Claro mais cara</v>
      </c>
      <c r="T58" t="str">
        <f t="shared" ca="1" si="3"/>
        <v>Claro com menor velocidade</v>
      </c>
      <c r="U58" s="9">
        <f t="shared" si="4"/>
        <v>46174</v>
      </c>
      <c r="V58" t="str">
        <f ca="1">IF(OR([1]Planilha1!$B58="",[1]Planilha1!$B58="NÃO MAPEADO"),"",TRIM([1]Planilha1!$B58))</f>
        <v>NOROESTE</v>
      </c>
      <c r="W58" t="str">
        <f ca="1">IF([1]Planilha1!$C58="","",TRIM([1]Planilha1!$C58))</f>
        <v>MD 2</v>
      </c>
      <c r="X58" t="str">
        <f ca="1">IFERROR(VLOOKUP($C58,[1]Planilha2!$B:$H,7,FALSE),"")</f>
        <v>15115-001</v>
      </c>
    </row>
    <row r="59" spans="1:24" x14ac:dyDescent="0.35">
      <c r="A59" t="str">
        <f ca="1">IF(LEFT(TEXT([1]Planilha1!$L59,"0000000"),1)="5","MS","SP")</f>
        <v>SP</v>
      </c>
      <c r="B59" t="str">
        <f ca="1">IF(RIGHT([1]Planilha1!$A59,5)=" - MS",LEFT([1]Planilha1!$A59,LEN([1]Planilha1!$A59)-5),TRIM([1]Planilha1!$A59))</f>
        <v>BADY BASSITT</v>
      </c>
      <c r="C59" s="2">
        <f ca="1">[1]Planilha1!$L59</f>
        <v>3504602</v>
      </c>
      <c r="D59" t="str">
        <f>TRIM([1]Planilha1!$D59)</f>
        <v>ISP LOCAL</v>
      </c>
      <c r="E59" t="str">
        <f>IF(TRIM([1]Planilha1!$D59)="Claro","Claro","Concorrente")</f>
        <v>Concorrente</v>
      </c>
      <c r="F59" t="s">
        <v>43</v>
      </c>
      <c r="G59" t="str">
        <f t="shared" ca="1" si="0"/>
        <v>Banda Larga + Conteudo</v>
      </c>
      <c r="H59" t="str">
        <f ca="1">TRIM([1]Planilha1!$E59)</f>
        <v>OQUEI - 600M R$49,90 - 3 MESES, APÓS R$99,90</v>
      </c>
      <c r="I59" t="str">
        <f ca="1">IF([1]Planilha1!$F59="","",TRIM([1]Planilha1!$F59))</f>
        <v>Fibra</v>
      </c>
      <c r="J59" s="3">
        <f ca="1">IF([1]Planilha1!$G59="","",[1]Planilha1!$G59)</f>
        <v>600</v>
      </c>
      <c r="K59" s="4" t="str" cm="1">
        <f t="array" aca="1" ref="K59" ca="1">IFERROR(VALUE(_xlfn.REGEXEXTRACT([1]Planilha1!$E59,"\+\s*(\d+)GB",2)),"")</f>
        <v/>
      </c>
      <c r="L59" s="5">
        <f ca="1">IF([1]Planilha1!$H59="","",[1]Planilha1!$H59)</f>
        <v>99.9</v>
      </c>
      <c r="M59" s="5">
        <f ca="1">IF([1]Planilha1!$I59="","",[1]Planilha1!$I59)</f>
        <v>49.9</v>
      </c>
      <c r="N59" s="2" cm="1">
        <f t="array" aca="1" ref="N59" ca="1">IFERROR(VALUE(_xlfn.REGEXEXTRACT([1]Planilha1!$E59,"(\d+)\s*MESES",2)),IFERROR(VALUE(_xlfn.REGEXEXTRACT([1]Planilha1!$E59,"por\s*(\d+)\s*M",2)),IF(_xlfn.REGEXTEST([1]Planilha1!$E59,"1[ºª]"),1,"")))</f>
        <v>3</v>
      </c>
      <c r="O59" s="6">
        <f t="shared" ca="1" si="1"/>
        <v>0.16650000000000001</v>
      </c>
      <c r="P59" t="str">
        <f ca="1">IF([1]Planilha1!$J59="","",TRIM([1]Planilha1!$J59))</f>
        <v>0</v>
      </c>
      <c r="Q59" s="7">
        <f ca="1">IF($D59="Claro","",IFERROR($L59-VLOOKUP($B59&amp;"|Claro",[1]AUX_CLARO!$A:$C,2,FALSE),""))</f>
        <v>-40</v>
      </c>
      <c r="R59" s="8">
        <f ca="1">IF($D59="Claro","",IFERROR($J59-VLOOKUP($B59&amp;"|Claro",[1]AUX_CLARO!$A:$C,3,FALSE),""))</f>
        <v>0</v>
      </c>
      <c r="S59" t="str">
        <f t="shared" ca="1" si="2"/>
        <v>Claro mais cara</v>
      </c>
      <c r="T59" t="str">
        <f t="shared" ca="1" si="3"/>
        <v>Mesma velocidade</v>
      </c>
      <c r="U59" s="9">
        <f t="shared" si="4"/>
        <v>46174</v>
      </c>
      <c r="V59" t="str">
        <f ca="1">IF(OR([1]Planilha1!$B59="",[1]Planilha1!$B59="NÃO MAPEADO"),"",TRIM([1]Planilha1!$B59))</f>
        <v>NOROESTE</v>
      </c>
      <c r="W59" t="str">
        <f ca="1">IF([1]Planilha1!$C59="","",TRIM([1]Planilha1!$C59))</f>
        <v>MD 2</v>
      </c>
      <c r="X59" t="str">
        <f ca="1">IFERROR(VLOOKUP($C59,[1]Planilha2!$B:$H,7,FALSE),"")</f>
        <v>15115-001</v>
      </c>
    </row>
    <row r="60" spans="1:24" x14ac:dyDescent="0.35">
      <c r="A60" t="str">
        <f ca="1">IF(LEFT(TEXT([1]Planilha1!$L60,"0000000"),1)="5","MS","SP")</f>
        <v>SP</v>
      </c>
      <c r="B60" t="str">
        <f ca="1">IF(RIGHT([1]Planilha1!$A60,5)=" - MS",LEFT([1]Planilha1!$A60,LEN([1]Planilha1!$A60)-5),TRIM([1]Planilha1!$A60))</f>
        <v>BARRETOS</v>
      </c>
      <c r="C60" s="2">
        <f ca="1">[1]Planilha1!$L60</f>
        <v>3505500</v>
      </c>
      <c r="D60" t="str">
        <f>TRIM([1]Planilha1!$D60)</f>
        <v>Claro</v>
      </c>
      <c r="E60" t="str">
        <f>IF(TRIM([1]Planilha1!$D60)="Claro","Claro","Concorrente")</f>
        <v>Claro</v>
      </c>
      <c r="F60" t="s">
        <v>24</v>
      </c>
      <c r="G60" t="str">
        <f t="shared" ca="1" si="0"/>
        <v>Banda Larga + Movel</v>
      </c>
      <c r="H60" t="str">
        <f ca="1">TRIM([1]Planilha1!$E60)</f>
        <v>600M+100GB=R$109,90 por 6M, após R$139,90</v>
      </c>
      <c r="I60" t="str">
        <f ca="1">IF([1]Planilha1!$F60="","",TRIM([1]Planilha1!$F60))</f>
        <v>Fibra</v>
      </c>
      <c r="J60" s="3">
        <f ca="1">IF([1]Planilha1!$G60="","",[1]Planilha1!$G60)</f>
        <v>600</v>
      </c>
      <c r="K60" s="4" cm="1">
        <f t="array" aca="1" ref="K60" ca="1">IFERROR(VALUE(_xlfn.REGEXEXTRACT([1]Planilha1!$E60,"\+\s*(\d+)GB",2)),"")</f>
        <v>100</v>
      </c>
      <c r="L60" s="5">
        <f ca="1">IF([1]Planilha1!$H60="","",[1]Planilha1!$H60)</f>
        <v>139.9</v>
      </c>
      <c r="M60" s="5">
        <f ca="1">IF([1]Planilha1!$I60="","",[1]Planilha1!$I60)</f>
        <v>109.9</v>
      </c>
      <c r="N60" s="2" cm="1">
        <f t="array" aca="1" ref="N60" ca="1">IFERROR(VALUE(_xlfn.REGEXEXTRACT([1]Planilha1!$E60,"(\d+)\s*MESES",2)),IFERROR(VALUE(_xlfn.REGEXEXTRACT([1]Planilha1!$E60,"por\s*(\d+)\s*M",2)),IF(_xlfn.REGEXTEST([1]Planilha1!$E60,"1[ºª]"),1,"")))</f>
        <v>6</v>
      </c>
      <c r="O60" s="6">
        <f t="shared" ca="1" si="1"/>
        <v>0.23316666666666669</v>
      </c>
      <c r="P60" t="str">
        <f ca="1">IF([1]Planilha1!$J60="","",TRIM([1]Planilha1!$J60))</f>
        <v>GLOBOPLAY</v>
      </c>
      <c r="Q60" s="7" t="str">
        <f>IF($D60="Claro","",IFERROR($L60-VLOOKUP($B60&amp;"|Claro",[1]AUX_CLARO!$A:$C,2,FALSE),""))</f>
        <v/>
      </c>
      <c r="R60" s="8" t="str">
        <f>IF($D60="Claro","",IFERROR($J60-VLOOKUP($B60&amp;"|Claro",[1]AUX_CLARO!$A:$C,3,FALSE),""))</f>
        <v/>
      </c>
      <c r="S60" t="str">
        <f t="shared" si="2"/>
        <v/>
      </c>
      <c r="T60" t="str">
        <f t="shared" si="3"/>
        <v/>
      </c>
      <c r="U60" s="9">
        <f t="shared" si="4"/>
        <v>46174</v>
      </c>
      <c r="V60" t="str">
        <f ca="1">IF(OR([1]Planilha1!$B60="",[1]Planilha1!$B60="NÃO MAPEADO"),"",TRIM([1]Planilha1!$B60))</f>
        <v>NOROESTE</v>
      </c>
      <c r="W60" t="str">
        <f ca="1">IF([1]Planilha1!$C60="","",TRIM([1]Planilha1!$C60))</f>
        <v>MD 2</v>
      </c>
      <c r="X60" t="str">
        <f ca="1">IFERROR(VLOOKUP($C60,[1]Planilha2!$B:$H,7,FALSE),"")</f>
        <v>14780-001</v>
      </c>
    </row>
    <row r="61" spans="1:24" x14ac:dyDescent="0.35">
      <c r="A61" t="str">
        <f ca="1">IF(LEFT(TEXT([1]Planilha1!$L61,"0000000"),1)="5","MS","SP")</f>
        <v>SP</v>
      </c>
      <c r="B61" t="str">
        <f ca="1">IF(RIGHT([1]Planilha1!$A61,5)=" - MS",LEFT([1]Planilha1!$A61,LEN([1]Planilha1!$A61)-5),TRIM([1]Planilha1!$A61))</f>
        <v>BARRETOS</v>
      </c>
      <c r="C61" s="2">
        <f ca="1">[1]Planilha1!$L61</f>
        <v>3505500</v>
      </c>
      <c r="D61" t="str">
        <f>TRIM([1]Planilha1!$D61)</f>
        <v>Vivo</v>
      </c>
      <c r="E61" t="str">
        <f>IF(TRIM([1]Planilha1!$D61)="Claro","Claro","Concorrente")</f>
        <v>Concorrente</v>
      </c>
      <c r="F61" t="s">
        <v>25</v>
      </c>
      <c r="G61" t="str">
        <f t="shared" ca="1" si="0"/>
        <v>Banda Larga + Movel</v>
      </c>
      <c r="H61" t="s">
        <v>26</v>
      </c>
      <c r="I61" t="str">
        <f ca="1">IF([1]Planilha1!$F61="","",TRIM([1]Planilha1!$F61))</f>
        <v>Fibra</v>
      </c>
      <c r="J61" s="11" t="s">
        <v>27</v>
      </c>
      <c r="K61" s="4" cm="1">
        <f t="array" aca="1" ref="K61" ca="1">IFERROR(VALUE(_xlfn.REGEXEXTRACT([1]Planilha1!$E61,"\+\s*(\d+)GB",2)),"")</f>
        <v>70</v>
      </c>
      <c r="L61" s="5">
        <v>160</v>
      </c>
      <c r="M61" s="5" t="str">
        <f ca="1">IF([1]Planilha1!$I61="","",[1]Planilha1!$I61)</f>
        <v/>
      </c>
      <c r="N61" s="2" t="str" cm="1">
        <f t="array" aca="1" ref="N61" ca="1">IFERROR(VALUE(_xlfn.REGEXEXTRACT([1]Planilha1!$E61,"(\d+)\s*MESES",2)),IFERROR(VALUE(_xlfn.REGEXEXTRACT([1]Planilha1!$E61,"por\s*(\d+)\s*M",2)),IF(_xlfn.REGEXTEST([1]Planilha1!$E61,"1[ºª]"),1,"")))</f>
        <v/>
      </c>
      <c r="O61" s="6" t="str">
        <f t="shared" si="1"/>
        <v/>
      </c>
      <c r="P61" t="str">
        <f ca="1">IF([1]Planilha1!$J61="","",TRIM([1]Planilha1!$J61))</f>
        <v>0</v>
      </c>
      <c r="Q61" s="7">
        <f ca="1">IF($D61="Claro","",IFERROR($L61-VLOOKUP($B61&amp;"|Claro",[1]AUX_CLARO!$A:$C,2,FALSE),""))</f>
        <v>20.099999999999994</v>
      </c>
      <c r="R61" s="8" t="str">
        <f ca="1">IF($D61="Claro","",IFERROR($J61-VLOOKUP($B61&amp;"|Claro",[1]AUX_CLARO!$A:$C,3,FALSE),""))</f>
        <v/>
      </c>
      <c r="S61" t="str">
        <f t="shared" ca="1" si="2"/>
        <v>Claro mais barata</v>
      </c>
      <c r="T61" t="str">
        <f t="shared" ca="1" si="3"/>
        <v/>
      </c>
      <c r="U61" s="9">
        <f t="shared" si="4"/>
        <v>46174</v>
      </c>
      <c r="V61" t="str">
        <f ca="1">IF(OR([1]Planilha1!$B61="",[1]Planilha1!$B61="NÃO MAPEADO"),"",TRIM([1]Planilha1!$B61))</f>
        <v>NOROESTE</v>
      </c>
      <c r="W61" t="str">
        <f ca="1">IF([1]Planilha1!$C61="","",TRIM([1]Planilha1!$C61))</f>
        <v>MD 2</v>
      </c>
      <c r="X61" t="str">
        <f ca="1">IFERROR(VLOOKUP($C61,[1]Planilha2!$B:$H,7,FALSE),"")</f>
        <v>14780-001</v>
      </c>
    </row>
    <row r="62" spans="1:24" x14ac:dyDescent="0.35">
      <c r="A62" t="str">
        <f ca="1">IF(LEFT(TEXT([1]Planilha1!$L62,"0000000"),1)="5","MS","SP")</f>
        <v>SP</v>
      </c>
      <c r="B62" t="str">
        <f ca="1">IF(RIGHT([1]Planilha1!$A62,5)=" - MS",LEFT([1]Planilha1!$A62,LEN([1]Planilha1!$A62)-5),TRIM([1]Planilha1!$A62))</f>
        <v>BARRETOS</v>
      </c>
      <c r="C62" s="2">
        <f ca="1">[1]Planilha1!$L62</f>
        <v>3505500</v>
      </c>
      <c r="D62" t="str">
        <f>TRIM([1]Planilha1!$D62)</f>
        <v>Desktop</v>
      </c>
      <c r="E62" t="str">
        <f>IF(TRIM([1]Planilha1!$D62)="Claro","Claro","Concorrente")</f>
        <v>Concorrente</v>
      </c>
      <c r="F62" t="s">
        <v>29</v>
      </c>
      <c r="G62" t="str">
        <f t="shared" ca="1" si="0"/>
        <v>Banda Larga + Conteudo</v>
      </c>
      <c r="H62" t="str">
        <f ca="1">TRIM([1]Planilha1!$E62)</f>
        <v>600M=R$49,99 por 2M, após R$89,99</v>
      </c>
      <c r="I62" t="str">
        <f ca="1">IF([1]Planilha1!$F62="","",TRIM([1]Planilha1!$F62))</f>
        <v>Fibra</v>
      </c>
      <c r="J62" s="3">
        <f ca="1">IF([1]Planilha1!$G62="","",[1]Planilha1!$G62)</f>
        <v>600</v>
      </c>
      <c r="K62" s="4" t="str" cm="1">
        <f t="array" aca="1" ref="K62" ca="1">IFERROR(VALUE(_xlfn.REGEXEXTRACT([1]Planilha1!$E62,"\+\s*(\d+)GB",2)),"")</f>
        <v/>
      </c>
      <c r="L62" s="5">
        <f ca="1">IF([1]Planilha1!$H62="","",[1]Planilha1!$H62)</f>
        <v>89.99</v>
      </c>
      <c r="M62" s="5">
        <f ca="1">IF([1]Planilha1!$I62="","",[1]Planilha1!$I62)</f>
        <v>49.99</v>
      </c>
      <c r="N62" s="2" cm="1">
        <f t="array" aca="1" ref="N62" ca="1">IFERROR(VALUE(_xlfn.REGEXEXTRACT([1]Planilha1!$E62,"(\d+)\s*MESES",2)),IFERROR(VALUE(_xlfn.REGEXEXTRACT([1]Planilha1!$E62,"por\s*(\d+)\s*M",2)),IF(_xlfn.REGEXTEST([1]Planilha1!$E62,"1[ºª]"),1,"")))</f>
        <v>2</v>
      </c>
      <c r="O62" s="6">
        <f t="shared" ca="1" si="1"/>
        <v>0.14998333333333333</v>
      </c>
      <c r="P62" t="str">
        <f ca="1">IF([1]Planilha1!$J62="","",TRIM([1]Planilha1!$J62))</f>
        <v>0</v>
      </c>
      <c r="Q62" s="7">
        <f ca="1">IF($D62="Claro","",IFERROR($L62-VLOOKUP($B62&amp;"|Claro",[1]AUX_CLARO!$A:$C,2,FALSE),""))</f>
        <v>-49.910000000000011</v>
      </c>
      <c r="R62" s="8">
        <f ca="1">IF($D62="Claro","",IFERROR($J62-VLOOKUP($B62&amp;"|Claro",[1]AUX_CLARO!$A:$C,3,FALSE),""))</f>
        <v>0</v>
      </c>
      <c r="S62" t="str">
        <f t="shared" ca="1" si="2"/>
        <v>Claro mais cara</v>
      </c>
      <c r="T62" t="str">
        <f t="shared" ca="1" si="3"/>
        <v>Mesma velocidade</v>
      </c>
      <c r="U62" s="9">
        <f t="shared" si="4"/>
        <v>46174</v>
      </c>
      <c r="V62" t="str">
        <f ca="1">IF(OR([1]Planilha1!$B62="",[1]Planilha1!$B62="NÃO MAPEADO"),"",TRIM([1]Planilha1!$B62))</f>
        <v>NOROESTE</v>
      </c>
      <c r="W62" t="str">
        <f ca="1">IF([1]Planilha1!$C62="","",TRIM([1]Planilha1!$C62))</f>
        <v>MD 2</v>
      </c>
      <c r="X62" t="str">
        <f ca="1">IFERROR(VLOOKUP($C62,[1]Planilha2!$B:$H,7,FALSE),"")</f>
        <v>14780-001</v>
      </c>
    </row>
    <row r="63" spans="1:24" x14ac:dyDescent="0.35">
      <c r="A63" t="str">
        <f ca="1">IF(LEFT(TEXT([1]Planilha1!$L63,"0000000"),1)="5","MS","SP")</f>
        <v>SP</v>
      </c>
      <c r="B63" t="str">
        <f ca="1">IF(RIGHT([1]Planilha1!$A63,5)=" - MS",LEFT([1]Planilha1!$A63,LEN([1]Planilha1!$A63)-5),TRIM([1]Planilha1!$A63))</f>
        <v>BARRETOS</v>
      </c>
      <c r="C63" s="2">
        <f ca="1">[1]Planilha1!$L63</f>
        <v>3505500</v>
      </c>
      <c r="D63" t="str">
        <f>TRIM([1]Planilha1!$D63)</f>
        <v>Algar</v>
      </c>
      <c r="E63" t="str">
        <f>IF(TRIM([1]Planilha1!$D63)="Claro","Claro","Concorrente")</f>
        <v>Concorrente</v>
      </c>
      <c r="F63" t="s">
        <v>38</v>
      </c>
      <c r="G63" t="str">
        <f t="shared" ca="1" si="0"/>
        <v>Banda Larga + Conteudo</v>
      </c>
      <c r="H63" t="str">
        <f ca="1">TRIM([1]Planilha1!$E63)</f>
        <v>800M R$99,90</v>
      </c>
      <c r="I63" t="str">
        <f ca="1">IF([1]Planilha1!$F63="","",TRIM([1]Planilha1!$F63))</f>
        <v>Fibra</v>
      </c>
      <c r="J63" s="3">
        <f ca="1">IF([1]Planilha1!$G63="","",[1]Planilha1!$G63)</f>
        <v>800</v>
      </c>
      <c r="K63" s="4" t="str" cm="1">
        <f t="array" aca="1" ref="K63" ca="1">IFERROR(VALUE(_xlfn.REGEXEXTRACT([1]Planilha1!$E63,"\+\s*(\d+)GB",2)),"")</f>
        <v/>
      </c>
      <c r="L63" s="5">
        <f ca="1">IF([1]Planilha1!$H63="","",[1]Planilha1!$H63)</f>
        <v>99.9</v>
      </c>
      <c r="M63" s="5" t="str">
        <f ca="1">IF([1]Planilha1!$I63="","",[1]Planilha1!$I63)</f>
        <v/>
      </c>
      <c r="N63" s="2" t="str" cm="1">
        <f t="array" aca="1" ref="N63" ca="1">IFERROR(VALUE(_xlfn.REGEXEXTRACT([1]Planilha1!$E63,"(\d+)\s*MESES",2)),IFERROR(VALUE(_xlfn.REGEXEXTRACT([1]Planilha1!$E63,"por\s*(\d+)\s*M",2)),IF(_xlfn.REGEXTEST([1]Planilha1!$E63,"1[ºª]"),1,"")))</f>
        <v/>
      </c>
      <c r="O63" s="6">
        <f t="shared" ca="1" si="1"/>
        <v>0.12487500000000001</v>
      </c>
      <c r="P63" t="str">
        <f ca="1">IF([1]Planilha1!$J63="","",TRIM([1]Planilha1!$J63))</f>
        <v>0</v>
      </c>
      <c r="Q63" s="7">
        <f ca="1">IF($D63="Claro","",IFERROR($L63-VLOOKUP($B63&amp;"|Claro",[1]AUX_CLARO!$A:$C,2,FALSE),""))</f>
        <v>-40</v>
      </c>
      <c r="R63" s="8">
        <f ca="1">IF($D63="Claro","",IFERROR($J63-VLOOKUP($B63&amp;"|Claro",[1]AUX_CLARO!$A:$C,3,FALSE),""))</f>
        <v>200</v>
      </c>
      <c r="S63" t="str">
        <f t="shared" ca="1" si="2"/>
        <v>Claro mais cara</v>
      </c>
      <c r="T63" t="str">
        <f t="shared" ca="1" si="3"/>
        <v>Claro com menor velocidade</v>
      </c>
      <c r="U63" s="9">
        <f t="shared" si="4"/>
        <v>46174</v>
      </c>
      <c r="V63" t="str">
        <f ca="1">IF(OR([1]Planilha1!$B63="",[1]Planilha1!$B63="NÃO MAPEADO"),"",TRIM([1]Planilha1!$B63))</f>
        <v>NOROESTE</v>
      </c>
      <c r="W63" t="str">
        <f ca="1">IF([1]Planilha1!$C63="","",TRIM([1]Planilha1!$C63))</f>
        <v>MD 2</v>
      </c>
      <c r="X63" t="str">
        <f ca="1">IFERROR(VLOOKUP($C63,[1]Planilha2!$B:$H,7,FALSE),"")</f>
        <v>14780-001</v>
      </c>
    </row>
    <row r="64" spans="1:24" x14ac:dyDescent="0.35">
      <c r="A64" t="str">
        <f ca="1">IF(LEFT(TEXT([1]Planilha1!$L64,"0000000"),1)="5","MS","SP")</f>
        <v>SP</v>
      </c>
      <c r="B64" t="str">
        <f ca="1">IF(RIGHT([1]Planilha1!$A64,5)=" - MS",LEFT([1]Planilha1!$A64,LEN([1]Planilha1!$A64)-5),TRIM([1]Planilha1!$A64))</f>
        <v>BARRETOS</v>
      </c>
      <c r="C64" s="2">
        <f ca="1">[1]Planilha1!$L64</f>
        <v>3505500</v>
      </c>
      <c r="D64" t="str">
        <f>TRIM([1]Planilha1!$D64)</f>
        <v>ISP LOCAL</v>
      </c>
      <c r="E64" t="str">
        <f>IF(TRIM([1]Planilha1!$D64)="Claro","Claro","Concorrente")</f>
        <v>Concorrente</v>
      </c>
      <c r="F64" t="s">
        <v>44</v>
      </c>
      <c r="G64" t="str">
        <f t="shared" ca="1" si="0"/>
        <v>Banda Larga + Conteudo</v>
      </c>
      <c r="H64" t="str">
        <f ca="1">TRIM([1]Planilha1!$E64)</f>
        <v>NIC NET - 800M R$59,90 - 3 MESES, APÓS R$99,90</v>
      </c>
      <c r="I64" t="str">
        <f ca="1">IF([1]Planilha1!$F64="","",TRIM([1]Planilha1!$F64))</f>
        <v>Fibra</v>
      </c>
      <c r="J64" s="3">
        <f ca="1">IF([1]Planilha1!$G64="","",[1]Planilha1!$G64)</f>
        <v>800</v>
      </c>
      <c r="K64" s="4" t="str" cm="1">
        <f t="array" aca="1" ref="K64" ca="1">IFERROR(VALUE(_xlfn.REGEXEXTRACT([1]Planilha1!$E64,"\+\s*(\d+)GB",2)),"")</f>
        <v/>
      </c>
      <c r="L64" s="5">
        <f ca="1">IF([1]Planilha1!$H64="","",[1]Planilha1!$H64)</f>
        <v>99.9</v>
      </c>
      <c r="M64" s="5">
        <f ca="1">IF([1]Planilha1!$I64="","",[1]Planilha1!$I64)</f>
        <v>59.9</v>
      </c>
      <c r="N64" s="2" cm="1">
        <f t="array" aca="1" ref="N64" ca="1">IFERROR(VALUE(_xlfn.REGEXEXTRACT([1]Planilha1!$E64,"(\d+)\s*MESES",2)),IFERROR(VALUE(_xlfn.REGEXEXTRACT([1]Planilha1!$E64,"por\s*(\d+)\s*M",2)),IF(_xlfn.REGEXTEST([1]Planilha1!$E64,"1[ºª]"),1,"")))</f>
        <v>3</v>
      </c>
      <c r="O64" s="6">
        <f t="shared" ca="1" si="1"/>
        <v>0.12487500000000001</v>
      </c>
      <c r="P64" t="str">
        <f ca="1">IF([1]Planilha1!$J64="","",TRIM([1]Planilha1!$J64))</f>
        <v>0</v>
      </c>
      <c r="Q64" s="7">
        <f ca="1">IF($D64="Claro","",IFERROR($L64-VLOOKUP($B64&amp;"|Claro",[1]AUX_CLARO!$A:$C,2,FALSE),""))</f>
        <v>-40</v>
      </c>
      <c r="R64" s="8">
        <f ca="1">IF($D64="Claro","",IFERROR($J64-VLOOKUP($B64&amp;"|Claro",[1]AUX_CLARO!$A:$C,3,FALSE),""))</f>
        <v>200</v>
      </c>
      <c r="S64" t="str">
        <f t="shared" ca="1" si="2"/>
        <v>Claro mais cara</v>
      </c>
      <c r="T64" t="str">
        <f t="shared" ca="1" si="3"/>
        <v>Claro com menor velocidade</v>
      </c>
      <c r="U64" s="9">
        <f t="shared" si="4"/>
        <v>46174</v>
      </c>
      <c r="V64" t="str">
        <f ca="1">IF(OR([1]Planilha1!$B64="",[1]Planilha1!$B64="NÃO MAPEADO"),"",TRIM([1]Planilha1!$B64))</f>
        <v>NOROESTE</v>
      </c>
      <c r="W64" t="str">
        <f ca="1">IF([1]Planilha1!$C64="","",TRIM([1]Planilha1!$C64))</f>
        <v>MD 2</v>
      </c>
      <c r="X64" t="str">
        <f ca="1">IFERROR(VLOOKUP($C64,[1]Planilha2!$B:$H,7,FALSE),"")</f>
        <v>14780-001</v>
      </c>
    </row>
    <row r="65" spans="1:24" x14ac:dyDescent="0.35">
      <c r="A65" t="str">
        <f ca="1">IF(LEFT(TEXT([1]Planilha1!$L65,"0000000"),1)="5","MS","SP")</f>
        <v>SP</v>
      </c>
      <c r="B65" t="str">
        <f ca="1">IF(RIGHT([1]Planilha1!$A65,5)=" - MS",LEFT([1]Planilha1!$A65,LEN([1]Planilha1!$A65)-5),TRIM([1]Planilha1!$A65))</f>
        <v>BARRINHA</v>
      </c>
      <c r="C65" s="2">
        <f ca="1">[1]Planilha1!$L65</f>
        <v>3505609</v>
      </c>
      <c r="D65" t="str">
        <f>TRIM([1]Planilha1!$D65)</f>
        <v>Claro</v>
      </c>
      <c r="E65" t="str">
        <f>IF(TRIM([1]Planilha1!$D65)="Claro","Claro","Concorrente")</f>
        <v>Claro</v>
      </c>
      <c r="F65" t="s">
        <v>24</v>
      </c>
      <c r="G65" t="str">
        <f t="shared" ca="1" si="0"/>
        <v>Banda Larga + Movel</v>
      </c>
      <c r="H65" t="str">
        <f ca="1">TRIM([1]Planilha1!$E65)</f>
        <v>600M+100GB=R$119,90 por 6M, após R$139,90</v>
      </c>
      <c r="I65" t="str">
        <f ca="1">IF([1]Planilha1!$F65="","",TRIM([1]Planilha1!$F65))</f>
        <v>Fibra</v>
      </c>
      <c r="J65" s="3">
        <f ca="1">IF([1]Planilha1!$G65="","",[1]Planilha1!$G65)</f>
        <v>600</v>
      </c>
      <c r="K65" s="4" cm="1">
        <f t="array" aca="1" ref="K65" ca="1">IFERROR(VALUE(_xlfn.REGEXEXTRACT([1]Planilha1!$E65,"\+\s*(\d+)GB",2)),"")</f>
        <v>100</v>
      </c>
      <c r="L65" s="5">
        <f ca="1">IF([1]Planilha1!$H65="","",[1]Planilha1!$H65)</f>
        <v>139.9</v>
      </c>
      <c r="M65" s="5">
        <f ca="1">IF([1]Planilha1!$I65="","",[1]Planilha1!$I65)</f>
        <v>119.9</v>
      </c>
      <c r="N65" s="2" cm="1">
        <f t="array" aca="1" ref="N65" ca="1">IFERROR(VALUE(_xlfn.REGEXEXTRACT([1]Planilha1!$E65,"(\d+)\s*MESES",2)),IFERROR(VALUE(_xlfn.REGEXEXTRACT([1]Planilha1!$E65,"por\s*(\d+)\s*M",2)),IF(_xlfn.REGEXTEST([1]Planilha1!$E65,"1[ºª]"),1,"")))</f>
        <v>6</v>
      </c>
      <c r="O65" s="6">
        <f t="shared" ca="1" si="1"/>
        <v>0.23316666666666669</v>
      </c>
      <c r="P65" t="str">
        <f ca="1">IF([1]Planilha1!$J65="","",TRIM([1]Planilha1!$J65))</f>
        <v>GLOBOPLAY</v>
      </c>
      <c r="Q65" s="7" t="str">
        <f>IF($D65="Claro","",IFERROR($L65-VLOOKUP($B65&amp;"|Claro",[1]AUX_CLARO!$A:$C,2,FALSE),""))</f>
        <v/>
      </c>
      <c r="R65" s="8" t="str">
        <f>IF($D65="Claro","",IFERROR($J65-VLOOKUP($B65&amp;"|Claro",[1]AUX_CLARO!$A:$C,3,FALSE),""))</f>
        <v/>
      </c>
      <c r="S65" t="str">
        <f t="shared" si="2"/>
        <v/>
      </c>
      <c r="T65" t="str">
        <f t="shared" si="3"/>
        <v/>
      </c>
      <c r="U65" s="9">
        <f t="shared" si="4"/>
        <v>46174</v>
      </c>
      <c r="V65" t="str">
        <f ca="1">IF(OR([1]Planilha1!$B65="",[1]Planilha1!$B65="NÃO MAPEADO"),"",TRIM([1]Planilha1!$B65))</f>
        <v>NOROESTE</v>
      </c>
      <c r="W65" t="str">
        <f ca="1">IF([1]Planilha1!$C65="","",TRIM([1]Planilha1!$C65))</f>
        <v>MD 1</v>
      </c>
      <c r="X65" t="str">
        <f ca="1">IFERROR(VLOOKUP($C65,[1]Planilha2!$B:$H,7,FALSE),"")</f>
        <v>14860-001</v>
      </c>
    </row>
    <row r="66" spans="1:24" x14ac:dyDescent="0.35">
      <c r="A66" t="str">
        <f ca="1">IF(LEFT(TEXT([1]Planilha1!$L66,"0000000"),1)="5","MS","SP")</f>
        <v>SP</v>
      </c>
      <c r="B66" t="str">
        <f ca="1">IF(RIGHT([1]Planilha1!$A66,5)=" - MS",LEFT([1]Planilha1!$A66,LEN([1]Planilha1!$A66)-5),TRIM([1]Planilha1!$A66))</f>
        <v>BARRINHA</v>
      </c>
      <c r="C66" s="2">
        <f ca="1">[1]Planilha1!$L66</f>
        <v>3505609</v>
      </c>
      <c r="D66" t="str">
        <f>TRIM([1]Planilha1!$D66)</f>
        <v>Weclix</v>
      </c>
      <c r="E66" t="str">
        <f>IF(TRIM([1]Planilha1!$D66)="Claro","Claro","Concorrente")</f>
        <v>Concorrente</v>
      </c>
      <c r="F66" t="s">
        <v>34</v>
      </c>
      <c r="G66" t="str">
        <f t="shared" ca="1" si="0"/>
        <v>Banda Larga + Conteudo</v>
      </c>
      <c r="H66" t="str">
        <f ca="1">TRIM([1]Planilha1!$E66)</f>
        <v>1GB R$59,90 - 1ª MENSALIDADE, APÓS R$99,90</v>
      </c>
      <c r="I66" t="str">
        <f ca="1">IF([1]Planilha1!$F66="","",TRIM([1]Planilha1!$F66))</f>
        <v>Fibra</v>
      </c>
      <c r="J66" s="3">
        <f ca="1">IF([1]Planilha1!$G66="","",[1]Planilha1!$G66)</f>
        <v>1000</v>
      </c>
      <c r="K66" s="4" t="str" cm="1">
        <f t="array" aca="1" ref="K66" ca="1">IFERROR(VALUE(_xlfn.REGEXEXTRACT([1]Planilha1!$E66,"\+\s*(\d+)GB",2)),"")</f>
        <v/>
      </c>
      <c r="L66" s="5">
        <f ca="1">IF([1]Planilha1!$H66="","",[1]Planilha1!$H66)</f>
        <v>99.9</v>
      </c>
      <c r="M66" s="5">
        <f ca="1">IF([1]Planilha1!$I66="","",[1]Planilha1!$I66)</f>
        <v>59.9</v>
      </c>
      <c r="N66" s="2" cm="1">
        <f t="array" aca="1" ref="N66" ca="1">IFERROR(VALUE(_xlfn.REGEXEXTRACT([1]Planilha1!$E66,"(\d+)\s*MESES",2)),IFERROR(VALUE(_xlfn.REGEXEXTRACT([1]Planilha1!$E66,"por\s*(\d+)\s*M",2)),IF(_xlfn.REGEXTEST([1]Planilha1!$E66,"1[ºª]"),1,"")))</f>
        <v>1</v>
      </c>
      <c r="O66" s="6">
        <f t="shared" ca="1" si="1"/>
        <v>9.9900000000000003E-2</v>
      </c>
      <c r="P66" t="str">
        <f ca="1">IF([1]Planilha1!$J66="","",TRIM([1]Planilha1!$J66))</f>
        <v>0</v>
      </c>
      <c r="Q66" s="7">
        <f ca="1">IF($D66="Claro","",IFERROR($L66-VLOOKUP($B66&amp;"|Claro",[1]AUX_CLARO!$A:$C,2,FALSE),""))</f>
        <v>-40</v>
      </c>
      <c r="R66" s="8">
        <f ca="1">IF($D66="Claro","",IFERROR($J66-VLOOKUP($B66&amp;"|Claro",[1]AUX_CLARO!$A:$C,3,FALSE),""))</f>
        <v>400</v>
      </c>
      <c r="S66" t="str">
        <f t="shared" ca="1" si="2"/>
        <v>Claro mais cara</v>
      </c>
      <c r="T66" t="str">
        <f t="shared" ca="1" si="3"/>
        <v>Claro com menor velocidade</v>
      </c>
      <c r="U66" s="9">
        <f t="shared" si="4"/>
        <v>46174</v>
      </c>
      <c r="V66" t="str">
        <f ca="1">IF(OR([1]Planilha1!$B66="",[1]Planilha1!$B66="NÃO MAPEADO"),"",TRIM([1]Planilha1!$B66))</f>
        <v>NOROESTE</v>
      </c>
      <c r="W66" t="str">
        <f ca="1">IF([1]Planilha1!$C66="","",TRIM([1]Planilha1!$C66))</f>
        <v>MD 1</v>
      </c>
      <c r="X66" t="str">
        <f ca="1">IFERROR(VLOOKUP($C66,[1]Planilha2!$B:$H,7,FALSE),"")</f>
        <v>14860-001</v>
      </c>
    </row>
    <row r="67" spans="1:24" x14ac:dyDescent="0.35">
      <c r="A67" t="str">
        <f ca="1">IF(LEFT(TEXT([1]Planilha1!$L67,"0000000"),1)="5","MS","SP")</f>
        <v>SP</v>
      </c>
      <c r="B67" t="str">
        <f ca="1">IF(RIGHT([1]Planilha1!$A67,5)=" - MS",LEFT([1]Planilha1!$A67,LEN([1]Planilha1!$A67)-5),TRIM([1]Planilha1!$A67))</f>
        <v>BARRINHA</v>
      </c>
      <c r="C67" s="2">
        <f ca="1">[1]Planilha1!$L67</f>
        <v>3505609</v>
      </c>
      <c r="D67" t="str">
        <f>TRIM([1]Planilha1!$D67)</f>
        <v>ISP LOCAL</v>
      </c>
      <c r="E67" t="str">
        <f>IF(TRIM([1]Planilha1!$D67)="Claro","Claro","Concorrente")</f>
        <v>Concorrente</v>
      </c>
      <c r="F67" t="s">
        <v>44</v>
      </c>
      <c r="G67" t="str">
        <f t="shared" ca="1" si="0"/>
        <v>Banda Larga + Conteudo</v>
      </c>
      <c r="H67" t="str">
        <f ca="1">TRIM([1]Planilha1!$E67)</f>
        <v>NIC NET - 800M R$59,90 - 3 MESES, APÓS R$99,90</v>
      </c>
      <c r="I67" t="str">
        <f ca="1">IF([1]Planilha1!$F67="","",TRIM([1]Planilha1!$F67))</f>
        <v>Fibra</v>
      </c>
      <c r="J67" s="3">
        <f ca="1">IF([1]Planilha1!$G67="","",[1]Planilha1!$G67)</f>
        <v>800</v>
      </c>
      <c r="K67" s="4" t="str" cm="1">
        <f t="array" aca="1" ref="K67" ca="1">IFERROR(VALUE(_xlfn.REGEXEXTRACT([1]Planilha1!$E67,"\+\s*(\d+)GB",2)),"")</f>
        <v/>
      </c>
      <c r="L67" s="5">
        <f ca="1">IF([1]Planilha1!$H67="","",[1]Planilha1!$H67)</f>
        <v>99.9</v>
      </c>
      <c r="M67" s="5">
        <f ca="1">IF([1]Planilha1!$I67="","",[1]Planilha1!$I67)</f>
        <v>59.9</v>
      </c>
      <c r="N67" s="2" cm="1">
        <f t="array" aca="1" ref="N67" ca="1">IFERROR(VALUE(_xlfn.REGEXEXTRACT([1]Planilha1!$E67,"(\d+)\s*MESES",2)),IFERROR(VALUE(_xlfn.REGEXEXTRACT([1]Planilha1!$E67,"por\s*(\d+)\s*M",2)),IF(_xlfn.REGEXTEST([1]Planilha1!$E67,"1[ºª]"),1,"")))</f>
        <v>3</v>
      </c>
      <c r="O67" s="6">
        <f t="shared" ref="O67:O130" ca="1" si="5">IF(OR($L67="",$J67="",N($J67)=0),"",$L67/$J67)</f>
        <v>0.12487500000000001</v>
      </c>
      <c r="P67" t="str">
        <f ca="1">IF([1]Planilha1!$J67="","",TRIM([1]Planilha1!$J67))</f>
        <v>0</v>
      </c>
      <c r="Q67" s="7">
        <f ca="1">IF($D67="Claro","",IFERROR($L67-VLOOKUP($B67&amp;"|Claro",[1]AUX_CLARO!$A:$C,2,FALSE),""))</f>
        <v>-40</v>
      </c>
      <c r="R67" s="8">
        <f ca="1">IF($D67="Claro","",IFERROR($J67-VLOOKUP($B67&amp;"|Claro",[1]AUX_CLARO!$A:$C,3,FALSE),""))</f>
        <v>200</v>
      </c>
      <c r="S67" t="str">
        <f t="shared" ref="S67:S130" ca="1" si="6">IF($Q67="","",IF($Q67&gt;0,"Claro mais barata",IF($Q67=0,"Mesmo preco","Claro mais cara")))</f>
        <v>Claro mais cara</v>
      </c>
      <c r="T67" t="str">
        <f t="shared" ref="T67:T130" ca="1" si="7">IF($R67="","",IF($R67&lt;0,"Claro com maior velocidade",IF($R67=0,"Mesma velocidade","Claro com menor velocidade")))</f>
        <v>Claro com menor velocidade</v>
      </c>
      <c r="U67" s="9">
        <f t="shared" ref="U67:U130" si="8">DATE(2026,6,1)</f>
        <v>46174</v>
      </c>
      <c r="V67" t="str">
        <f ca="1">IF(OR([1]Planilha1!$B67="",[1]Planilha1!$B67="NÃO MAPEADO"),"",TRIM([1]Planilha1!$B67))</f>
        <v>NOROESTE</v>
      </c>
      <c r="W67" t="str">
        <f ca="1">IF([1]Planilha1!$C67="","",TRIM([1]Planilha1!$C67))</f>
        <v>MD 1</v>
      </c>
      <c r="X67" t="str">
        <f ca="1">IFERROR(VLOOKUP($C67,[1]Planilha2!$B:$H,7,FALSE),"")</f>
        <v>14860-001</v>
      </c>
    </row>
    <row r="68" spans="1:24" x14ac:dyDescent="0.35">
      <c r="A68" t="str">
        <f ca="1">IF(LEFT(TEXT([1]Planilha1!$L68,"0000000"),1)="5","MS","SP")</f>
        <v>SP</v>
      </c>
      <c r="B68" t="str">
        <f ca="1">IF(RIGHT([1]Planilha1!$A68,5)=" - MS",LEFT([1]Planilha1!$A68,LEN([1]Planilha1!$A68)-5),TRIM([1]Planilha1!$A68))</f>
        <v>BATATAIS</v>
      </c>
      <c r="C68" s="2">
        <f ca="1">[1]Planilha1!$L68</f>
        <v>3505906</v>
      </c>
      <c r="D68" t="str">
        <f>TRIM([1]Planilha1!$D68)</f>
        <v>Claro</v>
      </c>
      <c r="E68" t="str">
        <f>IF(TRIM([1]Planilha1!$D68)="Claro","Claro","Concorrente")</f>
        <v>Claro</v>
      </c>
      <c r="F68" t="s">
        <v>24</v>
      </c>
      <c r="G68" t="str">
        <f t="shared" ca="1" si="0"/>
        <v>Banda Larga + Movel</v>
      </c>
      <c r="H68" t="str">
        <f ca="1">TRIM([1]Planilha1!$E68)</f>
        <v>600M+100GB=R$109,90 por 6M, após R$139,90</v>
      </c>
      <c r="I68" t="str">
        <f ca="1">IF([1]Planilha1!$F68="","",TRIM([1]Planilha1!$F68))</f>
        <v>Fibra</v>
      </c>
      <c r="J68" s="3">
        <f ca="1">IF([1]Planilha1!$G68="","",[1]Planilha1!$G68)</f>
        <v>600</v>
      </c>
      <c r="K68" s="4" cm="1">
        <f t="array" aca="1" ref="K68" ca="1">IFERROR(VALUE(_xlfn.REGEXEXTRACT([1]Planilha1!$E68,"\+\s*(\d+)GB",2)),"")</f>
        <v>100</v>
      </c>
      <c r="L68" s="5">
        <f ca="1">IF([1]Planilha1!$H68="","",[1]Planilha1!$H68)</f>
        <v>139.9</v>
      </c>
      <c r="M68" s="5">
        <f ca="1">IF([1]Planilha1!$I68="","",[1]Planilha1!$I68)</f>
        <v>109.9</v>
      </c>
      <c r="N68" s="2" cm="1">
        <f t="array" aca="1" ref="N68" ca="1">IFERROR(VALUE(_xlfn.REGEXEXTRACT([1]Planilha1!$E68,"(\d+)\s*MESES",2)),IFERROR(VALUE(_xlfn.REGEXEXTRACT([1]Planilha1!$E68,"por\s*(\d+)\s*M",2)),IF(_xlfn.REGEXTEST([1]Planilha1!$E68,"1[ºª]"),1,"")))</f>
        <v>6</v>
      </c>
      <c r="O68" s="6">
        <f t="shared" ca="1" si="5"/>
        <v>0.23316666666666669</v>
      </c>
      <c r="P68" t="str">
        <f ca="1">IF([1]Planilha1!$J68="","",TRIM([1]Planilha1!$J68))</f>
        <v>GLOBOPLAY</v>
      </c>
      <c r="Q68" s="7" t="str">
        <f>IF($D68="Claro","",IFERROR($L68-VLOOKUP($B68&amp;"|Claro",[1]AUX_CLARO!$A:$C,2,FALSE),""))</f>
        <v/>
      </c>
      <c r="R68" s="8" t="str">
        <f>IF($D68="Claro","",IFERROR($J68-VLOOKUP($B68&amp;"|Claro",[1]AUX_CLARO!$A:$C,3,FALSE),""))</f>
        <v/>
      </c>
      <c r="S68" t="str">
        <f t="shared" si="6"/>
        <v/>
      </c>
      <c r="T68" t="str">
        <f t="shared" si="7"/>
        <v/>
      </c>
      <c r="U68" s="9">
        <f t="shared" si="8"/>
        <v>46174</v>
      </c>
      <c r="V68" t="str">
        <f ca="1">IF(OR([1]Planilha1!$B68="",[1]Planilha1!$B68="NÃO MAPEADO"),"",TRIM([1]Planilha1!$B68))</f>
        <v>NOROESTE</v>
      </c>
      <c r="W68" t="str">
        <f ca="1">IF([1]Planilha1!$C68="","",TRIM([1]Planilha1!$C68))</f>
        <v>MD 2</v>
      </c>
      <c r="X68" t="str">
        <f ca="1">IFERROR(VLOOKUP($C68,[1]Planilha2!$B:$H,7,FALSE),"")</f>
        <v>14300-001</v>
      </c>
    </row>
    <row r="69" spans="1:24" x14ac:dyDescent="0.35">
      <c r="A69" t="str">
        <f ca="1">IF(LEFT(TEXT([1]Planilha1!$L69,"0000000"),1)="5","MS","SP")</f>
        <v>SP</v>
      </c>
      <c r="B69" t="str">
        <f ca="1">IF(RIGHT([1]Planilha1!$A69,5)=" - MS",LEFT([1]Planilha1!$A69,LEN([1]Planilha1!$A69)-5),TRIM([1]Planilha1!$A69))</f>
        <v>BATATAIS</v>
      </c>
      <c r="C69" s="2">
        <f ca="1">[1]Planilha1!$L69</f>
        <v>3505906</v>
      </c>
      <c r="D69" t="str">
        <f>TRIM([1]Planilha1!$D69)</f>
        <v>Algar</v>
      </c>
      <c r="E69" t="str">
        <f>IF(TRIM([1]Planilha1!$D69)="Claro","Claro","Concorrente")</f>
        <v>Concorrente</v>
      </c>
      <c r="F69" t="s">
        <v>38</v>
      </c>
      <c r="G69" t="str">
        <f t="shared" ca="1" si="0"/>
        <v>Banda Larga + Conteudo</v>
      </c>
      <c r="H69" t="str">
        <f ca="1">TRIM([1]Planilha1!$E69)</f>
        <v>800M R$99,90</v>
      </c>
      <c r="I69" t="str">
        <f ca="1">IF([1]Planilha1!$F69="","",TRIM([1]Planilha1!$F69))</f>
        <v>Fibra</v>
      </c>
      <c r="J69" s="3">
        <f ca="1">IF([1]Planilha1!$G69="","",[1]Planilha1!$G69)</f>
        <v>800</v>
      </c>
      <c r="K69" s="4" t="str" cm="1">
        <f t="array" aca="1" ref="K69" ca="1">IFERROR(VALUE(_xlfn.REGEXEXTRACT([1]Planilha1!$E69,"\+\s*(\d+)GB",2)),"")</f>
        <v/>
      </c>
      <c r="L69" s="5">
        <f ca="1">IF([1]Planilha1!$H69="","",[1]Planilha1!$H69)</f>
        <v>99.9</v>
      </c>
      <c r="M69" s="5" t="str">
        <f ca="1">IF([1]Planilha1!$I69="","",[1]Planilha1!$I69)</f>
        <v/>
      </c>
      <c r="N69" s="2" t="str" cm="1">
        <f t="array" aca="1" ref="N69" ca="1">IFERROR(VALUE(_xlfn.REGEXEXTRACT([1]Planilha1!$E69,"(\d+)\s*MESES",2)),IFERROR(VALUE(_xlfn.REGEXEXTRACT([1]Planilha1!$E69,"por\s*(\d+)\s*M",2)),IF(_xlfn.REGEXTEST([1]Planilha1!$E69,"1[ºª]"),1,"")))</f>
        <v/>
      </c>
      <c r="O69" s="6">
        <f t="shared" ca="1" si="5"/>
        <v>0.12487500000000001</v>
      </c>
      <c r="P69" t="str">
        <f ca="1">IF([1]Planilha1!$J69="","",TRIM([1]Planilha1!$J69))</f>
        <v>0</v>
      </c>
      <c r="Q69" s="7">
        <f ca="1">IF($D69="Claro","",IFERROR($L69-VLOOKUP($B69&amp;"|Claro",[1]AUX_CLARO!$A:$C,2,FALSE),""))</f>
        <v>-40</v>
      </c>
      <c r="R69" s="8">
        <f ca="1">IF($D69="Claro","",IFERROR($J69-VLOOKUP($B69&amp;"|Claro",[1]AUX_CLARO!$A:$C,3,FALSE),""))</f>
        <v>200</v>
      </c>
      <c r="S69" t="str">
        <f t="shared" ca="1" si="6"/>
        <v>Claro mais cara</v>
      </c>
      <c r="T69" t="str">
        <f t="shared" ca="1" si="7"/>
        <v>Claro com menor velocidade</v>
      </c>
      <c r="U69" s="9">
        <f t="shared" si="8"/>
        <v>46174</v>
      </c>
      <c r="V69" t="str">
        <f ca="1">IF(OR([1]Planilha1!$B69="",[1]Planilha1!$B69="NÃO MAPEADO"),"",TRIM([1]Planilha1!$B69))</f>
        <v>NOROESTE</v>
      </c>
      <c r="W69" t="str">
        <f ca="1">IF([1]Planilha1!$C69="","",TRIM([1]Planilha1!$C69))</f>
        <v>MD 2</v>
      </c>
      <c r="X69" t="str">
        <f ca="1">IFERROR(VLOOKUP($C69,[1]Planilha2!$B:$H,7,FALSE),"")</f>
        <v>14300-001</v>
      </c>
    </row>
    <row r="70" spans="1:24" x14ac:dyDescent="0.35">
      <c r="A70" t="str">
        <f ca="1">IF(LEFT(TEXT([1]Planilha1!$L70,"0000000"),1)="5","MS","SP")</f>
        <v>SP</v>
      </c>
      <c r="B70" t="str">
        <f ca="1">IF(RIGHT([1]Planilha1!$A70,5)=" - MS",LEFT([1]Planilha1!$A70,LEN([1]Planilha1!$A70)-5),TRIM([1]Planilha1!$A70))</f>
        <v>BATATAIS</v>
      </c>
      <c r="C70" s="2">
        <f ca="1">[1]Planilha1!$L70</f>
        <v>3505906</v>
      </c>
      <c r="D70" t="str">
        <f>TRIM([1]Planilha1!$D70)</f>
        <v>Weclix</v>
      </c>
      <c r="E70" t="str">
        <f>IF(TRIM([1]Planilha1!$D70)="Claro","Claro","Concorrente")</f>
        <v>Concorrente</v>
      </c>
      <c r="F70" t="s">
        <v>34</v>
      </c>
      <c r="G70" t="str">
        <f t="shared" ca="1" si="0"/>
        <v>Banda Larga + Conteudo</v>
      </c>
      <c r="H70" t="str">
        <f ca="1">TRIM([1]Planilha1!$E70)</f>
        <v>1GB R$59,90 - 1ª MENSALIDADE, APÓS R$99,90</v>
      </c>
      <c r="I70" t="str">
        <f ca="1">IF([1]Planilha1!$F70="","",TRIM([1]Planilha1!$F70))</f>
        <v>Fibra</v>
      </c>
      <c r="J70" s="3">
        <f ca="1">IF([1]Planilha1!$G70="","",[1]Planilha1!$G70)</f>
        <v>1000</v>
      </c>
      <c r="K70" s="4" t="str" cm="1">
        <f t="array" aca="1" ref="K70" ca="1">IFERROR(VALUE(_xlfn.REGEXEXTRACT([1]Planilha1!$E70,"\+\s*(\d+)GB",2)),"")</f>
        <v/>
      </c>
      <c r="L70" s="5">
        <f ca="1">IF([1]Planilha1!$H70="","",[1]Planilha1!$H70)</f>
        <v>99.9</v>
      </c>
      <c r="M70" s="5">
        <f ca="1">IF([1]Planilha1!$I70="","",[1]Planilha1!$I70)</f>
        <v>59.9</v>
      </c>
      <c r="N70" s="2" cm="1">
        <f t="array" aca="1" ref="N70" ca="1">IFERROR(VALUE(_xlfn.REGEXEXTRACT([1]Planilha1!$E70,"(\d+)\s*MESES",2)),IFERROR(VALUE(_xlfn.REGEXEXTRACT([1]Planilha1!$E70,"por\s*(\d+)\s*M",2)),IF(_xlfn.REGEXTEST([1]Planilha1!$E70,"1[ºª]"),1,"")))</f>
        <v>1</v>
      </c>
      <c r="O70" s="6">
        <f t="shared" ca="1" si="5"/>
        <v>9.9900000000000003E-2</v>
      </c>
      <c r="P70" t="str">
        <f ca="1">IF([1]Planilha1!$J70="","",TRIM([1]Planilha1!$J70))</f>
        <v>0</v>
      </c>
      <c r="Q70" s="7">
        <f ca="1">IF($D70="Claro","",IFERROR($L70-VLOOKUP($B70&amp;"|Claro",[1]AUX_CLARO!$A:$C,2,FALSE),""))</f>
        <v>-40</v>
      </c>
      <c r="R70" s="8">
        <f ca="1">IF($D70="Claro","",IFERROR($J70-VLOOKUP($B70&amp;"|Claro",[1]AUX_CLARO!$A:$C,3,FALSE),""))</f>
        <v>400</v>
      </c>
      <c r="S70" t="str">
        <f t="shared" ca="1" si="6"/>
        <v>Claro mais cara</v>
      </c>
      <c r="T70" t="str">
        <f t="shared" ca="1" si="7"/>
        <v>Claro com menor velocidade</v>
      </c>
      <c r="U70" s="9">
        <f t="shared" si="8"/>
        <v>46174</v>
      </c>
      <c r="V70" t="str">
        <f ca="1">IF(OR([1]Planilha1!$B70="",[1]Planilha1!$B70="NÃO MAPEADO"),"",TRIM([1]Planilha1!$B70))</f>
        <v>NOROESTE</v>
      </c>
      <c r="W70" t="str">
        <f ca="1">IF([1]Planilha1!$C70="","",TRIM([1]Planilha1!$C70))</f>
        <v>MD 2</v>
      </c>
      <c r="X70" t="str">
        <f ca="1">IFERROR(VLOOKUP($C70,[1]Planilha2!$B:$H,7,FALSE),"")</f>
        <v>14300-001</v>
      </c>
    </row>
    <row r="71" spans="1:24" x14ac:dyDescent="0.35">
      <c r="A71" t="str">
        <f ca="1">IF(LEFT(TEXT([1]Planilha1!$L71,"0000000"),1)="5","MS","SP")</f>
        <v>SP</v>
      </c>
      <c r="B71" t="str">
        <f ca="1">IF(RIGHT([1]Planilha1!$A71,5)=" - MS",LEFT([1]Planilha1!$A71,LEN([1]Planilha1!$A71)-5),TRIM([1]Planilha1!$A71))</f>
        <v>BATATAIS</v>
      </c>
      <c r="C71" s="2">
        <f ca="1">[1]Planilha1!$L71</f>
        <v>3505906</v>
      </c>
      <c r="D71" t="str">
        <f>TRIM([1]Planilha1!$D71)</f>
        <v>ISP LOCAL</v>
      </c>
      <c r="E71" t="str">
        <f>IF(TRIM([1]Planilha1!$D71)="Claro","Claro","Concorrente")</f>
        <v>Concorrente</v>
      </c>
      <c r="F71" t="s">
        <v>45</v>
      </c>
      <c r="G71" t="str">
        <f t="shared" ca="1" si="0"/>
        <v>Banda Larga + Conteudo</v>
      </c>
      <c r="H71" t="str">
        <f ca="1">TRIM([1]Planilha1!$E71)</f>
        <v>ALCANS - 1GB R$109,00</v>
      </c>
      <c r="I71" t="str">
        <f ca="1">IF([1]Planilha1!$F71="","",TRIM([1]Planilha1!$F71))</f>
        <v>Fibra</v>
      </c>
      <c r="J71" s="3">
        <f ca="1">IF([1]Planilha1!$G71="","",[1]Planilha1!$G71)</f>
        <v>1000</v>
      </c>
      <c r="K71" s="4" t="str" cm="1">
        <f t="array" aca="1" ref="K71" ca="1">IFERROR(VALUE(_xlfn.REGEXEXTRACT([1]Planilha1!$E71,"\+\s*(\d+)GB",2)),"")</f>
        <v/>
      </c>
      <c r="L71" s="5">
        <f ca="1">IF([1]Planilha1!$H71="","",[1]Planilha1!$H71)</f>
        <v>109</v>
      </c>
      <c r="M71" s="5" t="str">
        <f ca="1">IF([1]Planilha1!$I71="","",[1]Planilha1!$I71)</f>
        <v/>
      </c>
      <c r="N71" s="2" t="str" cm="1">
        <f t="array" aca="1" ref="N71" ca="1">IFERROR(VALUE(_xlfn.REGEXEXTRACT([1]Planilha1!$E71,"(\d+)\s*MESES",2)),IFERROR(VALUE(_xlfn.REGEXEXTRACT([1]Planilha1!$E71,"por\s*(\d+)\s*M",2)),IF(_xlfn.REGEXTEST([1]Planilha1!$E71,"1[ºª]"),1,"")))</f>
        <v/>
      </c>
      <c r="O71" s="6">
        <f t="shared" ca="1" si="5"/>
        <v>0.109</v>
      </c>
      <c r="P71" t="str">
        <f ca="1">IF([1]Planilha1!$J71="","",TRIM([1]Planilha1!$J71))</f>
        <v>0</v>
      </c>
      <c r="Q71" s="7">
        <f ca="1">IF($D71="Claro","",IFERROR($L71-VLOOKUP($B71&amp;"|Claro",[1]AUX_CLARO!$A:$C,2,FALSE),""))</f>
        <v>-30.900000000000006</v>
      </c>
      <c r="R71" s="8">
        <f ca="1">IF($D71="Claro","",IFERROR($J71-VLOOKUP($B71&amp;"|Claro",[1]AUX_CLARO!$A:$C,3,FALSE),""))</f>
        <v>400</v>
      </c>
      <c r="S71" t="str">
        <f t="shared" ca="1" si="6"/>
        <v>Claro mais cara</v>
      </c>
      <c r="T71" t="str">
        <f t="shared" ca="1" si="7"/>
        <v>Claro com menor velocidade</v>
      </c>
      <c r="U71" s="9">
        <f t="shared" si="8"/>
        <v>46174</v>
      </c>
      <c r="V71" t="str">
        <f ca="1">IF(OR([1]Planilha1!$B71="",[1]Planilha1!$B71="NÃO MAPEADO"),"",TRIM([1]Planilha1!$B71))</f>
        <v>NOROESTE</v>
      </c>
      <c r="W71" t="str">
        <f ca="1">IF([1]Planilha1!$C71="","",TRIM([1]Planilha1!$C71))</f>
        <v>MD 2</v>
      </c>
      <c r="X71" t="str">
        <f ca="1">IFERROR(VLOOKUP($C71,[1]Planilha2!$B:$H,7,FALSE),"")</f>
        <v>14300-001</v>
      </c>
    </row>
    <row r="72" spans="1:24" x14ac:dyDescent="0.35">
      <c r="A72" t="str">
        <f ca="1">IF(LEFT(TEXT([1]Planilha1!$L72,"0000000"),1)="5","MS","SP")</f>
        <v>SP</v>
      </c>
      <c r="B72" t="str">
        <f ca="1">IF(RIGHT([1]Planilha1!$A72,5)=" - MS",LEFT([1]Planilha1!$A72,LEN([1]Planilha1!$A72)-5),TRIM([1]Planilha1!$A72))</f>
        <v>BAURU</v>
      </c>
      <c r="C72" s="2">
        <f ca="1">[1]Planilha1!$L72</f>
        <v>3506003</v>
      </c>
      <c r="D72" t="str">
        <f>TRIM([1]Planilha1!$D72)</f>
        <v>Claro</v>
      </c>
      <c r="E72" t="str">
        <f>IF(TRIM([1]Planilha1!$D72)="Claro","Claro","Concorrente")</f>
        <v>Claro</v>
      </c>
      <c r="F72" t="s">
        <v>24</v>
      </c>
      <c r="G72" t="str">
        <f t="shared" ca="1" si="0"/>
        <v>Banda Larga + Movel</v>
      </c>
      <c r="H72" t="str">
        <f ca="1">TRIM([1]Planilha1!$E72)</f>
        <v>1GB+100GB = R$99,90</v>
      </c>
      <c r="I72" t="str">
        <f ca="1">IF([1]Planilha1!$F72="","",TRIM([1]Planilha1!$F72))</f>
        <v>Fibra</v>
      </c>
      <c r="J72" s="3">
        <f ca="1">IF([1]Planilha1!$G72="","",[1]Planilha1!$G72)</f>
        <v>1000</v>
      </c>
      <c r="K72" s="4" cm="1">
        <f t="array" aca="1" ref="K72" ca="1">IFERROR(VALUE(_xlfn.REGEXEXTRACT([1]Planilha1!$E72,"\+\s*(\d+)GB",2)),"")</f>
        <v>100</v>
      </c>
      <c r="L72" s="5">
        <f ca="1">IF([1]Planilha1!$H72="","",[1]Planilha1!$H72)</f>
        <v>99.9</v>
      </c>
      <c r="M72" s="5" t="str">
        <f ca="1">IF([1]Planilha1!$I72="","",[1]Planilha1!$I72)</f>
        <v/>
      </c>
      <c r="N72" s="2" t="str" cm="1">
        <f t="array" aca="1" ref="N72" ca="1">IFERROR(VALUE(_xlfn.REGEXEXTRACT([1]Planilha1!$E72,"(\d+)\s*MESES",2)),IFERROR(VALUE(_xlfn.REGEXEXTRACT([1]Planilha1!$E72,"por\s*(\d+)\s*M",2)),IF(_xlfn.REGEXTEST([1]Planilha1!$E72,"1[ºª]"),1,"")))</f>
        <v/>
      </c>
      <c r="O72" s="6">
        <f t="shared" ca="1" si="5"/>
        <v>9.9900000000000003E-2</v>
      </c>
      <c r="P72" t="str">
        <f ca="1">IF([1]Planilha1!$J72="","",TRIM([1]Planilha1!$J72))</f>
        <v>GLOBOPLAY</v>
      </c>
      <c r="Q72" s="7" t="str">
        <f>IF($D72="Claro","",IFERROR($L72-VLOOKUP($B72&amp;"|Claro",[1]AUX_CLARO!$A:$C,2,FALSE),""))</f>
        <v/>
      </c>
      <c r="R72" s="8" t="str">
        <f>IF($D72="Claro","",IFERROR($J72-VLOOKUP($B72&amp;"|Claro",[1]AUX_CLARO!$A:$C,3,FALSE),""))</f>
        <v/>
      </c>
      <c r="S72" t="str">
        <f t="shared" si="6"/>
        <v/>
      </c>
      <c r="T72" t="str">
        <f t="shared" si="7"/>
        <v/>
      </c>
      <c r="U72" s="9">
        <f t="shared" si="8"/>
        <v>46174</v>
      </c>
      <c r="V72" t="str">
        <f ca="1">IF(OR([1]Planilha1!$B72="",[1]Planilha1!$B72="NÃO MAPEADO"),"",TRIM([1]Planilha1!$B72))</f>
        <v>OESTE</v>
      </c>
      <c r="W72" t="str">
        <f ca="1">IF([1]Planilha1!$C72="","",TRIM([1]Planilha1!$C72))</f>
        <v>RUBI</v>
      </c>
      <c r="X72" t="str">
        <f ca="1">IFERROR(VLOOKUP($C72,[1]Planilha2!$B:$H,7,FALSE),"")</f>
        <v>17000-001</v>
      </c>
    </row>
    <row r="73" spans="1:24" x14ac:dyDescent="0.35">
      <c r="A73" t="str">
        <f ca="1">IF(LEFT(TEXT([1]Planilha1!$L73,"0000000"),1)="5","MS","SP")</f>
        <v>SP</v>
      </c>
      <c r="B73" t="str">
        <f ca="1">IF(RIGHT([1]Planilha1!$A73,5)=" - MS",LEFT([1]Planilha1!$A73,LEN([1]Planilha1!$A73)-5),TRIM([1]Planilha1!$A73))</f>
        <v>BAURU</v>
      </c>
      <c r="C73" s="2">
        <f ca="1">[1]Planilha1!$L73</f>
        <v>3506003</v>
      </c>
      <c r="D73" t="str">
        <f>TRIM([1]Planilha1!$D73)</f>
        <v>Vivo</v>
      </c>
      <c r="E73" t="str">
        <f>IF(TRIM([1]Planilha1!$D73)="Claro","Claro","Concorrente")</f>
        <v>Concorrente</v>
      </c>
      <c r="F73" t="s">
        <v>25</v>
      </c>
      <c r="G73" t="str">
        <f t="shared" ca="1" si="0"/>
        <v>Banda Larga + Movel</v>
      </c>
      <c r="H73" t="s">
        <v>26</v>
      </c>
      <c r="I73" t="str">
        <f ca="1">IF([1]Planilha1!$F73="","",TRIM([1]Planilha1!$F73))</f>
        <v>Fibra</v>
      </c>
      <c r="J73" s="11" t="s">
        <v>27</v>
      </c>
      <c r="K73" s="4" cm="1">
        <f t="array" aca="1" ref="K73" ca="1">IFERROR(VALUE(_xlfn.REGEXEXTRACT([1]Planilha1!$E73,"\+\s*(\d+)GB",2)),"")</f>
        <v>70</v>
      </c>
      <c r="L73" s="5">
        <v>160</v>
      </c>
      <c r="M73" s="5" t="str">
        <f ca="1">IF([1]Planilha1!$I73="","",[1]Planilha1!$I73)</f>
        <v/>
      </c>
      <c r="N73" s="2" t="str" cm="1">
        <f t="array" aca="1" ref="N73" ca="1">IFERROR(VALUE(_xlfn.REGEXEXTRACT([1]Planilha1!$E73,"(\d+)\s*MESES",2)),IFERROR(VALUE(_xlfn.REGEXEXTRACT([1]Planilha1!$E73,"por\s*(\d+)\s*M",2)),IF(_xlfn.REGEXTEST([1]Planilha1!$E73,"1[ºª]"),1,"")))</f>
        <v/>
      </c>
      <c r="O73" s="6" t="str">
        <f t="shared" si="5"/>
        <v/>
      </c>
      <c r="P73" t="str">
        <f ca="1">IF([1]Planilha1!$J73="","",TRIM([1]Planilha1!$J73))</f>
        <v>0</v>
      </c>
      <c r="Q73" s="7">
        <f ca="1">IF($D73="Claro","",IFERROR($L73-VLOOKUP($B73&amp;"|Claro",[1]AUX_CLARO!$A:$C,2,FALSE),""))</f>
        <v>60.099999999999994</v>
      </c>
      <c r="R73" s="8" t="str">
        <f ca="1">IF($D73="Claro","",IFERROR($J73-VLOOKUP($B73&amp;"|Claro",[1]AUX_CLARO!$A:$C,3,FALSE),""))</f>
        <v/>
      </c>
      <c r="S73" t="str">
        <f t="shared" ca="1" si="6"/>
        <v>Claro mais barata</v>
      </c>
      <c r="T73" t="str">
        <f t="shared" ca="1" si="7"/>
        <v/>
      </c>
      <c r="U73" s="9">
        <f t="shared" si="8"/>
        <v>46174</v>
      </c>
      <c r="V73" t="str">
        <f ca="1">IF(OR([1]Planilha1!$B73="",[1]Planilha1!$B73="NÃO MAPEADO"),"",TRIM([1]Planilha1!$B73))</f>
        <v>OESTE</v>
      </c>
      <c r="W73" t="str">
        <f ca="1">IF([1]Planilha1!$C73="","",TRIM([1]Planilha1!$C73))</f>
        <v>RUBI</v>
      </c>
      <c r="X73" t="str">
        <f ca="1">IFERROR(VLOOKUP($C73,[1]Planilha2!$B:$H,7,FALSE),"")</f>
        <v>17000-001</v>
      </c>
    </row>
    <row r="74" spans="1:24" x14ac:dyDescent="0.35">
      <c r="A74" t="str">
        <f ca="1">IF(LEFT(TEXT([1]Planilha1!$L74,"0000000"),1)="5","MS","SP")</f>
        <v>SP</v>
      </c>
      <c r="B74" t="str">
        <f ca="1">IF(RIGHT([1]Planilha1!$A74,5)=" - MS",LEFT([1]Planilha1!$A74,LEN([1]Planilha1!$A74)-5),TRIM([1]Planilha1!$A74))</f>
        <v>BAURU</v>
      </c>
      <c r="C74" s="2">
        <f ca="1">[1]Planilha1!$L74</f>
        <v>3506003</v>
      </c>
      <c r="D74" t="str">
        <f>TRIM([1]Planilha1!$D74)</f>
        <v>Desktop</v>
      </c>
      <c r="E74" t="str">
        <f>IF(TRIM([1]Planilha1!$D74)="Claro","Claro","Concorrente")</f>
        <v>Concorrente</v>
      </c>
      <c r="F74" t="s">
        <v>29</v>
      </c>
      <c r="G74" t="str">
        <f t="shared" ca="1" si="0"/>
        <v>Banda Larga + Movel</v>
      </c>
      <c r="H74" t="str">
        <f ca="1">TRIM([1]Planilha1!$E74)</f>
        <v>600M+15GB=R$129,99 - 6 MESES, APÓS R$139,99</v>
      </c>
      <c r="I74" t="str">
        <f ca="1">IF([1]Planilha1!$F74="","",TRIM([1]Planilha1!$F74))</f>
        <v>Fibra</v>
      </c>
      <c r="J74" s="3">
        <f ca="1">IF([1]Planilha1!$G74="","",[1]Planilha1!$G74)</f>
        <v>600</v>
      </c>
      <c r="K74" s="4" cm="1">
        <f t="array" aca="1" ref="K74" ca="1">IFERROR(VALUE(_xlfn.REGEXEXTRACT([1]Planilha1!$E74,"\+\s*(\d+)GB",2)),"")</f>
        <v>15</v>
      </c>
      <c r="L74" s="5">
        <f ca="1">IF([1]Planilha1!$H74="","",[1]Planilha1!$H74)</f>
        <v>139.99</v>
      </c>
      <c r="M74" s="5">
        <f ca="1">IF([1]Planilha1!$I74="","",[1]Planilha1!$I74)</f>
        <v>129.99</v>
      </c>
      <c r="N74" s="2" cm="1">
        <f t="array" aca="1" ref="N74" ca="1">IFERROR(VALUE(_xlfn.REGEXEXTRACT([1]Planilha1!$E74,"(\d+)\s*MESES",2)),IFERROR(VALUE(_xlfn.REGEXEXTRACT([1]Planilha1!$E74,"por\s*(\d+)\s*M",2)),IF(_xlfn.REGEXTEST([1]Planilha1!$E74,"1[ºª]"),1,"")))</f>
        <v>6</v>
      </c>
      <c r="O74" s="6">
        <f t="shared" ca="1" si="5"/>
        <v>0.23331666666666667</v>
      </c>
      <c r="P74" t="str">
        <f ca="1">IF([1]Planilha1!$J74="","",TRIM([1]Planilha1!$J74))</f>
        <v>0</v>
      </c>
      <c r="Q74" s="7">
        <f ca="1">IF($D74="Claro","",IFERROR($L74-VLOOKUP($B74&amp;"|Claro",[1]AUX_CLARO!$A:$C,2,FALSE),""))</f>
        <v>40.090000000000003</v>
      </c>
      <c r="R74" s="8">
        <f ca="1">IF($D74="Claro","",IFERROR($J74-VLOOKUP($B74&amp;"|Claro",[1]AUX_CLARO!$A:$C,3,FALSE),""))</f>
        <v>-400</v>
      </c>
      <c r="S74" t="str">
        <f t="shared" ca="1" si="6"/>
        <v>Claro mais barata</v>
      </c>
      <c r="T74" t="str">
        <f t="shared" ca="1" si="7"/>
        <v>Claro com maior velocidade</v>
      </c>
      <c r="U74" s="9">
        <f t="shared" si="8"/>
        <v>46174</v>
      </c>
      <c r="V74" t="str">
        <f ca="1">IF(OR([1]Planilha1!$B74="",[1]Planilha1!$B74="NÃO MAPEADO"),"",TRIM([1]Planilha1!$B74))</f>
        <v>OESTE</v>
      </c>
      <c r="W74" t="str">
        <f ca="1">IF([1]Planilha1!$C74="","",TRIM([1]Planilha1!$C74))</f>
        <v>RUBI</v>
      </c>
      <c r="X74" t="str">
        <f ca="1">IFERROR(VLOOKUP($C74,[1]Planilha2!$B:$H,7,FALSE),"")</f>
        <v>17000-001</v>
      </c>
    </row>
    <row r="75" spans="1:24" x14ac:dyDescent="0.35">
      <c r="A75" t="str">
        <f ca="1">IF(LEFT(TEXT([1]Planilha1!$L75,"0000000"),1)="5","MS","SP")</f>
        <v>SP</v>
      </c>
      <c r="B75" t="str">
        <f ca="1">IF(RIGHT([1]Planilha1!$A75,5)=" - MS",LEFT([1]Planilha1!$A75,LEN([1]Planilha1!$A75)-5),TRIM([1]Planilha1!$A75))</f>
        <v>BAURU</v>
      </c>
      <c r="C75" s="2">
        <f ca="1">[1]Planilha1!$L75</f>
        <v>3506003</v>
      </c>
      <c r="D75" t="str">
        <f>TRIM([1]Planilha1!$D75)</f>
        <v>Vero</v>
      </c>
      <c r="E75" t="str">
        <f>IF(TRIM([1]Planilha1!$D75)="Claro","Claro","Concorrente")</f>
        <v>Concorrente</v>
      </c>
      <c r="F75" t="s">
        <v>30</v>
      </c>
      <c r="G75" t="str">
        <f t="shared" ca="1" si="0"/>
        <v>Banda Larga + Movel</v>
      </c>
      <c r="H75" t="str">
        <f ca="1">TRIM([1]Planilha1!$E75)</f>
        <v>850M+60GB=R$149,99 (C/ GLOBOPLAY, HBO, DISNEY+)</v>
      </c>
      <c r="I75" t="str">
        <f ca="1">IF([1]Planilha1!$F75="","",TRIM([1]Planilha1!$F75))</f>
        <v>Fibra</v>
      </c>
      <c r="J75" s="3">
        <f ca="1">IF([1]Planilha1!$G75="","",[1]Planilha1!$G75)</f>
        <v>850</v>
      </c>
      <c r="K75" s="4" cm="1">
        <f t="array" aca="1" ref="K75" ca="1">IFERROR(VALUE(_xlfn.REGEXEXTRACT([1]Planilha1!$E75,"\+\s*(\d+)GB",2)),"")</f>
        <v>60</v>
      </c>
      <c r="L75" s="5">
        <f ca="1">IF([1]Planilha1!$H75="","",[1]Planilha1!$H75)</f>
        <v>149.99</v>
      </c>
      <c r="M75" s="5" t="str">
        <f ca="1">IF([1]Planilha1!$I75="","",[1]Planilha1!$I75)</f>
        <v/>
      </c>
      <c r="N75" s="2" t="str" cm="1">
        <f t="array" aca="1" ref="N75" ca="1">IFERROR(VALUE(_xlfn.REGEXEXTRACT([1]Planilha1!$E75,"(\d+)\s*MESES",2)),IFERROR(VALUE(_xlfn.REGEXEXTRACT([1]Planilha1!$E75,"por\s*(\d+)\s*M",2)),IF(_xlfn.REGEXTEST([1]Planilha1!$E75,"1[ºª]"),1,"")))</f>
        <v/>
      </c>
      <c r="O75" s="6">
        <f t="shared" ca="1" si="5"/>
        <v>0.17645882352941178</v>
      </c>
      <c r="P75" t="str">
        <f ca="1">IF([1]Planilha1!$J75="","",TRIM([1]Planilha1!$J75))</f>
        <v>GLOBOPLAY, HBO, DISNEY+</v>
      </c>
      <c r="Q75" s="7">
        <f ca="1">IF($D75="Claro","",IFERROR($L75-VLOOKUP($B75&amp;"|Claro",[1]AUX_CLARO!$A:$C,2,FALSE),""))</f>
        <v>50.09</v>
      </c>
      <c r="R75" s="8">
        <f ca="1">IF($D75="Claro","",IFERROR($J75-VLOOKUP($B75&amp;"|Claro",[1]AUX_CLARO!$A:$C,3,FALSE),""))</f>
        <v>-150</v>
      </c>
      <c r="S75" t="str">
        <f t="shared" ca="1" si="6"/>
        <v>Claro mais barata</v>
      </c>
      <c r="T75" t="str">
        <f t="shared" ca="1" si="7"/>
        <v>Claro com maior velocidade</v>
      </c>
      <c r="U75" s="9">
        <f t="shared" si="8"/>
        <v>46174</v>
      </c>
      <c r="V75" t="str">
        <f ca="1">IF(OR([1]Planilha1!$B75="",[1]Planilha1!$B75="NÃO MAPEADO"),"",TRIM([1]Planilha1!$B75))</f>
        <v>OESTE</v>
      </c>
      <c r="W75" t="str">
        <f ca="1">IF([1]Planilha1!$C75="","",TRIM([1]Planilha1!$C75))</f>
        <v>RUBI</v>
      </c>
      <c r="X75" t="str">
        <f ca="1">IFERROR(VLOOKUP($C75,[1]Planilha2!$B:$H,7,FALSE),"")</f>
        <v>17000-001</v>
      </c>
    </row>
    <row r="76" spans="1:24" x14ac:dyDescent="0.35">
      <c r="A76" t="str">
        <f ca="1">IF(LEFT(TEXT([1]Planilha1!$L76,"0000000"),1)="5","MS","SP")</f>
        <v>SP</v>
      </c>
      <c r="B76" t="str">
        <f ca="1">IF(RIGHT([1]Planilha1!$A76,5)=" - MS",LEFT([1]Planilha1!$A76,LEN([1]Planilha1!$A76)-5),TRIM([1]Planilha1!$A76))</f>
        <v>BAURU</v>
      </c>
      <c r="C76" s="2">
        <f ca="1">[1]Planilha1!$L76</f>
        <v>3506003</v>
      </c>
      <c r="D76" t="str">
        <f>TRIM([1]Planilha1!$D76)</f>
        <v>ISP LOCAL</v>
      </c>
      <c r="E76" t="str">
        <f>IF(TRIM([1]Planilha1!$D76)="Claro","Claro","Concorrente")</f>
        <v>Concorrente</v>
      </c>
      <c r="F76" t="s">
        <v>46</v>
      </c>
      <c r="G76" t="str">
        <f t="shared" ca="1" si="0"/>
        <v>Banda Larga + Conteudo</v>
      </c>
      <c r="H76" t="str">
        <f ca="1">TRIM([1]Planilha1!$E76)</f>
        <v>AONET - 1GB R$109,90</v>
      </c>
      <c r="I76" t="str">
        <f ca="1">IF([1]Planilha1!$F76="","",TRIM([1]Planilha1!$F76))</f>
        <v>Fibra</v>
      </c>
      <c r="J76" s="3">
        <f ca="1">IF([1]Planilha1!$G76="","",[1]Planilha1!$G76)</f>
        <v>1000</v>
      </c>
      <c r="K76" s="4" t="str" cm="1">
        <f t="array" aca="1" ref="K76" ca="1">IFERROR(VALUE(_xlfn.REGEXEXTRACT([1]Planilha1!$E76,"\+\s*(\d+)GB",2)),"")</f>
        <v/>
      </c>
      <c r="L76" s="5">
        <f ca="1">IF([1]Planilha1!$H76="","",[1]Planilha1!$H76)</f>
        <v>109.9</v>
      </c>
      <c r="M76" s="5" t="str">
        <f ca="1">IF([1]Planilha1!$I76="","",[1]Planilha1!$I76)</f>
        <v/>
      </c>
      <c r="N76" s="2" t="str" cm="1">
        <f t="array" aca="1" ref="N76" ca="1">IFERROR(VALUE(_xlfn.REGEXEXTRACT([1]Planilha1!$E76,"(\d+)\s*MESES",2)),IFERROR(VALUE(_xlfn.REGEXEXTRACT([1]Planilha1!$E76,"por\s*(\d+)\s*M",2)),IF(_xlfn.REGEXTEST([1]Planilha1!$E76,"1[ºª]"),1,"")))</f>
        <v/>
      </c>
      <c r="O76" s="6">
        <f t="shared" ca="1" si="5"/>
        <v>0.10990000000000001</v>
      </c>
      <c r="P76" t="str">
        <f ca="1">IF([1]Planilha1!$J76="","",TRIM([1]Planilha1!$J76))</f>
        <v>0</v>
      </c>
      <c r="Q76" s="7">
        <f ca="1">IF($D76="Claro","",IFERROR($L76-VLOOKUP($B76&amp;"|Claro",[1]AUX_CLARO!$A:$C,2,FALSE),""))</f>
        <v>10</v>
      </c>
      <c r="R76" s="8">
        <f ca="1">IF($D76="Claro","",IFERROR($J76-VLOOKUP($B76&amp;"|Claro",[1]AUX_CLARO!$A:$C,3,FALSE),""))</f>
        <v>0</v>
      </c>
      <c r="S76" t="str">
        <f t="shared" ca="1" si="6"/>
        <v>Claro mais barata</v>
      </c>
      <c r="T76" t="str">
        <f t="shared" ca="1" si="7"/>
        <v>Mesma velocidade</v>
      </c>
      <c r="U76" s="9">
        <f t="shared" si="8"/>
        <v>46174</v>
      </c>
      <c r="V76" t="str">
        <f ca="1">IF(OR([1]Planilha1!$B76="",[1]Planilha1!$B76="NÃO MAPEADO"),"",TRIM([1]Planilha1!$B76))</f>
        <v>OESTE</v>
      </c>
      <c r="W76" t="str">
        <f ca="1">IF([1]Planilha1!$C76="","",TRIM([1]Planilha1!$C76))</f>
        <v>RUBI</v>
      </c>
      <c r="X76" t="str">
        <f ca="1">IFERROR(VLOOKUP($C76,[1]Planilha2!$B:$H,7,FALSE),"")</f>
        <v>17000-001</v>
      </c>
    </row>
    <row r="77" spans="1:24" x14ac:dyDescent="0.35">
      <c r="A77" t="str">
        <f ca="1">IF(LEFT(TEXT([1]Planilha1!$L77,"0000000"),1)="5","MS","SP")</f>
        <v>SP</v>
      </c>
      <c r="B77" t="str">
        <f ca="1">IF(RIGHT([1]Planilha1!$A77,5)=" - MS",LEFT([1]Planilha1!$A77,LEN([1]Planilha1!$A77)-5),TRIM([1]Planilha1!$A77))</f>
        <v>BEBEDOURO</v>
      </c>
      <c r="C77" s="2">
        <f ca="1">[1]Planilha1!$L77</f>
        <v>3506102</v>
      </c>
      <c r="D77" t="str">
        <f>TRIM([1]Planilha1!$D77)</f>
        <v>Claro</v>
      </c>
      <c r="E77" t="str">
        <f>IF(TRIM([1]Planilha1!$D77)="Claro","Claro","Concorrente")</f>
        <v>Claro</v>
      </c>
      <c r="F77" t="s">
        <v>24</v>
      </c>
      <c r="G77" t="str">
        <f t="shared" ca="1" si="0"/>
        <v>Banda Larga + Movel</v>
      </c>
      <c r="H77" t="str">
        <f ca="1">TRIM([1]Planilha1!$E77)</f>
        <v>600M+100GB=R$109,90 por 6M, após R$139,90</v>
      </c>
      <c r="I77" t="str">
        <f ca="1">IF([1]Planilha1!$F77="","",TRIM([1]Planilha1!$F77))</f>
        <v>Fibra</v>
      </c>
      <c r="J77" s="3">
        <f ca="1">IF([1]Planilha1!$G77="","",[1]Planilha1!$G77)</f>
        <v>600</v>
      </c>
      <c r="K77" s="4" cm="1">
        <f t="array" aca="1" ref="K77" ca="1">IFERROR(VALUE(_xlfn.REGEXEXTRACT([1]Planilha1!$E77,"\+\s*(\d+)GB",2)),"")</f>
        <v>100</v>
      </c>
      <c r="L77" s="5">
        <f ca="1">IF([1]Planilha1!$H77="","",[1]Planilha1!$H77)</f>
        <v>139.9</v>
      </c>
      <c r="M77" s="5">
        <f ca="1">IF([1]Planilha1!$I77="","",[1]Planilha1!$I77)</f>
        <v>109.9</v>
      </c>
      <c r="N77" s="2" cm="1">
        <f t="array" aca="1" ref="N77" ca="1">IFERROR(VALUE(_xlfn.REGEXEXTRACT([1]Planilha1!$E77,"(\d+)\s*MESES",2)),IFERROR(VALUE(_xlfn.REGEXEXTRACT([1]Planilha1!$E77,"por\s*(\d+)\s*M",2)),IF(_xlfn.REGEXTEST([1]Planilha1!$E77,"1[ºª]"),1,"")))</f>
        <v>6</v>
      </c>
      <c r="O77" s="6">
        <f t="shared" ca="1" si="5"/>
        <v>0.23316666666666669</v>
      </c>
      <c r="P77" t="str">
        <f ca="1">IF([1]Planilha1!$J77="","",TRIM([1]Planilha1!$J77))</f>
        <v>GLOBOPLAY</v>
      </c>
      <c r="Q77" s="7" t="str">
        <f>IF($D77="Claro","",IFERROR($L77-VLOOKUP($B77&amp;"|Claro",[1]AUX_CLARO!$A:$C,2,FALSE),""))</f>
        <v/>
      </c>
      <c r="R77" s="8" t="str">
        <f>IF($D77="Claro","",IFERROR($J77-VLOOKUP($B77&amp;"|Claro",[1]AUX_CLARO!$A:$C,3,FALSE),""))</f>
        <v/>
      </c>
      <c r="S77" t="str">
        <f t="shared" si="6"/>
        <v/>
      </c>
      <c r="T77" t="str">
        <f t="shared" si="7"/>
        <v/>
      </c>
      <c r="U77" s="9">
        <f t="shared" si="8"/>
        <v>46174</v>
      </c>
      <c r="V77" t="str">
        <f ca="1">IF(OR([1]Planilha1!$B77="",[1]Planilha1!$B77="NÃO MAPEADO"),"",TRIM([1]Planilha1!$B77))</f>
        <v>NOROESTE</v>
      </c>
      <c r="W77" t="str">
        <f ca="1">IF([1]Planilha1!$C77="","",TRIM([1]Planilha1!$C77))</f>
        <v>MD 2</v>
      </c>
      <c r="X77" t="str">
        <f ca="1">IFERROR(VLOOKUP($C77,[1]Planilha2!$B:$H,7,FALSE),"")</f>
        <v>14700-001</v>
      </c>
    </row>
    <row r="78" spans="1:24" x14ac:dyDescent="0.35">
      <c r="A78" t="str">
        <f ca="1">IF(LEFT(TEXT([1]Planilha1!$L78,"0000000"),1)="5","MS","SP")</f>
        <v>SP</v>
      </c>
      <c r="B78" t="str">
        <f ca="1">IF(RIGHT([1]Planilha1!$A78,5)=" - MS",LEFT([1]Planilha1!$A78,LEN([1]Planilha1!$A78)-5),TRIM([1]Planilha1!$A78))</f>
        <v>BEBEDOURO</v>
      </c>
      <c r="C78" s="2">
        <f ca="1">[1]Planilha1!$L78</f>
        <v>3506102</v>
      </c>
      <c r="D78" t="str">
        <f>TRIM([1]Planilha1!$D78)</f>
        <v>Vivo</v>
      </c>
      <c r="E78" t="str">
        <f>IF(TRIM([1]Planilha1!$D78)="Claro","Claro","Concorrente")</f>
        <v>Concorrente</v>
      </c>
      <c r="F78" t="s">
        <v>25</v>
      </c>
      <c r="G78" t="str">
        <f t="shared" ca="1" si="0"/>
        <v>Banda Larga + Movel</v>
      </c>
      <c r="H78" t="s">
        <v>26</v>
      </c>
      <c r="I78" t="str">
        <f ca="1">IF([1]Planilha1!$F78="","",TRIM([1]Planilha1!$F78))</f>
        <v>Fibra</v>
      </c>
      <c r="J78" s="11" t="s">
        <v>27</v>
      </c>
      <c r="K78" s="4" cm="1">
        <f t="array" aca="1" ref="K78" ca="1">IFERROR(VALUE(_xlfn.REGEXEXTRACT([1]Planilha1!$E78,"\+\s*(\d+)GB",2)),"")</f>
        <v>70</v>
      </c>
      <c r="L78" s="5">
        <v>160</v>
      </c>
      <c r="M78" s="5" t="str">
        <f ca="1">IF([1]Planilha1!$I78="","",[1]Planilha1!$I78)</f>
        <v/>
      </c>
      <c r="N78" s="2" t="str" cm="1">
        <f t="array" aca="1" ref="N78" ca="1">IFERROR(VALUE(_xlfn.REGEXEXTRACT([1]Planilha1!$E78,"(\d+)\s*MESES",2)),IFERROR(VALUE(_xlfn.REGEXEXTRACT([1]Planilha1!$E78,"por\s*(\d+)\s*M",2)),IF(_xlfn.REGEXTEST([1]Planilha1!$E78,"1[ºª]"),1,"")))</f>
        <v/>
      </c>
      <c r="O78" s="6" t="str">
        <f t="shared" si="5"/>
        <v/>
      </c>
      <c r="P78" t="str">
        <f ca="1">IF([1]Planilha1!$J78="","",TRIM([1]Planilha1!$J78))</f>
        <v>0</v>
      </c>
      <c r="Q78" s="7">
        <f ca="1">IF($D78="Claro","",IFERROR($L78-VLOOKUP($B78&amp;"|Claro",[1]AUX_CLARO!$A:$C,2,FALSE),""))</f>
        <v>20.099999999999994</v>
      </c>
      <c r="R78" s="8" t="str">
        <f ca="1">IF($D78="Claro","",IFERROR($J78-VLOOKUP($B78&amp;"|Claro",[1]AUX_CLARO!$A:$C,3,FALSE),""))</f>
        <v/>
      </c>
      <c r="S78" t="str">
        <f t="shared" ca="1" si="6"/>
        <v>Claro mais barata</v>
      </c>
      <c r="T78" t="str">
        <f t="shared" ca="1" si="7"/>
        <v/>
      </c>
      <c r="U78" s="9">
        <f t="shared" si="8"/>
        <v>46174</v>
      </c>
      <c r="V78" t="str">
        <f ca="1">IF(OR([1]Planilha1!$B78="",[1]Planilha1!$B78="NÃO MAPEADO"),"",TRIM([1]Planilha1!$B78))</f>
        <v>NOROESTE</v>
      </c>
      <c r="W78" t="str">
        <f ca="1">IF([1]Planilha1!$C78="","",TRIM([1]Planilha1!$C78))</f>
        <v>MD 2</v>
      </c>
      <c r="X78" t="str">
        <f ca="1">IFERROR(VLOOKUP($C78,[1]Planilha2!$B:$H,7,FALSE),"")</f>
        <v>14700-001</v>
      </c>
    </row>
    <row r="79" spans="1:24" x14ac:dyDescent="0.35">
      <c r="A79" t="str">
        <f ca="1">IF(LEFT(TEXT([1]Planilha1!$L79,"0000000"),1)="5","MS","SP")</f>
        <v>SP</v>
      </c>
      <c r="B79" t="str">
        <f ca="1">IF(RIGHT([1]Planilha1!$A79,5)=" - MS",LEFT([1]Planilha1!$A79,LEN([1]Planilha1!$A79)-5),TRIM([1]Planilha1!$A79))</f>
        <v>BEBEDOURO</v>
      </c>
      <c r="C79" s="2">
        <f ca="1">[1]Planilha1!$L79</f>
        <v>3506102</v>
      </c>
      <c r="D79" t="str">
        <f>TRIM([1]Planilha1!$D79)</f>
        <v>Desktop</v>
      </c>
      <c r="E79" t="str">
        <f>IF(TRIM([1]Planilha1!$D79)="Claro","Claro","Concorrente")</f>
        <v>Concorrente</v>
      </c>
      <c r="F79" t="s">
        <v>29</v>
      </c>
      <c r="G79" t="str">
        <f t="shared" ca="1" si="0"/>
        <v>Banda Larga + Conteudo</v>
      </c>
      <c r="H79" t="str">
        <f ca="1">TRIM([1]Planilha1!$E79)</f>
        <v>600M=R$49,99 por 2M, após R$89,99</v>
      </c>
      <c r="I79" t="str">
        <f ca="1">IF([1]Planilha1!$F79="","",TRIM([1]Planilha1!$F79))</f>
        <v>Fibra</v>
      </c>
      <c r="J79" s="3">
        <f ca="1">IF([1]Planilha1!$G79="","",[1]Planilha1!$G79)</f>
        <v>600</v>
      </c>
      <c r="K79" s="4" t="str" cm="1">
        <f t="array" aca="1" ref="K79" ca="1">IFERROR(VALUE(_xlfn.REGEXEXTRACT([1]Planilha1!$E79,"\+\s*(\d+)GB",2)),"")</f>
        <v/>
      </c>
      <c r="L79" s="5">
        <f ca="1">IF([1]Planilha1!$H79="","",[1]Planilha1!$H79)</f>
        <v>89.99</v>
      </c>
      <c r="M79" s="5">
        <f ca="1">IF([1]Planilha1!$I79="","",[1]Planilha1!$I79)</f>
        <v>49.99</v>
      </c>
      <c r="N79" s="2" cm="1">
        <f t="array" aca="1" ref="N79" ca="1">IFERROR(VALUE(_xlfn.REGEXEXTRACT([1]Planilha1!$E79,"(\d+)\s*MESES",2)),IFERROR(VALUE(_xlfn.REGEXEXTRACT([1]Planilha1!$E79,"por\s*(\d+)\s*M",2)),IF(_xlfn.REGEXTEST([1]Planilha1!$E79,"1[ºª]"),1,"")))</f>
        <v>2</v>
      </c>
      <c r="O79" s="6">
        <f t="shared" ca="1" si="5"/>
        <v>0.14998333333333333</v>
      </c>
      <c r="P79" t="str">
        <f ca="1">IF([1]Planilha1!$J79="","",TRIM([1]Planilha1!$J79))</f>
        <v>0</v>
      </c>
      <c r="Q79" s="7">
        <f ca="1">IF($D79="Claro","",IFERROR($L79-VLOOKUP($B79&amp;"|Claro",[1]AUX_CLARO!$A:$C,2,FALSE),""))</f>
        <v>-49.910000000000011</v>
      </c>
      <c r="R79" s="8">
        <f ca="1">IF($D79="Claro","",IFERROR($J79-VLOOKUP($B79&amp;"|Claro",[1]AUX_CLARO!$A:$C,3,FALSE),""))</f>
        <v>0</v>
      </c>
      <c r="S79" t="str">
        <f t="shared" ca="1" si="6"/>
        <v>Claro mais cara</v>
      </c>
      <c r="T79" t="str">
        <f t="shared" ca="1" si="7"/>
        <v>Mesma velocidade</v>
      </c>
      <c r="U79" s="9">
        <f t="shared" si="8"/>
        <v>46174</v>
      </c>
      <c r="V79" t="str">
        <f ca="1">IF(OR([1]Planilha1!$B79="",[1]Planilha1!$B79="NÃO MAPEADO"),"",TRIM([1]Planilha1!$B79))</f>
        <v>NOROESTE</v>
      </c>
      <c r="W79" t="str">
        <f ca="1">IF([1]Planilha1!$C79="","",TRIM([1]Planilha1!$C79))</f>
        <v>MD 2</v>
      </c>
      <c r="X79" t="str">
        <f ca="1">IFERROR(VLOOKUP($C79,[1]Planilha2!$B:$H,7,FALSE),"")</f>
        <v>14700-001</v>
      </c>
    </row>
    <row r="80" spans="1:24" x14ac:dyDescent="0.35">
      <c r="A80" t="str">
        <f ca="1">IF(LEFT(TEXT([1]Planilha1!$L80,"0000000"),1)="5","MS","SP")</f>
        <v>SP</v>
      </c>
      <c r="B80" t="str">
        <f ca="1">IF(RIGHT([1]Planilha1!$A80,5)=" - MS",LEFT([1]Planilha1!$A80,LEN([1]Planilha1!$A80)-5),TRIM([1]Planilha1!$A80))</f>
        <v>BEBEDOURO</v>
      </c>
      <c r="C80" s="2">
        <f ca="1">[1]Planilha1!$L80</f>
        <v>3506102</v>
      </c>
      <c r="D80" t="str">
        <f>TRIM([1]Planilha1!$D80)</f>
        <v>Weclix</v>
      </c>
      <c r="E80" t="str">
        <f>IF(TRIM([1]Planilha1!$D80)="Claro","Claro","Concorrente")</f>
        <v>Concorrente</v>
      </c>
      <c r="F80" t="s">
        <v>34</v>
      </c>
      <c r="G80" t="str">
        <f t="shared" ca="1" si="0"/>
        <v>Banda Larga + Conteudo</v>
      </c>
      <c r="H80" t="str">
        <f ca="1">TRIM([1]Planilha1!$E80)</f>
        <v>1GB R$59,90 - 1ºM, APÓS R$99,90</v>
      </c>
      <c r="I80" t="str">
        <f ca="1">IF([1]Planilha1!$F80="","",TRIM([1]Planilha1!$F80))</f>
        <v>Fibra</v>
      </c>
      <c r="J80" s="3">
        <f ca="1">IF([1]Planilha1!$G80="","",[1]Planilha1!$G80)</f>
        <v>1000</v>
      </c>
      <c r="K80" s="4" t="str" cm="1">
        <f t="array" aca="1" ref="K80" ca="1">IFERROR(VALUE(_xlfn.REGEXEXTRACT([1]Planilha1!$E80,"\+\s*(\d+)GB",2)),"")</f>
        <v/>
      </c>
      <c r="L80" s="5">
        <f ca="1">IF([1]Planilha1!$H80="","",[1]Planilha1!$H80)</f>
        <v>99.9</v>
      </c>
      <c r="M80" s="5">
        <f ca="1">IF([1]Planilha1!$I80="","",[1]Planilha1!$I80)</f>
        <v>59.9</v>
      </c>
      <c r="N80" s="2" cm="1">
        <f t="array" aca="1" ref="N80" ca="1">IFERROR(VALUE(_xlfn.REGEXEXTRACT([1]Planilha1!$E80,"(\d+)\s*MESES",2)),IFERROR(VALUE(_xlfn.REGEXEXTRACT([1]Planilha1!$E80,"por\s*(\d+)\s*M",2)),IF(_xlfn.REGEXTEST([1]Planilha1!$E80,"1[ºª]"),1,"")))</f>
        <v>1</v>
      </c>
      <c r="O80" s="6">
        <f t="shared" ca="1" si="5"/>
        <v>9.9900000000000003E-2</v>
      </c>
      <c r="P80" t="str">
        <f ca="1">IF([1]Planilha1!$J80="","",TRIM([1]Planilha1!$J80))</f>
        <v>0</v>
      </c>
      <c r="Q80" s="7">
        <f ca="1">IF($D80="Claro","",IFERROR($L80-VLOOKUP($B80&amp;"|Claro",[1]AUX_CLARO!$A:$C,2,FALSE),""))</f>
        <v>-40</v>
      </c>
      <c r="R80" s="8">
        <f ca="1">IF($D80="Claro","",IFERROR($J80-VLOOKUP($B80&amp;"|Claro",[1]AUX_CLARO!$A:$C,3,FALSE),""))</f>
        <v>400</v>
      </c>
      <c r="S80" t="str">
        <f t="shared" ca="1" si="6"/>
        <v>Claro mais cara</v>
      </c>
      <c r="T80" t="str">
        <f t="shared" ca="1" si="7"/>
        <v>Claro com menor velocidade</v>
      </c>
      <c r="U80" s="9">
        <f t="shared" si="8"/>
        <v>46174</v>
      </c>
      <c r="V80" t="str">
        <f ca="1">IF(OR([1]Planilha1!$B80="",[1]Planilha1!$B80="NÃO MAPEADO"),"",TRIM([1]Planilha1!$B80))</f>
        <v>NOROESTE</v>
      </c>
      <c r="W80" t="str">
        <f ca="1">IF([1]Planilha1!$C80="","",TRIM([1]Planilha1!$C80))</f>
        <v>MD 2</v>
      </c>
      <c r="X80" t="str">
        <f ca="1">IFERROR(VLOOKUP($C80,[1]Planilha2!$B:$H,7,FALSE),"")</f>
        <v>14700-001</v>
      </c>
    </row>
    <row r="81" spans="1:24" x14ac:dyDescent="0.35">
      <c r="A81" t="str">
        <f ca="1">IF(LEFT(TEXT([1]Planilha1!$L81,"0000000"),1)="5","MS","SP")</f>
        <v>SP</v>
      </c>
      <c r="B81" t="str">
        <f ca="1">IF(RIGHT([1]Planilha1!$A81,5)=" - MS",LEFT([1]Planilha1!$A81,LEN([1]Planilha1!$A81)-5),TRIM([1]Planilha1!$A81))</f>
        <v>BEBEDOURO</v>
      </c>
      <c r="C81" s="2">
        <f ca="1">[1]Planilha1!$L81</f>
        <v>3506102</v>
      </c>
      <c r="D81" t="str">
        <f>TRIM([1]Planilha1!$D81)</f>
        <v>ISP LOCAL</v>
      </c>
      <c r="E81" t="str">
        <f>IF(TRIM([1]Planilha1!$D81)="Claro","Claro","Concorrente")</f>
        <v>Concorrente</v>
      </c>
      <c r="F81" t="s">
        <v>44</v>
      </c>
      <c r="G81" t="str">
        <f t="shared" ca="1" si="0"/>
        <v>Banda Larga + Conteudo</v>
      </c>
      <c r="H81" t="str">
        <f ca="1">TRIM([1]Planilha1!$E81)</f>
        <v>NIC NET - 800M R$59,90 - 3 MESES, APÓS R$99,90</v>
      </c>
      <c r="I81" t="str">
        <f ca="1">IF([1]Planilha1!$F81="","",TRIM([1]Planilha1!$F81))</f>
        <v>Fibra</v>
      </c>
      <c r="J81" s="3">
        <f ca="1">IF([1]Planilha1!$G81="","",[1]Planilha1!$G81)</f>
        <v>800</v>
      </c>
      <c r="K81" s="4" t="str" cm="1">
        <f t="array" aca="1" ref="K81" ca="1">IFERROR(VALUE(_xlfn.REGEXEXTRACT([1]Planilha1!$E81,"\+\s*(\d+)GB",2)),"")</f>
        <v/>
      </c>
      <c r="L81" s="5">
        <f ca="1">IF([1]Planilha1!$H81="","",[1]Planilha1!$H81)</f>
        <v>99.9</v>
      </c>
      <c r="M81" s="5">
        <f ca="1">IF([1]Planilha1!$I81="","",[1]Planilha1!$I81)</f>
        <v>59.9</v>
      </c>
      <c r="N81" s="2" cm="1">
        <f t="array" aca="1" ref="N81" ca="1">IFERROR(VALUE(_xlfn.REGEXEXTRACT([1]Planilha1!$E81,"(\d+)\s*MESES",2)),IFERROR(VALUE(_xlfn.REGEXEXTRACT([1]Planilha1!$E81,"por\s*(\d+)\s*M",2)),IF(_xlfn.REGEXTEST([1]Planilha1!$E81,"1[ºª]"),1,"")))</f>
        <v>3</v>
      </c>
      <c r="O81" s="6">
        <f t="shared" ca="1" si="5"/>
        <v>0.12487500000000001</v>
      </c>
      <c r="P81" t="str">
        <f ca="1">IF([1]Planilha1!$J81="","",TRIM([1]Planilha1!$J81))</f>
        <v>0</v>
      </c>
      <c r="Q81" s="7">
        <f ca="1">IF($D81="Claro","",IFERROR($L81-VLOOKUP($B81&amp;"|Claro",[1]AUX_CLARO!$A:$C,2,FALSE),""))</f>
        <v>-40</v>
      </c>
      <c r="R81" s="8">
        <f ca="1">IF($D81="Claro","",IFERROR($J81-VLOOKUP($B81&amp;"|Claro",[1]AUX_CLARO!$A:$C,3,FALSE),""))</f>
        <v>200</v>
      </c>
      <c r="S81" t="str">
        <f t="shared" ca="1" si="6"/>
        <v>Claro mais cara</v>
      </c>
      <c r="T81" t="str">
        <f t="shared" ca="1" si="7"/>
        <v>Claro com menor velocidade</v>
      </c>
      <c r="U81" s="9">
        <f t="shared" si="8"/>
        <v>46174</v>
      </c>
      <c r="V81" t="str">
        <f ca="1">IF(OR([1]Planilha1!$B81="",[1]Planilha1!$B81="NÃO MAPEADO"),"",TRIM([1]Planilha1!$B81))</f>
        <v>NOROESTE</v>
      </c>
      <c r="W81" t="str">
        <f ca="1">IF([1]Planilha1!$C81="","",TRIM([1]Planilha1!$C81))</f>
        <v>MD 2</v>
      </c>
      <c r="X81" t="str">
        <f ca="1">IFERROR(VLOOKUP($C81,[1]Planilha2!$B:$H,7,FALSE),"")</f>
        <v>14700-001</v>
      </c>
    </row>
    <row r="82" spans="1:24" x14ac:dyDescent="0.35">
      <c r="A82" t="str">
        <f ca="1">IF(LEFT(TEXT([1]Planilha1!$L82,"0000000"),1)="5","MS","SP")</f>
        <v>SP</v>
      </c>
      <c r="B82" t="str">
        <f ca="1">IF(RIGHT([1]Planilha1!$A82,5)=" - MS",LEFT([1]Planilha1!$A82,LEN([1]Planilha1!$A82)-5),TRIM([1]Planilha1!$A82))</f>
        <v>BERTIOGA</v>
      </c>
      <c r="C82" s="2">
        <f ca="1">[1]Planilha1!$L82</f>
        <v>3506359</v>
      </c>
      <c r="D82" t="str">
        <f>TRIM([1]Planilha1!$D82)</f>
        <v>Claro</v>
      </c>
      <c r="E82" t="str">
        <f>IF(TRIM([1]Planilha1!$D82)="Claro","Claro","Concorrente")</f>
        <v>Claro</v>
      </c>
      <c r="F82" t="s">
        <v>24</v>
      </c>
      <c r="G82" t="str">
        <f t="shared" ca="1" si="0"/>
        <v>Banda Larga + Movel</v>
      </c>
      <c r="H82" t="str">
        <f ca="1">TRIM([1]Planilha1!$E82)</f>
        <v>600M+100GB=R$119,90 por 3M, após R$159,90</v>
      </c>
      <c r="I82" t="str">
        <f ca="1">IF([1]Planilha1!$F82="","",TRIM([1]Planilha1!$F82))</f>
        <v>Fibra</v>
      </c>
      <c r="J82" s="3">
        <f ca="1">IF([1]Planilha1!$G82="","",[1]Planilha1!$G82)</f>
        <v>600</v>
      </c>
      <c r="K82" s="4" cm="1">
        <f t="array" aca="1" ref="K82" ca="1">IFERROR(VALUE(_xlfn.REGEXEXTRACT([1]Planilha1!$E82,"\+\s*(\d+)GB",2)),"")</f>
        <v>100</v>
      </c>
      <c r="L82" s="5">
        <f ca="1">IF([1]Planilha1!$H82="","",[1]Planilha1!$H82)</f>
        <v>159.9</v>
      </c>
      <c r="M82" s="5">
        <f ca="1">IF([1]Planilha1!$I82="","",[1]Planilha1!$I82)</f>
        <v>119.9</v>
      </c>
      <c r="N82" s="2" cm="1">
        <f t="array" aca="1" ref="N82" ca="1">IFERROR(VALUE(_xlfn.REGEXEXTRACT([1]Planilha1!$E82,"(\d+)\s*MESES",2)),IFERROR(VALUE(_xlfn.REGEXEXTRACT([1]Planilha1!$E82,"por\s*(\d+)\s*M",2)),IF(_xlfn.REGEXTEST([1]Planilha1!$E82,"1[ºª]"),1,"")))</f>
        <v>3</v>
      </c>
      <c r="O82" s="6">
        <f t="shared" ca="1" si="5"/>
        <v>0.26650000000000001</v>
      </c>
      <c r="P82" t="str">
        <f ca="1">IF([1]Planilha1!$J82="","",TRIM([1]Planilha1!$J82))</f>
        <v>GLOBOPLAY</v>
      </c>
      <c r="Q82" s="7" t="str">
        <f>IF($D82="Claro","",IFERROR($L82-VLOOKUP($B82&amp;"|Claro",[1]AUX_CLARO!$A:$C,2,FALSE),""))</f>
        <v/>
      </c>
      <c r="R82" s="8" t="str">
        <f>IF($D82="Claro","",IFERROR($J82-VLOOKUP($B82&amp;"|Claro",[1]AUX_CLARO!$A:$C,3,FALSE),""))</f>
        <v/>
      </c>
      <c r="S82" t="str">
        <f t="shared" si="6"/>
        <v/>
      </c>
      <c r="T82" t="str">
        <f t="shared" si="7"/>
        <v/>
      </c>
      <c r="U82" s="9">
        <f t="shared" si="8"/>
        <v>46174</v>
      </c>
      <c r="V82" t="str">
        <f ca="1">IF(OR([1]Planilha1!$B82="",[1]Planilha1!$B82="NÃO MAPEADO"),"",TRIM([1]Planilha1!$B82))</f>
        <v>LITORAL</v>
      </c>
      <c r="W82" t="str">
        <f ca="1">IF([1]Planilha1!$C82="","",TRIM([1]Planilha1!$C82))</f>
        <v>ESPECIAL</v>
      </c>
      <c r="X82" t="str">
        <f ca="1">IFERROR(VLOOKUP($C82,[1]Planilha2!$B:$H,7,FALSE),"")</f>
        <v>11250-001</v>
      </c>
    </row>
    <row r="83" spans="1:24" x14ac:dyDescent="0.35">
      <c r="A83" t="str">
        <f ca="1">IF(LEFT(TEXT([1]Planilha1!$L83,"0000000"),1)="5","MS","SP")</f>
        <v>SP</v>
      </c>
      <c r="B83" t="str">
        <f ca="1">IF(RIGHT([1]Planilha1!$A83,5)=" - MS",LEFT([1]Planilha1!$A83,LEN([1]Planilha1!$A83)-5),TRIM([1]Planilha1!$A83))</f>
        <v>BERTIOGA</v>
      </c>
      <c r="C83" s="2">
        <f ca="1">[1]Planilha1!$L83</f>
        <v>3506359</v>
      </c>
      <c r="D83" t="str">
        <f>TRIM([1]Planilha1!$D83)</f>
        <v>Vivo</v>
      </c>
      <c r="E83" t="str">
        <f>IF(TRIM([1]Planilha1!$D83)="Claro","Claro","Concorrente")</f>
        <v>Concorrente</v>
      </c>
      <c r="F83" t="s">
        <v>25</v>
      </c>
      <c r="G83" t="str">
        <f t="shared" ca="1" si="0"/>
        <v>Banda Larga + Movel</v>
      </c>
      <c r="H83" t="s">
        <v>26</v>
      </c>
      <c r="I83" t="str">
        <f ca="1">IF([1]Planilha1!$F83="","",TRIM([1]Planilha1!$F83))</f>
        <v>Fibra</v>
      </c>
      <c r="J83" s="11" t="s">
        <v>27</v>
      </c>
      <c r="K83" s="4" cm="1">
        <f t="array" aca="1" ref="K83" ca="1">IFERROR(VALUE(_xlfn.REGEXEXTRACT([1]Planilha1!$E83,"\+\s*(\d+)GB",2)),"")</f>
        <v>70</v>
      </c>
      <c r="L83" s="5">
        <v>160</v>
      </c>
      <c r="M83" s="5" t="str">
        <f ca="1">IF([1]Planilha1!$I83="","",[1]Planilha1!$I83)</f>
        <v/>
      </c>
      <c r="N83" s="2" t="str" cm="1">
        <f t="array" aca="1" ref="N83" ca="1">IFERROR(VALUE(_xlfn.REGEXEXTRACT([1]Planilha1!$E83,"(\d+)\s*MESES",2)),IFERROR(VALUE(_xlfn.REGEXEXTRACT([1]Planilha1!$E83,"por\s*(\d+)\s*M",2)),IF(_xlfn.REGEXTEST([1]Planilha1!$E83,"1[ºª]"),1,"")))</f>
        <v/>
      </c>
      <c r="O83" s="6" t="str">
        <f t="shared" si="5"/>
        <v/>
      </c>
      <c r="P83" t="str">
        <f ca="1">IF([1]Planilha1!$J83="","",TRIM([1]Planilha1!$J83))</f>
        <v>0</v>
      </c>
      <c r="Q83" s="7">
        <f ca="1">IF($D83="Claro","",IFERROR($L83-VLOOKUP($B83&amp;"|Claro",[1]AUX_CLARO!$A:$C,2,FALSE),""))</f>
        <v>9.9999999999994316E-2</v>
      </c>
      <c r="R83" s="8" t="str">
        <f ca="1">IF($D83="Claro","",IFERROR($J83-VLOOKUP($B83&amp;"|Claro",[1]AUX_CLARO!$A:$C,3,FALSE),""))</f>
        <v/>
      </c>
      <c r="S83" t="str">
        <f t="shared" ca="1" si="6"/>
        <v>Claro mais barata</v>
      </c>
      <c r="T83" t="str">
        <f t="shared" ca="1" si="7"/>
        <v/>
      </c>
      <c r="U83" s="9">
        <f t="shared" si="8"/>
        <v>46174</v>
      </c>
      <c r="V83" t="str">
        <f ca="1">IF(OR([1]Planilha1!$B83="",[1]Planilha1!$B83="NÃO MAPEADO"),"",TRIM([1]Planilha1!$B83))</f>
        <v>LITORAL</v>
      </c>
      <c r="W83" t="str">
        <f ca="1">IF([1]Planilha1!$C83="","",TRIM([1]Planilha1!$C83))</f>
        <v>ESPECIAL</v>
      </c>
      <c r="X83" t="str">
        <f ca="1">IFERROR(VLOOKUP($C83,[1]Planilha2!$B:$H,7,FALSE),"")</f>
        <v>11250-001</v>
      </c>
    </row>
    <row r="84" spans="1:24" x14ac:dyDescent="0.35">
      <c r="A84" t="str">
        <f ca="1">IF(LEFT(TEXT([1]Planilha1!$L84,"0000000"),1)="5","MS","SP")</f>
        <v>SP</v>
      </c>
      <c r="B84" t="str">
        <f ca="1">IF(RIGHT([1]Planilha1!$A84,5)=" - MS",LEFT([1]Planilha1!$A84,LEN([1]Planilha1!$A84)-5),TRIM([1]Planilha1!$A84))</f>
        <v>BERTIOGA</v>
      </c>
      <c r="C84" s="2">
        <f ca="1">[1]Planilha1!$L84</f>
        <v>3506359</v>
      </c>
      <c r="D84" t="str">
        <f>TRIM([1]Planilha1!$D84)</f>
        <v>ISP LOCAL</v>
      </c>
      <c r="E84" t="str">
        <f>IF(TRIM([1]Planilha1!$D84)="Claro","Claro","Concorrente")</f>
        <v>Concorrente</v>
      </c>
      <c r="F84" t="s">
        <v>47</v>
      </c>
      <c r="G84" t="str">
        <f t="shared" ca="1" si="0"/>
        <v>Banda Larga + Conteudo</v>
      </c>
      <c r="H84" t="str">
        <f ca="1">TRIM([1]Planilha1!$E84)</f>
        <v>ALLOHA - 600M + GLOBOPLAY R$109,99</v>
      </c>
      <c r="I84" t="str">
        <f ca="1">IF([1]Planilha1!$F84="","",TRIM([1]Planilha1!$F84))</f>
        <v>Fibra</v>
      </c>
      <c r="J84" s="3">
        <f ca="1">IF([1]Planilha1!$G84="","",[1]Planilha1!$G84)</f>
        <v>600</v>
      </c>
      <c r="K84" s="4" t="str" cm="1">
        <f t="array" aca="1" ref="K84" ca="1">IFERROR(VALUE(_xlfn.REGEXEXTRACT([1]Planilha1!$E84,"\+\s*(\d+)GB",2)),"")</f>
        <v/>
      </c>
      <c r="L84" s="5">
        <f ca="1">IF([1]Planilha1!$H84="","",[1]Planilha1!$H84)</f>
        <v>109.99</v>
      </c>
      <c r="M84" s="5" t="str">
        <f ca="1">IF([1]Planilha1!$I84="","",[1]Planilha1!$I84)</f>
        <v/>
      </c>
      <c r="N84" s="2" t="str" cm="1">
        <f t="array" aca="1" ref="N84" ca="1">IFERROR(VALUE(_xlfn.REGEXEXTRACT([1]Planilha1!$E84,"(\d+)\s*MESES",2)),IFERROR(VALUE(_xlfn.REGEXEXTRACT([1]Planilha1!$E84,"por\s*(\d+)\s*M",2)),IF(_xlfn.REGEXTEST([1]Planilha1!$E84,"1[ºª]"),1,"")))</f>
        <v/>
      </c>
      <c r="O84" s="6">
        <f t="shared" ca="1" si="5"/>
        <v>0.18331666666666666</v>
      </c>
      <c r="P84" t="str">
        <f ca="1">IF([1]Planilha1!$J84="","",TRIM([1]Planilha1!$J84))</f>
        <v>GLOBOPLAY</v>
      </c>
      <c r="Q84" s="7">
        <f ca="1">IF($D84="Claro","",IFERROR($L84-VLOOKUP($B84&amp;"|Claro",[1]AUX_CLARO!$A:$C,2,FALSE),""))</f>
        <v>-49.910000000000011</v>
      </c>
      <c r="R84" s="8">
        <f ca="1">IF($D84="Claro","",IFERROR($J84-VLOOKUP($B84&amp;"|Claro",[1]AUX_CLARO!$A:$C,3,FALSE),""))</f>
        <v>0</v>
      </c>
      <c r="S84" t="str">
        <f t="shared" ca="1" si="6"/>
        <v>Claro mais cara</v>
      </c>
      <c r="T84" t="str">
        <f t="shared" ca="1" si="7"/>
        <v>Mesma velocidade</v>
      </c>
      <c r="U84" s="9">
        <f t="shared" si="8"/>
        <v>46174</v>
      </c>
      <c r="V84" t="str">
        <f ca="1">IF(OR([1]Planilha1!$B84="",[1]Planilha1!$B84="NÃO MAPEADO"),"",TRIM([1]Planilha1!$B84))</f>
        <v>LITORAL</v>
      </c>
      <c r="W84" t="str">
        <f ca="1">IF([1]Planilha1!$C84="","",TRIM([1]Planilha1!$C84))</f>
        <v>ESPECIAL</v>
      </c>
      <c r="X84" t="str">
        <f ca="1">IFERROR(VLOOKUP($C84,[1]Planilha2!$B:$H,7,FALSE),"")</f>
        <v>11250-001</v>
      </c>
    </row>
    <row r="85" spans="1:24" x14ac:dyDescent="0.35">
      <c r="A85" t="str">
        <f ca="1">IF(LEFT(TEXT([1]Planilha1!$L85,"0000000"),1)="5","MS","SP")</f>
        <v>SP</v>
      </c>
      <c r="B85" t="str">
        <f ca="1">IF(RIGHT([1]Planilha1!$A85,5)=" - MS",LEFT([1]Planilha1!$A85,LEN([1]Planilha1!$A85)-5),TRIM([1]Planilha1!$A85))</f>
        <v>BIRIGUI</v>
      </c>
      <c r="C85" s="2">
        <f ca="1">[1]Planilha1!$L85</f>
        <v>3506508</v>
      </c>
      <c r="D85" t="str">
        <f>TRIM([1]Planilha1!$D85)</f>
        <v>Claro</v>
      </c>
      <c r="E85" t="str">
        <f>IF(TRIM([1]Planilha1!$D85)="Claro","Claro","Concorrente")</f>
        <v>Claro</v>
      </c>
      <c r="F85" t="s">
        <v>24</v>
      </c>
      <c r="G85" t="str">
        <f t="shared" ca="1" si="0"/>
        <v>Banda Larga + Movel</v>
      </c>
      <c r="H85" t="str">
        <f ca="1">TRIM([1]Planilha1!$E85)</f>
        <v>600M+100GB=R$109,90 por 6M, após R$139,90</v>
      </c>
      <c r="I85" t="str">
        <f ca="1">IF([1]Planilha1!$F85="","",TRIM([1]Planilha1!$F85))</f>
        <v>Fibra</v>
      </c>
      <c r="J85" s="3">
        <f ca="1">IF([1]Planilha1!$G85="","",[1]Planilha1!$G85)</f>
        <v>600</v>
      </c>
      <c r="K85" s="4" cm="1">
        <f t="array" aca="1" ref="K85" ca="1">IFERROR(VALUE(_xlfn.REGEXEXTRACT([1]Planilha1!$E85,"\+\s*(\d+)GB",2)),"")</f>
        <v>100</v>
      </c>
      <c r="L85" s="5">
        <f ca="1">IF([1]Planilha1!$H85="","",[1]Planilha1!$H85)</f>
        <v>139.9</v>
      </c>
      <c r="M85" s="5">
        <f ca="1">IF([1]Planilha1!$I85="","",[1]Planilha1!$I85)</f>
        <v>109.9</v>
      </c>
      <c r="N85" s="2" cm="1">
        <f t="array" aca="1" ref="N85" ca="1">IFERROR(VALUE(_xlfn.REGEXEXTRACT([1]Planilha1!$E85,"(\d+)\s*MESES",2)),IFERROR(VALUE(_xlfn.REGEXEXTRACT([1]Planilha1!$E85,"por\s*(\d+)\s*M",2)),IF(_xlfn.REGEXTEST([1]Planilha1!$E85,"1[ºª]"),1,"")))</f>
        <v>6</v>
      </c>
      <c r="O85" s="6">
        <f t="shared" ca="1" si="5"/>
        <v>0.23316666666666669</v>
      </c>
      <c r="P85" t="str">
        <f ca="1">IF([1]Planilha1!$J85="","",TRIM([1]Planilha1!$J85))</f>
        <v>GLOBOPLAY</v>
      </c>
      <c r="Q85" s="7" t="str">
        <f>IF($D85="Claro","",IFERROR($L85-VLOOKUP($B85&amp;"|Claro",[1]AUX_CLARO!$A:$C,2,FALSE),""))</f>
        <v/>
      </c>
      <c r="R85" s="8" t="str">
        <f>IF($D85="Claro","",IFERROR($J85-VLOOKUP($B85&amp;"|Claro",[1]AUX_CLARO!$A:$C,3,FALSE),""))</f>
        <v/>
      </c>
      <c r="S85" t="str">
        <f t="shared" si="6"/>
        <v/>
      </c>
      <c r="T85" t="str">
        <f t="shared" si="7"/>
        <v/>
      </c>
      <c r="U85" s="9">
        <f t="shared" si="8"/>
        <v>46174</v>
      </c>
      <c r="V85" t="str">
        <f ca="1">IF(OR([1]Planilha1!$B85="",[1]Planilha1!$B85="NÃO MAPEADO"),"",TRIM([1]Planilha1!$B85))</f>
        <v>NOROESTE</v>
      </c>
      <c r="W85" t="str">
        <f ca="1">IF([1]Planilha1!$C85="","",TRIM([1]Planilha1!$C85))</f>
        <v>MD 2</v>
      </c>
      <c r="X85" t="str">
        <f ca="1">IFERROR(VLOOKUP($C85,[1]Planilha2!$B:$H,7,FALSE),"")</f>
        <v>16200-001</v>
      </c>
    </row>
    <row r="86" spans="1:24" x14ac:dyDescent="0.35">
      <c r="A86" t="str">
        <f ca="1">IF(LEFT(TEXT([1]Planilha1!$L86,"0000000"),1)="5","MS","SP")</f>
        <v>SP</v>
      </c>
      <c r="B86" t="str">
        <f ca="1">IF(RIGHT([1]Planilha1!$A86,5)=" - MS",LEFT([1]Planilha1!$A86,LEN([1]Planilha1!$A86)-5),TRIM([1]Planilha1!$A86))</f>
        <v>BIRIGUI</v>
      </c>
      <c r="C86" s="2">
        <f ca="1">[1]Planilha1!$L86</f>
        <v>3506508</v>
      </c>
      <c r="D86" t="str">
        <f>TRIM([1]Planilha1!$D86)</f>
        <v>Vivo</v>
      </c>
      <c r="E86" t="str">
        <f>IF(TRIM([1]Planilha1!$D86)="Claro","Claro","Concorrente")</f>
        <v>Concorrente</v>
      </c>
      <c r="F86" t="s">
        <v>25</v>
      </c>
      <c r="G86" t="str">
        <f t="shared" ca="1" si="0"/>
        <v>Banda Larga + Movel</v>
      </c>
      <c r="H86" t="s">
        <v>26</v>
      </c>
      <c r="I86" t="str">
        <f ca="1">IF([1]Planilha1!$F86="","",TRIM([1]Planilha1!$F86))</f>
        <v>Fibra</v>
      </c>
      <c r="J86" s="11" t="s">
        <v>27</v>
      </c>
      <c r="K86" s="4" cm="1">
        <f t="array" aca="1" ref="K86" ca="1">IFERROR(VALUE(_xlfn.REGEXEXTRACT([1]Planilha1!$E86,"\+\s*(\d+)GB",2)),"")</f>
        <v>70</v>
      </c>
      <c r="L86" s="5">
        <v>160</v>
      </c>
      <c r="M86" s="5" t="str">
        <f ca="1">IF([1]Planilha1!$I86="","",[1]Planilha1!$I86)</f>
        <v/>
      </c>
      <c r="N86" s="2" t="str" cm="1">
        <f t="array" aca="1" ref="N86" ca="1">IFERROR(VALUE(_xlfn.REGEXEXTRACT([1]Planilha1!$E86,"(\d+)\s*MESES",2)),IFERROR(VALUE(_xlfn.REGEXEXTRACT([1]Planilha1!$E86,"por\s*(\d+)\s*M",2)),IF(_xlfn.REGEXTEST([1]Planilha1!$E86,"1[ºª]"),1,"")))</f>
        <v/>
      </c>
      <c r="O86" s="6" t="str">
        <f t="shared" si="5"/>
        <v/>
      </c>
      <c r="P86" t="str">
        <f ca="1">IF([1]Planilha1!$J86="","",TRIM([1]Planilha1!$J86))</f>
        <v>0</v>
      </c>
      <c r="Q86" s="7">
        <f ca="1">IF($D86="Claro","",IFERROR($L86-VLOOKUP($B86&amp;"|Claro",[1]AUX_CLARO!$A:$C,2,FALSE),""))</f>
        <v>20.099999999999994</v>
      </c>
      <c r="R86" s="8" t="str">
        <f ca="1">IF($D86="Claro","",IFERROR($J86-VLOOKUP($B86&amp;"|Claro",[1]AUX_CLARO!$A:$C,3,FALSE),""))</f>
        <v/>
      </c>
      <c r="S86" t="str">
        <f t="shared" ca="1" si="6"/>
        <v>Claro mais barata</v>
      </c>
      <c r="T86" t="str">
        <f t="shared" ca="1" si="7"/>
        <v/>
      </c>
      <c r="U86" s="9">
        <f t="shared" si="8"/>
        <v>46174</v>
      </c>
      <c r="V86" t="str">
        <f ca="1">IF(OR([1]Planilha1!$B86="",[1]Planilha1!$B86="NÃO MAPEADO"),"",TRIM([1]Planilha1!$B86))</f>
        <v>NOROESTE</v>
      </c>
      <c r="W86" t="str">
        <f ca="1">IF([1]Planilha1!$C86="","",TRIM([1]Planilha1!$C86))</f>
        <v>MD 2</v>
      </c>
      <c r="X86" t="str">
        <f ca="1">IFERROR(VLOOKUP($C86,[1]Planilha2!$B:$H,7,FALSE),"")</f>
        <v>16200-001</v>
      </c>
    </row>
    <row r="87" spans="1:24" x14ac:dyDescent="0.35">
      <c r="A87" t="str">
        <f ca="1">IF(LEFT(TEXT([1]Planilha1!$L87,"0000000"),1)="5","MS","SP")</f>
        <v>SP</v>
      </c>
      <c r="B87" t="str">
        <f ca="1">IF(RIGHT([1]Planilha1!$A87,5)=" - MS",LEFT([1]Planilha1!$A87,LEN([1]Planilha1!$A87)-5),TRIM([1]Planilha1!$A87))</f>
        <v>BIRIGUI</v>
      </c>
      <c r="C87" s="2">
        <f ca="1">[1]Planilha1!$L87</f>
        <v>3506508</v>
      </c>
      <c r="D87" t="str">
        <f>TRIM([1]Planilha1!$D87)</f>
        <v>Vero</v>
      </c>
      <c r="E87" t="str">
        <f>IF(TRIM([1]Planilha1!$D87)="Claro","Claro","Concorrente")</f>
        <v>Concorrente</v>
      </c>
      <c r="F87" t="s">
        <v>30</v>
      </c>
      <c r="G87" t="str">
        <f t="shared" ca="1" si="0"/>
        <v>Banda Larga + Movel</v>
      </c>
      <c r="H87" t="str">
        <f ca="1">TRIM([1]Planilha1!$E87)</f>
        <v>850M+60GB=R$149,99 (C/ GLOBOPLAY, HBO, DISNEY+)</v>
      </c>
      <c r="I87" t="str">
        <f ca="1">IF([1]Planilha1!$F87="","",TRIM([1]Planilha1!$F87))</f>
        <v>Fibra</v>
      </c>
      <c r="J87" s="3">
        <f ca="1">IF([1]Planilha1!$G87="","",[1]Planilha1!$G87)</f>
        <v>850</v>
      </c>
      <c r="K87" s="4" cm="1">
        <f t="array" aca="1" ref="K87" ca="1">IFERROR(VALUE(_xlfn.REGEXEXTRACT([1]Planilha1!$E87,"\+\s*(\d+)GB",2)),"")</f>
        <v>60</v>
      </c>
      <c r="L87" s="5">
        <f ca="1">IF([1]Planilha1!$H87="","",[1]Planilha1!$H87)</f>
        <v>149.99</v>
      </c>
      <c r="M87" s="5" t="str">
        <f ca="1">IF([1]Planilha1!$I87="","",[1]Planilha1!$I87)</f>
        <v/>
      </c>
      <c r="N87" s="2" t="str" cm="1">
        <f t="array" aca="1" ref="N87" ca="1">IFERROR(VALUE(_xlfn.REGEXEXTRACT([1]Planilha1!$E87,"(\d+)\s*MESES",2)),IFERROR(VALUE(_xlfn.REGEXEXTRACT([1]Planilha1!$E87,"por\s*(\d+)\s*M",2)),IF(_xlfn.REGEXTEST([1]Planilha1!$E87,"1[ºª]"),1,"")))</f>
        <v/>
      </c>
      <c r="O87" s="6">
        <f t="shared" ca="1" si="5"/>
        <v>0.17645882352941178</v>
      </c>
      <c r="P87" t="str">
        <f ca="1">IF([1]Planilha1!$J87="","",TRIM([1]Planilha1!$J87))</f>
        <v>GLOBOPLAY, HBO, DISNEY+</v>
      </c>
      <c r="Q87" s="7">
        <f ca="1">IF($D87="Claro","",IFERROR($L87-VLOOKUP($B87&amp;"|Claro",[1]AUX_CLARO!$A:$C,2,FALSE),""))</f>
        <v>10.090000000000003</v>
      </c>
      <c r="R87" s="8">
        <f ca="1">IF($D87="Claro","",IFERROR($J87-VLOOKUP($B87&amp;"|Claro",[1]AUX_CLARO!$A:$C,3,FALSE),""))</f>
        <v>250</v>
      </c>
      <c r="S87" t="str">
        <f t="shared" ca="1" si="6"/>
        <v>Claro mais barata</v>
      </c>
      <c r="T87" t="str">
        <f t="shared" ca="1" si="7"/>
        <v>Claro com menor velocidade</v>
      </c>
      <c r="U87" s="9">
        <f t="shared" si="8"/>
        <v>46174</v>
      </c>
      <c r="V87" t="str">
        <f ca="1">IF(OR([1]Planilha1!$B87="",[1]Planilha1!$B87="NÃO MAPEADO"),"",TRIM([1]Planilha1!$B87))</f>
        <v>NOROESTE</v>
      </c>
      <c r="W87" t="str">
        <f ca="1">IF([1]Planilha1!$C87="","",TRIM([1]Planilha1!$C87))</f>
        <v>MD 2</v>
      </c>
      <c r="X87" t="str">
        <f ca="1">IFERROR(VLOOKUP($C87,[1]Planilha2!$B:$H,7,FALSE),"")</f>
        <v>16200-001</v>
      </c>
    </row>
    <row r="88" spans="1:24" x14ac:dyDescent="0.35">
      <c r="A88" t="str">
        <f ca="1">IF(LEFT(TEXT([1]Planilha1!$L88,"0000000"),1)="5","MS","SP")</f>
        <v>SP</v>
      </c>
      <c r="B88" t="str">
        <f ca="1">IF(RIGHT([1]Planilha1!$A88,5)=" - MS",LEFT([1]Planilha1!$A88,LEN([1]Planilha1!$A88)-5),TRIM([1]Planilha1!$A88))</f>
        <v>BIRIGUI</v>
      </c>
      <c r="C88" s="2">
        <f ca="1">[1]Planilha1!$L88</f>
        <v>3506508</v>
      </c>
      <c r="D88" t="str">
        <f>TRIM([1]Planilha1!$D88)</f>
        <v>ISP LOCAL</v>
      </c>
      <c r="E88" t="str">
        <f>IF(TRIM([1]Planilha1!$D88)="Claro","Claro","Concorrente")</f>
        <v>Concorrente</v>
      </c>
      <c r="F88" t="s">
        <v>48</v>
      </c>
      <c r="G88" t="str">
        <f t="shared" ca="1" si="0"/>
        <v>Banda Larga + Conteudo</v>
      </c>
      <c r="H88" t="str">
        <f ca="1">TRIM([1]Planilha1!$E88)</f>
        <v>FLIP - 500M R$89,99</v>
      </c>
      <c r="I88" t="str">
        <f ca="1">IF([1]Planilha1!$F88="","",TRIM([1]Planilha1!$F88))</f>
        <v>Fibra</v>
      </c>
      <c r="J88" s="3">
        <f ca="1">IF([1]Planilha1!$G88="","",[1]Planilha1!$G88)</f>
        <v>500</v>
      </c>
      <c r="K88" s="4" t="str" cm="1">
        <f t="array" aca="1" ref="K88" ca="1">IFERROR(VALUE(_xlfn.REGEXEXTRACT([1]Planilha1!$E88,"\+\s*(\d+)GB",2)),"")</f>
        <v/>
      </c>
      <c r="L88" s="5">
        <f ca="1">IF([1]Planilha1!$H88="","",[1]Planilha1!$H88)</f>
        <v>89.99</v>
      </c>
      <c r="M88" s="5" t="str">
        <f ca="1">IF([1]Planilha1!$I88="","",[1]Planilha1!$I88)</f>
        <v/>
      </c>
      <c r="N88" s="2" t="str" cm="1">
        <f t="array" aca="1" ref="N88" ca="1">IFERROR(VALUE(_xlfn.REGEXEXTRACT([1]Planilha1!$E88,"(\d+)\s*MESES",2)),IFERROR(VALUE(_xlfn.REGEXEXTRACT([1]Planilha1!$E88,"por\s*(\d+)\s*M",2)),IF(_xlfn.REGEXTEST([1]Planilha1!$E88,"1[ºª]"),1,"")))</f>
        <v/>
      </c>
      <c r="O88" s="6">
        <f t="shared" ca="1" si="5"/>
        <v>0.17998</v>
      </c>
      <c r="P88" t="str">
        <f ca="1">IF([1]Planilha1!$J88="","",TRIM([1]Planilha1!$J88))</f>
        <v>0</v>
      </c>
      <c r="Q88" s="7">
        <f ca="1">IF($D88="Claro","",IFERROR($L88-VLOOKUP($B88&amp;"|Claro",[1]AUX_CLARO!$A:$C,2,FALSE),""))</f>
        <v>-49.910000000000011</v>
      </c>
      <c r="R88" s="8">
        <f ca="1">IF($D88="Claro","",IFERROR($J88-VLOOKUP($B88&amp;"|Claro",[1]AUX_CLARO!$A:$C,3,FALSE),""))</f>
        <v>-100</v>
      </c>
      <c r="S88" t="str">
        <f t="shared" ca="1" si="6"/>
        <v>Claro mais cara</v>
      </c>
      <c r="T88" t="str">
        <f t="shared" ca="1" si="7"/>
        <v>Claro com maior velocidade</v>
      </c>
      <c r="U88" s="9">
        <f t="shared" si="8"/>
        <v>46174</v>
      </c>
      <c r="V88" t="str">
        <f ca="1">IF(OR([1]Planilha1!$B88="",[1]Planilha1!$B88="NÃO MAPEADO"),"",TRIM([1]Planilha1!$B88))</f>
        <v>NOROESTE</v>
      </c>
      <c r="W88" t="str">
        <f ca="1">IF([1]Planilha1!$C88="","",TRIM([1]Planilha1!$C88))</f>
        <v>MD 2</v>
      </c>
      <c r="X88" t="str">
        <f ca="1">IFERROR(VLOOKUP($C88,[1]Planilha2!$B:$H,7,FALSE),"")</f>
        <v>16200-001</v>
      </c>
    </row>
    <row r="89" spans="1:24" x14ac:dyDescent="0.35">
      <c r="A89" t="str">
        <f ca="1">IF(LEFT(TEXT([1]Planilha1!$L89,"0000000"),1)="5","MS","SP")</f>
        <v>SP</v>
      </c>
      <c r="B89" t="str">
        <f ca="1">IF(RIGHT([1]Planilha1!$A89,5)=" - MS",LEFT([1]Planilha1!$A89,LEN([1]Planilha1!$A89)-5),TRIM([1]Planilha1!$A89))</f>
        <v>BOITUVA</v>
      </c>
      <c r="C89" s="2">
        <f ca="1">[1]Planilha1!$L89</f>
        <v>3507001</v>
      </c>
      <c r="D89" t="str">
        <f>TRIM([1]Planilha1!$D89)</f>
        <v>Claro</v>
      </c>
      <c r="E89" t="str">
        <f>IF(TRIM([1]Planilha1!$D89)="Claro","Claro","Concorrente")</f>
        <v>Claro</v>
      </c>
      <c r="F89" t="s">
        <v>24</v>
      </c>
      <c r="G89" t="str">
        <f t="shared" ca="1" si="0"/>
        <v>Banda Larga + Movel</v>
      </c>
      <c r="H89" t="str">
        <f ca="1">TRIM([1]Planilha1!$E89)</f>
        <v>600M+100GB=R$119,90 por 6M, após R$139,90</v>
      </c>
      <c r="I89" t="str">
        <f ca="1">IF([1]Planilha1!$F89="","",TRIM([1]Planilha1!$F89))</f>
        <v>Fibra</v>
      </c>
      <c r="J89" s="3">
        <f ca="1">IF([1]Planilha1!$G89="","",[1]Planilha1!$G89)</f>
        <v>600</v>
      </c>
      <c r="K89" s="4" cm="1">
        <f t="array" aca="1" ref="K89" ca="1">IFERROR(VALUE(_xlfn.REGEXEXTRACT([1]Planilha1!$E89,"\+\s*(\d+)GB",2)),"")</f>
        <v>100</v>
      </c>
      <c r="L89" s="5">
        <f ca="1">IF([1]Planilha1!$H89="","",[1]Planilha1!$H89)</f>
        <v>139.9</v>
      </c>
      <c r="M89" s="5">
        <f ca="1">IF([1]Planilha1!$I89="","",[1]Planilha1!$I89)</f>
        <v>119.9</v>
      </c>
      <c r="N89" s="2" cm="1">
        <f t="array" aca="1" ref="N89" ca="1">IFERROR(VALUE(_xlfn.REGEXEXTRACT([1]Planilha1!$E89,"(\d+)\s*MESES",2)),IFERROR(VALUE(_xlfn.REGEXEXTRACT([1]Planilha1!$E89,"por\s*(\d+)\s*M",2)),IF(_xlfn.REGEXTEST([1]Planilha1!$E89,"1[ºª]"),1,"")))</f>
        <v>6</v>
      </c>
      <c r="O89" s="6">
        <f t="shared" ca="1" si="5"/>
        <v>0.23316666666666669</v>
      </c>
      <c r="P89" t="str">
        <f ca="1">IF([1]Planilha1!$J89="","",TRIM([1]Planilha1!$J89))</f>
        <v>GLOBOPLAY</v>
      </c>
      <c r="Q89" s="7" t="str">
        <f>IF($D89="Claro","",IFERROR($L89-VLOOKUP($B89&amp;"|Claro",[1]AUX_CLARO!$A:$C,2,FALSE),""))</f>
        <v/>
      </c>
      <c r="R89" s="8" t="str">
        <f>IF($D89="Claro","",IFERROR($J89-VLOOKUP($B89&amp;"|Claro",[1]AUX_CLARO!$A:$C,3,FALSE),""))</f>
        <v/>
      </c>
      <c r="S89" t="str">
        <f t="shared" si="6"/>
        <v/>
      </c>
      <c r="T89" t="str">
        <f t="shared" si="7"/>
        <v/>
      </c>
      <c r="U89" s="9">
        <f t="shared" si="8"/>
        <v>46174</v>
      </c>
      <c r="V89" t="str">
        <f ca="1">IF(OR([1]Planilha1!$B89="",[1]Planilha1!$B89="NÃO MAPEADO"),"",TRIM([1]Planilha1!$B89))</f>
        <v>SUDESTE</v>
      </c>
      <c r="W89" t="str">
        <f ca="1">IF([1]Planilha1!$C89="","",TRIM([1]Planilha1!$C89))</f>
        <v>MD 1</v>
      </c>
      <c r="X89" s="12" t="str">
        <f ca="1">IFERROR(VLOOKUP($C89,[1]Planilha2!$B:$H,7,FALSE),"")</f>
        <v>18550-001</v>
      </c>
    </row>
    <row r="90" spans="1:24" x14ac:dyDescent="0.35">
      <c r="A90" t="str">
        <f ca="1">IF(LEFT(TEXT([1]Planilha1!$L90,"0000000"),1)="5","MS","SP")</f>
        <v>SP</v>
      </c>
      <c r="B90" t="str">
        <f ca="1">IF(RIGHT([1]Planilha1!$A90,5)=" - MS",LEFT([1]Planilha1!$A90,LEN([1]Planilha1!$A90)-5),TRIM([1]Planilha1!$A90))</f>
        <v>BOITUVA</v>
      </c>
      <c r="C90" s="2">
        <f ca="1">[1]Planilha1!$L90</f>
        <v>3507001</v>
      </c>
      <c r="D90" t="str">
        <f>TRIM([1]Planilha1!$D90)</f>
        <v>Vivo</v>
      </c>
      <c r="E90" t="str">
        <f>IF(TRIM([1]Planilha1!$D90)="Claro","Claro","Concorrente")</f>
        <v>Concorrente</v>
      </c>
      <c r="F90" t="s">
        <v>25</v>
      </c>
      <c r="G90" t="str">
        <f t="shared" ca="1" si="0"/>
        <v>Banda Larga + Movel</v>
      </c>
      <c r="H90" t="s">
        <v>26</v>
      </c>
      <c r="I90" t="str">
        <f ca="1">IF([1]Planilha1!$F90="","",TRIM([1]Planilha1!$F90))</f>
        <v>Fibra</v>
      </c>
      <c r="J90" s="11" t="s">
        <v>27</v>
      </c>
      <c r="K90" s="4" cm="1">
        <f t="array" aca="1" ref="K90" ca="1">IFERROR(VALUE(_xlfn.REGEXEXTRACT([1]Planilha1!$E90,"\+\s*(\d+)GB",2)),"")</f>
        <v>70</v>
      </c>
      <c r="L90" s="5">
        <v>160</v>
      </c>
      <c r="M90" s="5" t="str">
        <f ca="1">IF([1]Planilha1!$I90="","",[1]Planilha1!$I90)</f>
        <v/>
      </c>
      <c r="N90" s="2" t="str" cm="1">
        <f t="array" aca="1" ref="N90" ca="1">IFERROR(VALUE(_xlfn.REGEXEXTRACT([1]Planilha1!$E90,"(\d+)\s*MESES",2)),IFERROR(VALUE(_xlfn.REGEXEXTRACT([1]Planilha1!$E90,"por\s*(\d+)\s*M",2)),IF(_xlfn.REGEXTEST([1]Planilha1!$E90,"1[ºª]"),1,"")))</f>
        <v/>
      </c>
      <c r="O90" s="6" t="str">
        <f t="shared" si="5"/>
        <v/>
      </c>
      <c r="P90" t="str">
        <f ca="1">IF([1]Planilha1!$J90="","",TRIM([1]Planilha1!$J90))</f>
        <v>0</v>
      </c>
      <c r="Q90" s="7">
        <f ca="1">IF($D90="Claro","",IFERROR($L90-VLOOKUP($B90&amp;"|Claro",[1]AUX_CLARO!$A:$C,2,FALSE),""))</f>
        <v>20.099999999999994</v>
      </c>
      <c r="R90" s="8" t="str">
        <f ca="1">IF($D90="Claro","",IFERROR($J90-VLOOKUP($B90&amp;"|Claro",[1]AUX_CLARO!$A:$C,3,FALSE),""))</f>
        <v/>
      </c>
      <c r="S90" t="str">
        <f t="shared" ca="1" si="6"/>
        <v>Claro mais barata</v>
      </c>
      <c r="T90" t="str">
        <f t="shared" ca="1" si="7"/>
        <v/>
      </c>
      <c r="U90" s="9">
        <f t="shared" si="8"/>
        <v>46174</v>
      </c>
      <c r="V90" t="str">
        <f ca="1">IF(OR([1]Planilha1!$B90="",[1]Planilha1!$B90="NÃO MAPEADO"),"",TRIM([1]Planilha1!$B90))</f>
        <v>SUDESTE</v>
      </c>
      <c r="W90" t="str">
        <f ca="1">IF([1]Planilha1!$C90="","",TRIM([1]Planilha1!$C90))</f>
        <v>MD 1</v>
      </c>
      <c r="X90" s="12" t="str">
        <f ca="1">IFERROR(VLOOKUP($C90,[1]Planilha2!$B:$H,7,FALSE),"")</f>
        <v>18550-001</v>
      </c>
    </row>
    <row r="91" spans="1:24" x14ac:dyDescent="0.35">
      <c r="A91" t="str">
        <f ca="1">IF(LEFT(TEXT([1]Planilha1!$L91,"0000000"),1)="5","MS","SP")</f>
        <v>SP</v>
      </c>
      <c r="B91" t="str">
        <f ca="1">IF(RIGHT([1]Planilha1!$A91,5)=" - MS",LEFT([1]Planilha1!$A91,LEN([1]Planilha1!$A91)-5),TRIM([1]Planilha1!$A91))</f>
        <v>BOITUVA</v>
      </c>
      <c r="C91" s="2">
        <f ca="1">[1]Planilha1!$L91</f>
        <v>3507001</v>
      </c>
      <c r="D91" t="str">
        <f>TRIM([1]Planilha1!$D91)</f>
        <v>Desktop</v>
      </c>
      <c r="E91" t="str">
        <f>IF(TRIM([1]Planilha1!$D91)="Claro","Claro","Concorrente")</f>
        <v>Concorrente</v>
      </c>
      <c r="F91" t="s">
        <v>29</v>
      </c>
      <c r="G91" t="str">
        <f t="shared" ca="1" si="0"/>
        <v>Banda Larga + Movel</v>
      </c>
      <c r="H91" t="str">
        <f ca="1">TRIM([1]Planilha1!$E91)</f>
        <v>600M+15GB=R$129,99 - 6 MESES, APÓS R$139,99</v>
      </c>
      <c r="I91" t="str">
        <f ca="1">IF([1]Planilha1!$F91="","",TRIM([1]Planilha1!$F91))</f>
        <v>Fibra</v>
      </c>
      <c r="J91" s="3">
        <f ca="1">IF([1]Planilha1!$G91="","",[1]Planilha1!$G91)</f>
        <v>600</v>
      </c>
      <c r="K91" s="4" cm="1">
        <f t="array" aca="1" ref="K91" ca="1">IFERROR(VALUE(_xlfn.REGEXEXTRACT([1]Planilha1!$E91,"\+\s*(\d+)GB",2)),"")</f>
        <v>15</v>
      </c>
      <c r="L91" s="5">
        <f ca="1">IF([1]Planilha1!$H91="","",[1]Planilha1!$H91)</f>
        <v>139.99</v>
      </c>
      <c r="M91" s="5">
        <f ca="1">IF([1]Planilha1!$I91="","",[1]Planilha1!$I91)</f>
        <v>129.99</v>
      </c>
      <c r="N91" s="2" cm="1">
        <f t="array" aca="1" ref="N91" ca="1">IFERROR(VALUE(_xlfn.REGEXEXTRACT([1]Planilha1!$E91,"(\d+)\s*MESES",2)),IFERROR(VALUE(_xlfn.REGEXEXTRACT([1]Planilha1!$E91,"por\s*(\d+)\s*M",2)),IF(_xlfn.REGEXTEST([1]Planilha1!$E91,"1[ºª]"),1,"")))</f>
        <v>6</v>
      </c>
      <c r="O91" s="6">
        <f t="shared" ca="1" si="5"/>
        <v>0.23331666666666667</v>
      </c>
      <c r="P91" t="str">
        <f ca="1">IF([1]Planilha1!$J91="","",TRIM([1]Planilha1!$J91))</f>
        <v>0</v>
      </c>
      <c r="Q91" s="7">
        <f ca="1">IF($D91="Claro","",IFERROR($L91-VLOOKUP($B91&amp;"|Claro",[1]AUX_CLARO!$A:$C,2,FALSE),""))</f>
        <v>9.0000000000003411E-2</v>
      </c>
      <c r="R91" s="8">
        <f ca="1">IF($D91="Claro","",IFERROR($J91-VLOOKUP($B91&amp;"|Claro",[1]AUX_CLARO!$A:$C,3,FALSE),""))</f>
        <v>0</v>
      </c>
      <c r="S91" t="str">
        <f t="shared" ca="1" si="6"/>
        <v>Claro mais barata</v>
      </c>
      <c r="T91" t="str">
        <f t="shared" ca="1" si="7"/>
        <v>Mesma velocidade</v>
      </c>
      <c r="U91" s="9">
        <f t="shared" si="8"/>
        <v>46174</v>
      </c>
      <c r="V91" t="str">
        <f ca="1">IF(OR([1]Planilha1!$B91="",[1]Planilha1!$B91="NÃO MAPEADO"),"",TRIM([1]Planilha1!$B91))</f>
        <v>SUDESTE</v>
      </c>
      <c r="W91" t="str">
        <f ca="1">IF([1]Planilha1!$C91="","",TRIM([1]Planilha1!$C91))</f>
        <v>MD 1</v>
      </c>
      <c r="X91" s="12" t="str">
        <f ca="1">IFERROR(VLOOKUP($C91,[1]Planilha2!$B:$H,7,FALSE),"")</f>
        <v>18550-001</v>
      </c>
    </row>
    <row r="92" spans="1:24" x14ac:dyDescent="0.35">
      <c r="A92" t="str">
        <f ca="1">IF(LEFT(TEXT([1]Planilha1!$L92,"0000000"),1)="5","MS","SP")</f>
        <v>SP</v>
      </c>
      <c r="B92" t="str">
        <f ca="1">IF(RIGHT([1]Planilha1!$A92,5)=" - MS",LEFT([1]Planilha1!$A92,LEN([1]Planilha1!$A92)-5),TRIM([1]Planilha1!$A92))</f>
        <v>BOITUVA</v>
      </c>
      <c r="C92" s="2">
        <f ca="1">[1]Planilha1!$L92</f>
        <v>3507001</v>
      </c>
      <c r="D92" t="str">
        <f>TRIM([1]Planilha1!$D92)</f>
        <v>ISP LOCAL</v>
      </c>
      <c r="E92" t="str">
        <f>IF(TRIM([1]Planilha1!$D92)="Claro","Claro","Concorrente")</f>
        <v>Concorrente</v>
      </c>
      <c r="F92" t="s">
        <v>42</v>
      </c>
      <c r="G92" t="str">
        <f t="shared" ca="1" si="0"/>
        <v>Banda Larga + Conteudo</v>
      </c>
      <c r="H92" t="str">
        <f ca="1">TRIM([1]Planilha1!$E92)</f>
        <v>ZAAZ - 600M R$99,90</v>
      </c>
      <c r="I92" t="str">
        <f ca="1">IF([1]Planilha1!$F92="","",TRIM([1]Planilha1!$F92))</f>
        <v>Fibra</v>
      </c>
      <c r="J92" s="3">
        <f ca="1">IF([1]Planilha1!$G92="","",[1]Planilha1!$G92)</f>
        <v>600</v>
      </c>
      <c r="K92" s="4" t="str" cm="1">
        <f t="array" aca="1" ref="K92" ca="1">IFERROR(VALUE(_xlfn.REGEXEXTRACT([1]Planilha1!$E92,"\+\s*(\d+)GB",2)),"")</f>
        <v/>
      </c>
      <c r="L92" s="5">
        <f ca="1">IF([1]Planilha1!$H92="","",[1]Planilha1!$H92)</f>
        <v>99.9</v>
      </c>
      <c r="M92" s="5" t="str">
        <f ca="1">IF([1]Planilha1!$I92="","",[1]Planilha1!$I92)</f>
        <v/>
      </c>
      <c r="N92" s="2" t="str" cm="1">
        <f t="array" aca="1" ref="N92" ca="1">IFERROR(VALUE(_xlfn.REGEXEXTRACT([1]Planilha1!$E92,"(\d+)\s*MESES",2)),IFERROR(VALUE(_xlfn.REGEXEXTRACT([1]Planilha1!$E92,"por\s*(\d+)\s*M",2)),IF(_xlfn.REGEXTEST([1]Planilha1!$E92,"1[ºª]"),1,"")))</f>
        <v/>
      </c>
      <c r="O92" s="6">
        <f t="shared" ca="1" si="5"/>
        <v>0.16650000000000001</v>
      </c>
      <c r="P92" t="str">
        <f ca="1">IF([1]Planilha1!$J92="","",TRIM([1]Planilha1!$J92))</f>
        <v>0</v>
      </c>
      <c r="Q92" s="7">
        <f ca="1">IF($D92="Claro","",IFERROR($L92-VLOOKUP($B92&amp;"|Claro",[1]AUX_CLARO!$A:$C,2,FALSE),""))</f>
        <v>-40</v>
      </c>
      <c r="R92" s="8">
        <f ca="1">IF($D92="Claro","",IFERROR($J92-VLOOKUP($B92&amp;"|Claro",[1]AUX_CLARO!$A:$C,3,FALSE),""))</f>
        <v>0</v>
      </c>
      <c r="S92" t="str">
        <f t="shared" ca="1" si="6"/>
        <v>Claro mais cara</v>
      </c>
      <c r="T92" t="str">
        <f t="shared" ca="1" si="7"/>
        <v>Mesma velocidade</v>
      </c>
      <c r="U92" s="9">
        <f t="shared" si="8"/>
        <v>46174</v>
      </c>
      <c r="V92" t="str">
        <f ca="1">IF(OR([1]Planilha1!$B92="",[1]Planilha1!$B92="NÃO MAPEADO"),"",TRIM([1]Planilha1!$B92))</f>
        <v>SUDESTE</v>
      </c>
      <c r="W92" t="str">
        <f ca="1">IF([1]Planilha1!$C92="","",TRIM([1]Planilha1!$C92))</f>
        <v>MD 1</v>
      </c>
      <c r="X92" s="12" t="str">
        <f ca="1">IFERROR(VLOOKUP($C92,[1]Planilha2!$B:$H,7,FALSE),"")</f>
        <v>18550-001</v>
      </c>
    </row>
    <row r="93" spans="1:24" x14ac:dyDescent="0.35">
      <c r="A93" t="str">
        <f ca="1">IF(LEFT(TEXT([1]Planilha1!$L93,"0000000"),1)="5","MS","SP")</f>
        <v>SP</v>
      </c>
      <c r="B93" t="str">
        <f ca="1">IF(RIGHT([1]Planilha1!$A93,5)=" - MS",LEFT([1]Planilha1!$A93,LEN([1]Planilha1!$A93)-5),TRIM([1]Planilha1!$A93))</f>
        <v>BOTUCATU</v>
      </c>
      <c r="C93" s="2">
        <f ca="1">[1]Planilha1!$L93</f>
        <v>3507506</v>
      </c>
      <c r="D93" t="str">
        <f>TRIM([1]Planilha1!$D93)</f>
        <v>Claro</v>
      </c>
      <c r="E93" t="str">
        <f>IF(TRIM([1]Planilha1!$D93)="Claro","Claro","Concorrente")</f>
        <v>Claro</v>
      </c>
      <c r="F93" t="s">
        <v>24</v>
      </c>
      <c r="G93" t="str">
        <f t="shared" ca="1" si="0"/>
        <v>Banda Larga + Movel</v>
      </c>
      <c r="H93" t="str">
        <f ca="1">TRIM([1]Planilha1!$E93)</f>
        <v>600M+100GB=R$109,90 por 6M, após R$139,90</v>
      </c>
      <c r="I93" t="str">
        <f ca="1">IF([1]Planilha1!$F93="","",TRIM([1]Planilha1!$F93))</f>
        <v>Fibra</v>
      </c>
      <c r="J93" s="3">
        <f ca="1">IF([1]Planilha1!$G93="","",[1]Planilha1!$G93)</f>
        <v>600</v>
      </c>
      <c r="K93" s="4" cm="1">
        <f t="array" aca="1" ref="K93" ca="1">IFERROR(VALUE(_xlfn.REGEXEXTRACT([1]Planilha1!$E93,"\+\s*(\d+)GB",2)),"")</f>
        <v>100</v>
      </c>
      <c r="L93" s="5">
        <f ca="1">IF([1]Planilha1!$H93="","",[1]Planilha1!$H93)</f>
        <v>139.9</v>
      </c>
      <c r="M93" s="5">
        <f ca="1">IF([1]Planilha1!$I93="","",[1]Planilha1!$I93)</f>
        <v>109.9</v>
      </c>
      <c r="N93" s="2" cm="1">
        <f t="array" aca="1" ref="N93" ca="1">IFERROR(VALUE(_xlfn.REGEXEXTRACT([1]Planilha1!$E93,"(\d+)\s*MESES",2)),IFERROR(VALUE(_xlfn.REGEXEXTRACT([1]Planilha1!$E93,"por\s*(\d+)\s*M",2)),IF(_xlfn.REGEXTEST([1]Planilha1!$E93,"1[ºª]"),1,"")))</f>
        <v>6</v>
      </c>
      <c r="O93" s="6">
        <f t="shared" ca="1" si="5"/>
        <v>0.23316666666666669</v>
      </c>
      <c r="P93" t="str">
        <f ca="1">IF([1]Planilha1!$J93="","",TRIM([1]Planilha1!$J93))</f>
        <v>GLOBOPLAY</v>
      </c>
      <c r="Q93" s="7" t="str">
        <f>IF($D93="Claro","",IFERROR($L93-VLOOKUP($B93&amp;"|Claro",[1]AUX_CLARO!$A:$C,2,FALSE),""))</f>
        <v/>
      </c>
      <c r="R93" s="8" t="str">
        <f>IF($D93="Claro","",IFERROR($J93-VLOOKUP($B93&amp;"|Claro",[1]AUX_CLARO!$A:$C,3,FALSE),""))</f>
        <v/>
      </c>
      <c r="S93" t="str">
        <f t="shared" si="6"/>
        <v/>
      </c>
      <c r="T93" t="str">
        <f t="shared" si="7"/>
        <v/>
      </c>
      <c r="U93" s="9">
        <f t="shared" si="8"/>
        <v>46174</v>
      </c>
      <c r="V93" t="str">
        <f ca="1">IF(OR([1]Planilha1!$B93="",[1]Planilha1!$B93="NÃO MAPEADO"),"",TRIM([1]Planilha1!$B93))</f>
        <v>SUDESTE</v>
      </c>
      <c r="W93" t="str">
        <f ca="1">IF([1]Planilha1!$C93="","",TRIM([1]Planilha1!$C93))</f>
        <v>MD 2</v>
      </c>
      <c r="X93" s="12" t="str">
        <f ca="1">IFERROR(VLOOKUP($C93,[1]Planilha2!$B:$H,7,FALSE),"")</f>
        <v>18600-001</v>
      </c>
    </row>
    <row r="94" spans="1:24" x14ac:dyDescent="0.35">
      <c r="A94" t="str">
        <f ca="1">IF(LEFT(TEXT([1]Planilha1!$L94,"0000000"),1)="5","MS","SP")</f>
        <v>SP</v>
      </c>
      <c r="B94" t="str">
        <f ca="1">IF(RIGHT([1]Planilha1!$A94,5)=" - MS",LEFT([1]Planilha1!$A94,LEN([1]Planilha1!$A94)-5),TRIM([1]Planilha1!$A94))</f>
        <v>BOTUCATU</v>
      </c>
      <c r="C94" s="2">
        <f ca="1">[1]Planilha1!$L94</f>
        <v>3507506</v>
      </c>
      <c r="D94" t="str">
        <f>TRIM([1]Planilha1!$D94)</f>
        <v>Vivo</v>
      </c>
      <c r="E94" t="str">
        <f>IF(TRIM([1]Planilha1!$D94)="Claro","Claro","Concorrente")</f>
        <v>Concorrente</v>
      </c>
      <c r="F94" t="s">
        <v>25</v>
      </c>
      <c r="G94" t="str">
        <f t="shared" ca="1" si="0"/>
        <v>Banda Larga + Movel</v>
      </c>
      <c r="H94" t="s">
        <v>26</v>
      </c>
      <c r="I94" t="str">
        <f ca="1">IF([1]Planilha1!$F94="","",TRIM([1]Planilha1!$F94))</f>
        <v>Fibra</v>
      </c>
      <c r="J94" s="11" t="s">
        <v>27</v>
      </c>
      <c r="K94" s="4" cm="1">
        <f t="array" aca="1" ref="K94" ca="1">IFERROR(VALUE(_xlfn.REGEXEXTRACT([1]Planilha1!$E94,"\+\s*(\d+)GB",2)),"")</f>
        <v>70</v>
      </c>
      <c r="L94" s="5">
        <v>160</v>
      </c>
      <c r="M94" s="5" t="str">
        <f ca="1">IF([1]Planilha1!$I94="","",[1]Planilha1!$I94)</f>
        <v/>
      </c>
      <c r="N94" s="2" t="str" cm="1">
        <f t="array" aca="1" ref="N94" ca="1">IFERROR(VALUE(_xlfn.REGEXEXTRACT([1]Planilha1!$E94,"(\d+)\s*MESES",2)),IFERROR(VALUE(_xlfn.REGEXEXTRACT([1]Planilha1!$E94,"por\s*(\d+)\s*M",2)),IF(_xlfn.REGEXTEST([1]Planilha1!$E94,"1[ºª]"),1,"")))</f>
        <v/>
      </c>
      <c r="O94" s="6" t="str">
        <f t="shared" si="5"/>
        <v/>
      </c>
      <c r="P94" t="str">
        <f ca="1">IF([1]Planilha1!$J94="","",TRIM([1]Planilha1!$J94))</f>
        <v>0</v>
      </c>
      <c r="Q94" s="7">
        <f ca="1">IF($D94="Claro","",IFERROR($L94-VLOOKUP($B94&amp;"|Claro",[1]AUX_CLARO!$A:$C,2,FALSE),""))</f>
        <v>20.099999999999994</v>
      </c>
      <c r="R94" s="8" t="str">
        <f ca="1">IF($D94="Claro","",IFERROR($J94-VLOOKUP($B94&amp;"|Claro",[1]AUX_CLARO!$A:$C,3,FALSE),""))</f>
        <v/>
      </c>
      <c r="S94" t="str">
        <f t="shared" ca="1" si="6"/>
        <v>Claro mais barata</v>
      </c>
      <c r="T94" t="str">
        <f t="shared" ca="1" si="7"/>
        <v/>
      </c>
      <c r="U94" s="9">
        <f t="shared" si="8"/>
        <v>46174</v>
      </c>
      <c r="V94" t="str">
        <f ca="1">IF(OR([1]Planilha1!$B94="",[1]Planilha1!$B94="NÃO MAPEADO"),"",TRIM([1]Planilha1!$B94))</f>
        <v>SUDESTE</v>
      </c>
      <c r="W94" t="str">
        <f ca="1">IF([1]Planilha1!$C94="","",TRIM([1]Planilha1!$C94))</f>
        <v>MD 2</v>
      </c>
      <c r="X94" s="12" t="str">
        <f ca="1">IFERROR(VLOOKUP($C94,[1]Planilha2!$B:$H,7,FALSE),"")</f>
        <v>18600-001</v>
      </c>
    </row>
    <row r="95" spans="1:24" x14ac:dyDescent="0.35">
      <c r="A95" t="str">
        <f ca="1">IF(LEFT(TEXT([1]Planilha1!$L95,"0000000"),1)="5","MS","SP")</f>
        <v>SP</v>
      </c>
      <c r="B95" t="str">
        <f ca="1">IF(RIGHT([1]Planilha1!$A95,5)=" - MS",LEFT([1]Planilha1!$A95,LEN([1]Planilha1!$A95)-5),TRIM([1]Planilha1!$A95))</f>
        <v>BOTUCATU</v>
      </c>
      <c r="C95" s="2">
        <f ca="1">[1]Planilha1!$L95</f>
        <v>3507506</v>
      </c>
      <c r="D95" t="str">
        <f>TRIM([1]Planilha1!$D95)</f>
        <v>Desktop</v>
      </c>
      <c r="E95" t="str">
        <f>IF(TRIM([1]Planilha1!$D95)="Claro","Claro","Concorrente")</f>
        <v>Concorrente</v>
      </c>
      <c r="F95" t="s">
        <v>29</v>
      </c>
      <c r="G95" t="str">
        <f t="shared" ca="1" si="0"/>
        <v>Banda Larga + Movel</v>
      </c>
      <c r="H95" t="str">
        <f ca="1">TRIM([1]Planilha1!$E95)</f>
        <v>600M+15GB=R$129,99 - 6 MESES, APÓS R$139,99</v>
      </c>
      <c r="I95" t="str">
        <f ca="1">IF([1]Planilha1!$F95="","",TRIM([1]Planilha1!$F95))</f>
        <v>Fibra</v>
      </c>
      <c r="J95" s="3">
        <f ca="1">IF([1]Planilha1!$G95="","",[1]Planilha1!$G95)</f>
        <v>600</v>
      </c>
      <c r="K95" s="4" cm="1">
        <f t="array" aca="1" ref="K95" ca="1">IFERROR(VALUE(_xlfn.REGEXEXTRACT([1]Planilha1!$E95,"\+\s*(\d+)GB",2)),"")</f>
        <v>15</v>
      </c>
      <c r="L95" s="5">
        <f ca="1">IF([1]Planilha1!$H95="","",[1]Planilha1!$H95)</f>
        <v>139.99</v>
      </c>
      <c r="M95" s="5">
        <f ca="1">IF([1]Planilha1!$I95="","",[1]Planilha1!$I95)</f>
        <v>129.99</v>
      </c>
      <c r="N95" s="2" cm="1">
        <f t="array" aca="1" ref="N95" ca="1">IFERROR(VALUE(_xlfn.REGEXEXTRACT([1]Planilha1!$E95,"(\d+)\s*MESES",2)),IFERROR(VALUE(_xlfn.REGEXEXTRACT([1]Planilha1!$E95,"por\s*(\d+)\s*M",2)),IF(_xlfn.REGEXTEST([1]Planilha1!$E95,"1[ºª]"),1,"")))</f>
        <v>6</v>
      </c>
      <c r="O95" s="6">
        <f t="shared" ca="1" si="5"/>
        <v>0.23331666666666667</v>
      </c>
      <c r="P95" t="str">
        <f ca="1">IF([1]Planilha1!$J95="","",TRIM([1]Planilha1!$J95))</f>
        <v>0</v>
      </c>
      <c r="Q95" s="7">
        <f ca="1">IF($D95="Claro","",IFERROR($L95-VLOOKUP($B95&amp;"|Claro",[1]AUX_CLARO!$A:$C,2,FALSE),""))</f>
        <v>9.0000000000003411E-2</v>
      </c>
      <c r="R95" s="8">
        <f ca="1">IF($D95="Claro","",IFERROR($J95-VLOOKUP($B95&amp;"|Claro",[1]AUX_CLARO!$A:$C,3,FALSE),""))</f>
        <v>0</v>
      </c>
      <c r="S95" t="str">
        <f t="shared" ca="1" si="6"/>
        <v>Claro mais barata</v>
      </c>
      <c r="T95" t="str">
        <f t="shared" ca="1" si="7"/>
        <v>Mesma velocidade</v>
      </c>
      <c r="U95" s="9">
        <f t="shared" si="8"/>
        <v>46174</v>
      </c>
      <c r="V95" t="str">
        <f ca="1">IF(OR([1]Planilha1!$B95="",[1]Planilha1!$B95="NÃO MAPEADO"),"",TRIM([1]Planilha1!$B95))</f>
        <v>SUDESTE</v>
      </c>
      <c r="W95" t="str">
        <f ca="1">IF([1]Planilha1!$C95="","",TRIM([1]Planilha1!$C95))</f>
        <v>MD 2</v>
      </c>
      <c r="X95" s="12" t="str">
        <f ca="1">IFERROR(VLOOKUP($C95,[1]Planilha2!$B:$H,7,FALSE),"")</f>
        <v>18600-001</v>
      </c>
    </row>
    <row r="96" spans="1:24" x14ac:dyDescent="0.35">
      <c r="A96" t="str">
        <f ca="1">IF(LEFT(TEXT([1]Planilha1!$L96,"0000000"),1)="5","MS","SP")</f>
        <v>SP</v>
      </c>
      <c r="B96" t="str">
        <f ca="1">IF(RIGHT([1]Planilha1!$A96,5)=" - MS",LEFT([1]Planilha1!$A96,LEN([1]Planilha1!$A96)-5),TRIM([1]Planilha1!$A96))</f>
        <v>BOTUCATU</v>
      </c>
      <c r="C96" s="2">
        <f ca="1">[1]Planilha1!$L96</f>
        <v>3507506</v>
      </c>
      <c r="D96" t="str">
        <f>TRIM([1]Planilha1!$D96)</f>
        <v>Vero</v>
      </c>
      <c r="E96" t="str">
        <f>IF(TRIM([1]Planilha1!$D96)="Claro","Claro","Concorrente")</f>
        <v>Concorrente</v>
      </c>
      <c r="F96" t="s">
        <v>30</v>
      </c>
      <c r="G96" t="str">
        <f t="shared" ca="1" si="0"/>
        <v>Banda Larga + Movel</v>
      </c>
      <c r="H96" t="str">
        <f ca="1">TRIM([1]Planilha1!$E96)</f>
        <v>850M+60GB=R$149,99 (C/ GLOBOPLAY, HBO, DISNEY+)</v>
      </c>
      <c r="I96" t="str">
        <f ca="1">IF([1]Planilha1!$F96="","",TRIM([1]Planilha1!$F96))</f>
        <v>Fibra</v>
      </c>
      <c r="J96" s="3">
        <f ca="1">IF([1]Planilha1!$G96="","",[1]Planilha1!$G96)</f>
        <v>850</v>
      </c>
      <c r="K96" s="4" cm="1">
        <f t="array" aca="1" ref="K96" ca="1">IFERROR(VALUE(_xlfn.REGEXEXTRACT([1]Planilha1!$E96,"\+\s*(\d+)GB",2)),"")</f>
        <v>60</v>
      </c>
      <c r="L96" s="5">
        <f ca="1">IF([1]Planilha1!$H96="","",[1]Planilha1!$H96)</f>
        <v>149.99</v>
      </c>
      <c r="M96" s="5" t="str">
        <f ca="1">IF([1]Planilha1!$I96="","",[1]Planilha1!$I96)</f>
        <v/>
      </c>
      <c r="N96" s="2" t="str" cm="1">
        <f t="array" aca="1" ref="N96" ca="1">IFERROR(VALUE(_xlfn.REGEXEXTRACT([1]Planilha1!$E96,"(\d+)\s*MESES",2)),IFERROR(VALUE(_xlfn.REGEXEXTRACT([1]Planilha1!$E96,"por\s*(\d+)\s*M",2)),IF(_xlfn.REGEXTEST([1]Planilha1!$E96,"1[ºª]"),1,"")))</f>
        <v/>
      </c>
      <c r="O96" s="6">
        <f t="shared" ca="1" si="5"/>
        <v>0.17645882352941178</v>
      </c>
      <c r="P96" t="str">
        <f ca="1">IF([1]Planilha1!$J96="","",TRIM([1]Planilha1!$J96))</f>
        <v>GLOBOPLAY, HBO, DISNEY+</v>
      </c>
      <c r="Q96" s="7">
        <f ca="1">IF($D96="Claro","",IFERROR($L96-VLOOKUP($B96&amp;"|Claro",[1]AUX_CLARO!$A:$C,2,FALSE),""))</f>
        <v>10.090000000000003</v>
      </c>
      <c r="R96" s="8">
        <f ca="1">IF($D96="Claro","",IFERROR($J96-VLOOKUP($B96&amp;"|Claro",[1]AUX_CLARO!$A:$C,3,FALSE),""))</f>
        <v>250</v>
      </c>
      <c r="S96" t="str">
        <f t="shared" ca="1" si="6"/>
        <v>Claro mais barata</v>
      </c>
      <c r="T96" t="str">
        <f t="shared" ca="1" si="7"/>
        <v>Claro com menor velocidade</v>
      </c>
      <c r="U96" s="9">
        <f t="shared" si="8"/>
        <v>46174</v>
      </c>
      <c r="V96" t="str">
        <f ca="1">IF(OR([1]Planilha1!$B96="",[1]Planilha1!$B96="NÃO MAPEADO"),"",TRIM([1]Planilha1!$B96))</f>
        <v>SUDESTE</v>
      </c>
      <c r="W96" t="str">
        <f ca="1">IF([1]Planilha1!$C96="","",TRIM([1]Planilha1!$C96))</f>
        <v>MD 2</v>
      </c>
      <c r="X96" s="12" t="str">
        <f ca="1">IFERROR(VLOOKUP($C96,[1]Planilha2!$B:$H,7,FALSE),"")</f>
        <v>18600-001</v>
      </c>
    </row>
    <row r="97" spans="1:24" x14ac:dyDescent="0.35">
      <c r="A97" t="str">
        <f ca="1">IF(LEFT(TEXT([1]Planilha1!$L97,"0000000"),1)="5","MS","SP")</f>
        <v>SP</v>
      </c>
      <c r="B97" t="str">
        <f ca="1">IF(RIGHT([1]Planilha1!$A97,5)=" - MS",LEFT([1]Planilha1!$A97,LEN([1]Planilha1!$A97)-5),TRIM([1]Planilha1!$A97))</f>
        <v>BOTUCATU</v>
      </c>
      <c r="C97" s="2">
        <f ca="1">[1]Planilha1!$L97</f>
        <v>3507506</v>
      </c>
      <c r="D97" t="str">
        <f>TRIM([1]Planilha1!$D97)</f>
        <v>ISP LOCAL</v>
      </c>
      <c r="E97" t="str">
        <f>IF(TRIM([1]Planilha1!$D97)="Claro","Claro","Concorrente")</f>
        <v>Concorrente</v>
      </c>
      <c r="F97" t="s">
        <v>49</v>
      </c>
      <c r="G97" t="str">
        <f t="shared" ca="1" si="0"/>
        <v>Banda Larga + Conteudo</v>
      </c>
      <c r="H97" t="str">
        <f ca="1">TRIM([1]Planilha1!$E97)</f>
        <v>CONNECT10 - 1GB + GLOBOPLAY R$129,90</v>
      </c>
      <c r="I97" t="str">
        <f ca="1">IF([1]Planilha1!$F97="","",TRIM([1]Planilha1!$F97))</f>
        <v>Fibra</v>
      </c>
      <c r="J97" s="3">
        <f ca="1">IF([1]Planilha1!$G97="","",[1]Planilha1!$G97)</f>
        <v>1000</v>
      </c>
      <c r="K97" s="4" t="str" cm="1">
        <f t="array" aca="1" ref="K97" ca="1">IFERROR(VALUE(_xlfn.REGEXEXTRACT([1]Planilha1!$E97,"\+\s*(\d+)GB",2)),"")</f>
        <v/>
      </c>
      <c r="L97" s="5">
        <f ca="1">IF([1]Planilha1!$H97="","",[1]Planilha1!$H97)</f>
        <v>129.9</v>
      </c>
      <c r="M97" s="5" t="str">
        <f ca="1">IF([1]Planilha1!$I97="","",[1]Planilha1!$I97)</f>
        <v/>
      </c>
      <c r="N97" s="2" t="str" cm="1">
        <f t="array" aca="1" ref="N97" ca="1">IFERROR(VALUE(_xlfn.REGEXEXTRACT([1]Planilha1!$E97,"(\d+)\s*MESES",2)),IFERROR(VALUE(_xlfn.REGEXEXTRACT([1]Planilha1!$E97,"por\s*(\d+)\s*M",2)),IF(_xlfn.REGEXTEST([1]Planilha1!$E97,"1[ºª]"),1,"")))</f>
        <v/>
      </c>
      <c r="O97" s="6">
        <f t="shared" ca="1" si="5"/>
        <v>0.12990000000000002</v>
      </c>
      <c r="P97" t="str">
        <f ca="1">IF([1]Planilha1!$J97="","",TRIM([1]Planilha1!$J97))</f>
        <v>GLOBOPLAY</v>
      </c>
      <c r="Q97" s="7">
        <f ca="1">IF($D97="Claro","",IFERROR($L97-VLOOKUP($B97&amp;"|Claro",[1]AUX_CLARO!$A:$C,2,FALSE),""))</f>
        <v>-10</v>
      </c>
      <c r="R97" s="8">
        <f ca="1">IF($D97="Claro","",IFERROR($J97-VLOOKUP($B97&amp;"|Claro",[1]AUX_CLARO!$A:$C,3,FALSE),""))</f>
        <v>400</v>
      </c>
      <c r="S97" t="str">
        <f t="shared" ca="1" si="6"/>
        <v>Claro mais cara</v>
      </c>
      <c r="T97" t="str">
        <f t="shared" ca="1" si="7"/>
        <v>Claro com menor velocidade</v>
      </c>
      <c r="U97" s="9">
        <f t="shared" si="8"/>
        <v>46174</v>
      </c>
      <c r="V97" t="str">
        <f ca="1">IF(OR([1]Planilha1!$B97="",[1]Planilha1!$B97="NÃO MAPEADO"),"",TRIM([1]Planilha1!$B97))</f>
        <v>SUDESTE</v>
      </c>
      <c r="W97" t="str">
        <f ca="1">IF([1]Planilha1!$C97="","",TRIM([1]Planilha1!$C97))</f>
        <v>MD 2</v>
      </c>
      <c r="X97" s="12" t="str">
        <f ca="1">IFERROR(VLOOKUP($C97,[1]Planilha2!$B:$H,7,FALSE),"")</f>
        <v>18600-001</v>
      </c>
    </row>
    <row r="98" spans="1:24" x14ac:dyDescent="0.35">
      <c r="A98" t="str">
        <f ca="1">IF(LEFT(TEXT([1]Planilha1!$L98,"0000000"),1)="5","MS","SP")</f>
        <v>SP</v>
      </c>
      <c r="B98" t="str">
        <f ca="1">IF(RIGHT([1]Planilha1!$A98,5)=" - MS",LEFT([1]Planilha1!$A98,LEN([1]Planilha1!$A98)-5),TRIM([1]Planilha1!$A98))</f>
        <v>CACAPAVA</v>
      </c>
      <c r="C98" s="2">
        <f ca="1">[1]Planilha1!$L98</f>
        <v>3508504</v>
      </c>
      <c r="D98" t="str">
        <f>TRIM([1]Planilha1!$D98)</f>
        <v>Claro</v>
      </c>
      <c r="E98" t="str">
        <f>IF(TRIM([1]Planilha1!$D98)="Claro","Claro","Concorrente")</f>
        <v>Claro</v>
      </c>
      <c r="F98" t="s">
        <v>24</v>
      </c>
      <c r="G98" t="str">
        <f t="shared" ca="1" si="0"/>
        <v>Banda Larga + Movel</v>
      </c>
      <c r="H98" t="str">
        <f ca="1">TRIM([1]Planilha1!$E98)</f>
        <v>600M+100GB=R$159,90</v>
      </c>
      <c r="I98" t="str">
        <f ca="1">IF([1]Planilha1!$F98="","",TRIM([1]Planilha1!$F98))</f>
        <v>Fibra</v>
      </c>
      <c r="J98" s="3">
        <f ca="1">IF([1]Planilha1!$G98="","",[1]Planilha1!$G98)</f>
        <v>600</v>
      </c>
      <c r="K98" s="4" cm="1">
        <f t="array" aca="1" ref="K98" ca="1">IFERROR(VALUE(_xlfn.REGEXEXTRACT([1]Planilha1!$E98,"\+\s*(\d+)GB",2)),"")</f>
        <v>100</v>
      </c>
      <c r="L98" s="5">
        <f ca="1">IF([1]Planilha1!$H98="","",[1]Planilha1!$H98)</f>
        <v>159.9</v>
      </c>
      <c r="M98" s="5" t="str">
        <f ca="1">IF([1]Planilha1!$I98="","",[1]Planilha1!$I98)</f>
        <v/>
      </c>
      <c r="N98" s="2" t="str" cm="1">
        <f t="array" aca="1" ref="N98" ca="1">IFERROR(VALUE(_xlfn.REGEXEXTRACT([1]Planilha1!$E98,"(\d+)\s*MESES",2)),IFERROR(VALUE(_xlfn.REGEXEXTRACT([1]Planilha1!$E98,"por\s*(\d+)\s*M",2)),IF(_xlfn.REGEXTEST([1]Planilha1!$E98,"1[ºª]"),1,"")))</f>
        <v/>
      </c>
      <c r="O98" s="6">
        <f t="shared" ca="1" si="5"/>
        <v>0.26650000000000001</v>
      </c>
      <c r="P98" t="str">
        <f ca="1">IF([1]Planilha1!$J98="","",TRIM([1]Planilha1!$J98))</f>
        <v>GLOBOPLAY</v>
      </c>
      <c r="Q98" s="7" t="str">
        <f>IF($D98="Claro","",IFERROR($L98-VLOOKUP($B98&amp;"|Claro",[1]AUX_CLARO!$A:$C,2,FALSE),""))</f>
        <v/>
      </c>
      <c r="R98" s="8" t="str">
        <f>IF($D98="Claro","",IFERROR($J98-VLOOKUP($B98&amp;"|Claro",[1]AUX_CLARO!$A:$C,3,FALSE),""))</f>
        <v/>
      </c>
      <c r="S98" t="str">
        <f t="shared" si="6"/>
        <v/>
      </c>
      <c r="T98" t="str">
        <f t="shared" si="7"/>
        <v/>
      </c>
      <c r="U98" s="9">
        <f t="shared" si="8"/>
        <v>46174</v>
      </c>
      <c r="V98" t="str">
        <f ca="1">IF(OR([1]Planilha1!$B98="",[1]Planilha1!$B98="NÃO MAPEADO"),"",TRIM([1]Planilha1!$B98))</f>
        <v>LITORAL</v>
      </c>
      <c r="W98" t="str">
        <f ca="1">IF([1]Planilha1!$C98="","",TRIM([1]Planilha1!$C98))</f>
        <v>PADRÃO</v>
      </c>
      <c r="X98" t="str">
        <f ca="1">IFERROR(VLOOKUP($C98,[1]Planilha2!$B:$H,7,FALSE),"")</f>
        <v>12280-001</v>
      </c>
    </row>
    <row r="99" spans="1:24" x14ac:dyDescent="0.35">
      <c r="A99" t="str">
        <f ca="1">IF(LEFT(TEXT([1]Planilha1!$L99,"0000000"),1)="5","MS","SP")</f>
        <v>SP</v>
      </c>
      <c r="B99" t="str">
        <f ca="1">IF(RIGHT([1]Planilha1!$A99,5)=" - MS",LEFT([1]Planilha1!$A99,LEN([1]Planilha1!$A99)-5),TRIM([1]Planilha1!$A99))</f>
        <v>CACAPAVA</v>
      </c>
      <c r="C99" s="2">
        <f ca="1">[1]Planilha1!$L99</f>
        <v>3508504</v>
      </c>
      <c r="D99" t="str">
        <f>TRIM([1]Planilha1!$D99)</f>
        <v>Vivo</v>
      </c>
      <c r="E99" t="str">
        <f>IF(TRIM([1]Planilha1!$D99)="Claro","Claro","Concorrente")</f>
        <v>Concorrente</v>
      </c>
      <c r="F99" t="s">
        <v>25</v>
      </c>
      <c r="G99" t="str">
        <f t="shared" ca="1" si="0"/>
        <v>Banda Larga + Movel</v>
      </c>
      <c r="H99" t="s">
        <v>26</v>
      </c>
      <c r="I99" t="str">
        <f ca="1">IF([1]Planilha1!$F99="","",TRIM([1]Planilha1!$F99))</f>
        <v>Fibra</v>
      </c>
      <c r="J99" s="11" t="s">
        <v>27</v>
      </c>
      <c r="K99" s="4" cm="1">
        <f t="array" aca="1" ref="K99" ca="1">IFERROR(VALUE(_xlfn.REGEXEXTRACT([1]Planilha1!$E99,"\+\s*(\d+)GB",2)),"")</f>
        <v>70</v>
      </c>
      <c r="L99" s="5">
        <v>160</v>
      </c>
      <c r="M99" s="5" t="str">
        <f ca="1">IF([1]Planilha1!$I99="","",[1]Planilha1!$I99)</f>
        <v/>
      </c>
      <c r="N99" s="2" t="str" cm="1">
        <f t="array" aca="1" ref="N99" ca="1">IFERROR(VALUE(_xlfn.REGEXEXTRACT([1]Planilha1!$E99,"(\d+)\s*MESES",2)),IFERROR(VALUE(_xlfn.REGEXEXTRACT([1]Planilha1!$E99,"por\s*(\d+)\s*M",2)),IF(_xlfn.REGEXTEST([1]Planilha1!$E99,"1[ºª]"),1,"")))</f>
        <v/>
      </c>
      <c r="O99" s="6" t="str">
        <f t="shared" si="5"/>
        <v/>
      </c>
      <c r="P99" t="str">
        <f ca="1">IF([1]Planilha1!$J99="","",TRIM([1]Planilha1!$J99))</f>
        <v>0</v>
      </c>
      <c r="Q99" s="7">
        <f ca="1">IF($D99="Claro","",IFERROR($L99-VLOOKUP($B99&amp;"|Claro",[1]AUX_CLARO!$A:$C,2,FALSE),""))</f>
        <v>9.9999999999994316E-2</v>
      </c>
      <c r="R99" s="8" t="str">
        <f ca="1">IF($D99="Claro","",IFERROR($J99-VLOOKUP($B99&amp;"|Claro",[1]AUX_CLARO!$A:$C,3,FALSE),""))</f>
        <v/>
      </c>
      <c r="S99" t="str">
        <f t="shared" ca="1" si="6"/>
        <v>Claro mais barata</v>
      </c>
      <c r="T99" t="str">
        <f t="shared" ca="1" si="7"/>
        <v/>
      </c>
      <c r="U99" s="9">
        <f t="shared" si="8"/>
        <v>46174</v>
      </c>
      <c r="V99" t="str">
        <f ca="1">IF(OR([1]Planilha1!$B99="",[1]Planilha1!$B99="NÃO MAPEADO"),"",TRIM([1]Planilha1!$B99))</f>
        <v>LITORAL</v>
      </c>
      <c r="W99" t="str">
        <f ca="1">IF([1]Planilha1!$C99="","",TRIM([1]Planilha1!$C99))</f>
        <v>PADRÃO</v>
      </c>
      <c r="X99" t="str">
        <f ca="1">IFERROR(VLOOKUP($C99,[1]Planilha2!$B:$H,7,FALSE),"")</f>
        <v>12280-001</v>
      </c>
    </row>
    <row r="100" spans="1:24" x14ac:dyDescent="0.35">
      <c r="A100" t="str">
        <f ca="1">IF(LEFT(TEXT([1]Planilha1!$L100,"0000000"),1)="5","MS","SP")</f>
        <v>SP</v>
      </c>
      <c r="B100" t="str">
        <f ca="1">IF(RIGHT([1]Planilha1!$A100,5)=" - MS",LEFT([1]Planilha1!$A100,LEN([1]Planilha1!$A100)-5),TRIM([1]Planilha1!$A100))</f>
        <v>CACAPAVA</v>
      </c>
      <c r="C100" s="2">
        <f ca="1">[1]Planilha1!$L100</f>
        <v>3508504</v>
      </c>
      <c r="D100" t="str">
        <f>TRIM([1]Planilha1!$D100)</f>
        <v>Desktop</v>
      </c>
      <c r="E100" t="str">
        <f>IF(TRIM([1]Planilha1!$D100)="Claro","Claro","Concorrente")</f>
        <v>Concorrente</v>
      </c>
      <c r="F100" t="s">
        <v>29</v>
      </c>
      <c r="G100" t="str">
        <f t="shared" ca="1" si="0"/>
        <v>Banda Larga + Conteudo</v>
      </c>
      <c r="H100" t="str">
        <f ca="1">TRIM([1]Planilha1!$E100)</f>
        <v>600M=R$49,99 por 2M, após R$89,99</v>
      </c>
      <c r="I100" t="str">
        <f ca="1">IF([1]Planilha1!$F100="","",TRIM([1]Planilha1!$F100))</f>
        <v>Fibra</v>
      </c>
      <c r="J100" s="3">
        <f ca="1">IF([1]Planilha1!$G100="","",[1]Planilha1!$G100)</f>
        <v>600</v>
      </c>
      <c r="K100" s="4" t="str" cm="1">
        <f t="array" aca="1" ref="K100" ca="1">IFERROR(VALUE(_xlfn.REGEXEXTRACT([1]Planilha1!$E100,"\+\s*(\d+)GB",2)),"")</f>
        <v/>
      </c>
      <c r="L100" s="5">
        <f ca="1">IF([1]Planilha1!$H100="","",[1]Planilha1!$H100)</f>
        <v>89.99</v>
      </c>
      <c r="M100" s="5">
        <f ca="1">IF([1]Planilha1!$I100="","",[1]Planilha1!$I100)</f>
        <v>49.99</v>
      </c>
      <c r="N100" s="2" cm="1">
        <f t="array" aca="1" ref="N100" ca="1">IFERROR(VALUE(_xlfn.REGEXEXTRACT([1]Planilha1!$E100,"(\d+)\s*MESES",2)),IFERROR(VALUE(_xlfn.REGEXEXTRACT([1]Planilha1!$E100,"por\s*(\d+)\s*M",2)),IF(_xlfn.REGEXTEST([1]Planilha1!$E100,"1[ºª]"),1,"")))</f>
        <v>2</v>
      </c>
      <c r="O100" s="6">
        <f t="shared" ca="1" si="5"/>
        <v>0.14998333333333333</v>
      </c>
      <c r="P100" t="str">
        <f ca="1">IF([1]Planilha1!$J100="","",TRIM([1]Planilha1!$J100))</f>
        <v>0</v>
      </c>
      <c r="Q100" s="7">
        <f ca="1">IF($D100="Claro","",IFERROR($L100-VLOOKUP($B100&amp;"|Claro",[1]AUX_CLARO!$A:$C,2,FALSE),""))</f>
        <v>-69.910000000000011</v>
      </c>
      <c r="R100" s="8">
        <f ca="1">IF($D100="Claro","",IFERROR($J100-VLOOKUP($B100&amp;"|Claro",[1]AUX_CLARO!$A:$C,3,FALSE),""))</f>
        <v>0</v>
      </c>
      <c r="S100" t="str">
        <f t="shared" ca="1" si="6"/>
        <v>Claro mais cara</v>
      </c>
      <c r="T100" t="str">
        <f t="shared" ca="1" si="7"/>
        <v>Mesma velocidade</v>
      </c>
      <c r="U100" s="9">
        <f t="shared" si="8"/>
        <v>46174</v>
      </c>
      <c r="V100" t="str">
        <f ca="1">IF(OR([1]Planilha1!$B100="",[1]Planilha1!$B100="NÃO MAPEADO"),"",TRIM([1]Planilha1!$B100))</f>
        <v>LITORAL</v>
      </c>
      <c r="W100" t="str">
        <f ca="1">IF([1]Planilha1!$C100="","",TRIM([1]Planilha1!$C100))</f>
        <v>PADRÃO</v>
      </c>
      <c r="X100" t="str">
        <f ca="1">IFERROR(VLOOKUP($C100,[1]Planilha2!$B:$H,7,FALSE),"")</f>
        <v>12280-001</v>
      </c>
    </row>
    <row r="101" spans="1:24" x14ac:dyDescent="0.35">
      <c r="A101" t="str">
        <f ca="1">IF(LEFT(TEXT([1]Planilha1!$L101,"0000000"),1)="5","MS","SP")</f>
        <v>SP</v>
      </c>
      <c r="B101" t="str">
        <f ca="1">IF(RIGHT([1]Planilha1!$A101,5)=" - MS",LEFT([1]Planilha1!$A101,LEN([1]Planilha1!$A101)-5),TRIM([1]Planilha1!$A101))</f>
        <v>CACAPAVA</v>
      </c>
      <c r="C101" s="2">
        <f ca="1">[1]Planilha1!$L101</f>
        <v>3508504</v>
      </c>
      <c r="D101" t="str">
        <f>TRIM([1]Planilha1!$D101)</f>
        <v>Vero</v>
      </c>
      <c r="E101" t="str">
        <f>IF(TRIM([1]Planilha1!$D101)="Claro","Claro","Concorrente")</f>
        <v>Concorrente</v>
      </c>
      <c r="F101" t="s">
        <v>30</v>
      </c>
      <c r="G101" t="str">
        <f t="shared" ca="1" si="0"/>
        <v>Banda Larga + Movel</v>
      </c>
      <c r="H101" t="str">
        <f ca="1">TRIM([1]Planilha1!$E101)</f>
        <v>850M+60GB=R$149,99 (C/ GLOBOPLAY, HBO, DISNEY+)</v>
      </c>
      <c r="I101" t="str">
        <f ca="1">IF([1]Planilha1!$F101="","",TRIM([1]Planilha1!$F101))</f>
        <v>Fibra</v>
      </c>
      <c r="J101" s="3">
        <f ca="1">IF([1]Planilha1!$G101="","",[1]Planilha1!$G101)</f>
        <v>850</v>
      </c>
      <c r="K101" s="4" cm="1">
        <f t="array" aca="1" ref="K101" ca="1">IFERROR(VALUE(_xlfn.REGEXEXTRACT([1]Planilha1!$E101,"\+\s*(\d+)GB",2)),"")</f>
        <v>60</v>
      </c>
      <c r="L101" s="5">
        <f ca="1">IF([1]Planilha1!$H101="","",[1]Planilha1!$H101)</f>
        <v>149.99</v>
      </c>
      <c r="M101" s="5" t="str">
        <f ca="1">IF([1]Planilha1!$I101="","",[1]Planilha1!$I101)</f>
        <v/>
      </c>
      <c r="N101" s="2" t="str" cm="1">
        <f t="array" aca="1" ref="N101" ca="1">IFERROR(VALUE(_xlfn.REGEXEXTRACT([1]Planilha1!$E101,"(\d+)\s*MESES",2)),IFERROR(VALUE(_xlfn.REGEXEXTRACT([1]Planilha1!$E101,"por\s*(\d+)\s*M",2)),IF(_xlfn.REGEXTEST([1]Planilha1!$E101,"1[ºª]"),1,"")))</f>
        <v/>
      </c>
      <c r="O101" s="6">
        <f t="shared" ca="1" si="5"/>
        <v>0.17645882352941178</v>
      </c>
      <c r="P101" t="str">
        <f ca="1">IF([1]Planilha1!$J101="","",TRIM([1]Planilha1!$J101))</f>
        <v>GLOBOPLAY, HBO, DISNEY+</v>
      </c>
      <c r="Q101" s="7">
        <f ca="1">IF($D101="Claro","",IFERROR($L101-VLOOKUP($B101&amp;"|Claro",[1]AUX_CLARO!$A:$C,2,FALSE),""))</f>
        <v>-9.9099999999999966</v>
      </c>
      <c r="R101" s="8">
        <f ca="1">IF($D101="Claro","",IFERROR($J101-VLOOKUP($B101&amp;"|Claro",[1]AUX_CLARO!$A:$C,3,FALSE),""))</f>
        <v>250</v>
      </c>
      <c r="S101" t="str">
        <f t="shared" ca="1" si="6"/>
        <v>Claro mais cara</v>
      </c>
      <c r="T101" t="str">
        <f t="shared" ca="1" si="7"/>
        <v>Claro com menor velocidade</v>
      </c>
      <c r="U101" s="9">
        <f t="shared" si="8"/>
        <v>46174</v>
      </c>
      <c r="V101" t="str">
        <f ca="1">IF(OR([1]Planilha1!$B101="",[1]Planilha1!$B101="NÃO MAPEADO"),"",TRIM([1]Planilha1!$B101))</f>
        <v>LITORAL</v>
      </c>
      <c r="W101" t="str">
        <f ca="1">IF([1]Planilha1!$C101="","",TRIM([1]Planilha1!$C101))</f>
        <v>PADRÃO</v>
      </c>
      <c r="X101" t="str">
        <f ca="1">IFERROR(VLOOKUP($C101,[1]Planilha2!$B:$H,7,FALSE),"")</f>
        <v>12280-001</v>
      </c>
    </row>
    <row r="102" spans="1:24" x14ac:dyDescent="0.35">
      <c r="A102" t="str">
        <f ca="1">IF(LEFT(TEXT([1]Planilha1!$L102,"0000000"),1)="5","MS","SP")</f>
        <v>SP</v>
      </c>
      <c r="B102" t="str">
        <f ca="1">IF(RIGHT([1]Planilha1!$A102,5)=" - MS",LEFT([1]Planilha1!$A102,LEN([1]Planilha1!$A102)-5),TRIM([1]Planilha1!$A102))</f>
        <v>CACHOEIRA PAULISTA</v>
      </c>
      <c r="C102" s="2">
        <f ca="1">[1]Planilha1!$L102</f>
        <v>3508603</v>
      </c>
      <c r="D102" t="str">
        <f>TRIM([1]Planilha1!$D102)</f>
        <v>Claro</v>
      </c>
      <c r="E102" t="str">
        <f>IF(TRIM([1]Planilha1!$D102)="Claro","Claro","Concorrente")</f>
        <v>Claro</v>
      </c>
      <c r="F102" t="s">
        <v>24</v>
      </c>
      <c r="G102" t="str">
        <f t="shared" ca="1" si="0"/>
        <v>Banda Larga + Movel</v>
      </c>
      <c r="H102" t="str">
        <f ca="1">TRIM([1]Planilha1!$E102)</f>
        <v>600M+100GB=R$109,90 por 6M, após R$139,90</v>
      </c>
      <c r="I102" t="str">
        <f ca="1">IF([1]Planilha1!$F102="","",TRIM([1]Planilha1!$F102))</f>
        <v>Fibra</v>
      </c>
      <c r="J102" s="3">
        <f ca="1">IF([1]Planilha1!$G102="","",[1]Planilha1!$G102)</f>
        <v>600</v>
      </c>
      <c r="K102" s="4" cm="1">
        <f t="array" aca="1" ref="K102" ca="1">IFERROR(VALUE(_xlfn.REGEXEXTRACT([1]Planilha1!$E102,"\+\s*(\d+)GB",2)),"")</f>
        <v>100</v>
      </c>
      <c r="L102" s="5">
        <f ca="1">IF([1]Planilha1!$H102="","",[1]Planilha1!$H102)</f>
        <v>139.9</v>
      </c>
      <c r="M102" s="5">
        <f ca="1">IF([1]Planilha1!$I102="","",[1]Planilha1!$I102)</f>
        <v>109.9</v>
      </c>
      <c r="N102" s="2" cm="1">
        <f t="array" aca="1" ref="N102" ca="1">IFERROR(VALUE(_xlfn.REGEXEXTRACT([1]Planilha1!$E102,"(\d+)\s*MESES",2)),IFERROR(VALUE(_xlfn.REGEXEXTRACT([1]Planilha1!$E102,"por\s*(\d+)\s*M",2)),IF(_xlfn.REGEXTEST([1]Planilha1!$E102,"1[ºª]"),1,"")))</f>
        <v>6</v>
      </c>
      <c r="O102" s="6">
        <f t="shared" ca="1" si="5"/>
        <v>0.23316666666666669</v>
      </c>
      <c r="P102" t="str">
        <f ca="1">IF([1]Planilha1!$J102="","",TRIM([1]Planilha1!$J102))</f>
        <v>GLOBOPLAY</v>
      </c>
      <c r="Q102" s="7" t="str">
        <f>IF($D102="Claro","",IFERROR($L102-VLOOKUP($B102&amp;"|Claro",[1]AUX_CLARO!$A:$C,2,FALSE),""))</f>
        <v/>
      </c>
      <c r="R102" s="8" t="str">
        <f>IF($D102="Claro","",IFERROR($J102-VLOOKUP($B102&amp;"|Claro",[1]AUX_CLARO!$A:$C,3,FALSE),""))</f>
        <v/>
      </c>
      <c r="S102" t="str">
        <f t="shared" si="6"/>
        <v/>
      </c>
      <c r="T102" t="str">
        <f t="shared" si="7"/>
        <v/>
      </c>
      <c r="U102" s="9">
        <f t="shared" si="8"/>
        <v>46174</v>
      </c>
      <c r="V102" t="str">
        <f ca="1">IF(OR([1]Planilha1!$B102="",[1]Planilha1!$B102="NÃO MAPEADO"),"",TRIM([1]Planilha1!$B102))</f>
        <v>SUDESTE</v>
      </c>
      <c r="W102" t="str">
        <f ca="1">IF([1]Planilha1!$C102="","",TRIM([1]Planilha1!$C102))</f>
        <v>MD 2</v>
      </c>
      <c r="X102" s="12" t="str">
        <f ca="1">IFERROR(VLOOKUP($C102,[1]Planilha2!$B:$H,7,FALSE),"")</f>
        <v>12630-001</v>
      </c>
    </row>
    <row r="103" spans="1:24" x14ac:dyDescent="0.35">
      <c r="A103" t="str">
        <f ca="1">IF(LEFT(TEXT([1]Planilha1!$L103,"0000000"),1)="5","MS","SP")</f>
        <v>SP</v>
      </c>
      <c r="B103" t="str">
        <f ca="1">IF(RIGHT([1]Planilha1!$A103,5)=" - MS",LEFT([1]Planilha1!$A103,LEN([1]Planilha1!$A103)-5),TRIM([1]Planilha1!$A103))</f>
        <v>CACHOEIRA PAULISTA</v>
      </c>
      <c r="C103" s="2">
        <f ca="1">[1]Planilha1!$L103</f>
        <v>3508603</v>
      </c>
      <c r="D103" t="str">
        <f>TRIM([1]Planilha1!$D103)</f>
        <v>Vero</v>
      </c>
      <c r="E103" t="str">
        <f>IF(TRIM([1]Planilha1!$D103)="Claro","Claro","Concorrente")</f>
        <v>Concorrente</v>
      </c>
      <c r="F103" t="s">
        <v>30</v>
      </c>
      <c r="G103" t="str">
        <f t="shared" ca="1" si="0"/>
        <v>Banda Larga + Movel</v>
      </c>
      <c r="H103" t="str">
        <f ca="1">TRIM([1]Planilha1!$E103)</f>
        <v>850M+60GB=R$149,99 (C/ GLOBOPLAY, HBO, DISNEY+)</v>
      </c>
      <c r="I103" t="str">
        <f ca="1">IF([1]Planilha1!$F103="","",TRIM([1]Planilha1!$F103))</f>
        <v>Fibra</v>
      </c>
      <c r="J103" s="3">
        <f ca="1">IF([1]Planilha1!$G103="","",[1]Planilha1!$G103)</f>
        <v>850</v>
      </c>
      <c r="K103" s="4" cm="1">
        <f t="array" aca="1" ref="K103" ca="1">IFERROR(VALUE(_xlfn.REGEXEXTRACT([1]Planilha1!$E103,"\+\s*(\d+)GB",2)),"")</f>
        <v>60</v>
      </c>
      <c r="L103" s="5">
        <f ca="1">IF([1]Planilha1!$H103="","",[1]Planilha1!$H103)</f>
        <v>149.99</v>
      </c>
      <c r="M103" s="5" t="str">
        <f ca="1">IF([1]Planilha1!$I103="","",[1]Planilha1!$I103)</f>
        <v/>
      </c>
      <c r="N103" s="2" t="str" cm="1">
        <f t="array" aca="1" ref="N103" ca="1">IFERROR(VALUE(_xlfn.REGEXEXTRACT([1]Planilha1!$E103,"(\d+)\s*MESES",2)),IFERROR(VALUE(_xlfn.REGEXEXTRACT([1]Planilha1!$E103,"por\s*(\d+)\s*M",2)),IF(_xlfn.REGEXTEST([1]Planilha1!$E103,"1[ºª]"),1,"")))</f>
        <v/>
      </c>
      <c r="O103" s="6">
        <f t="shared" ca="1" si="5"/>
        <v>0.17645882352941178</v>
      </c>
      <c r="P103" t="str">
        <f ca="1">IF([1]Planilha1!$J103="","",TRIM([1]Planilha1!$J103))</f>
        <v>GLOBOPLAY, HBO, DISNEY+</v>
      </c>
      <c r="Q103" s="7">
        <f ca="1">IF($D103="Claro","",IFERROR($L103-VLOOKUP($B103&amp;"|Claro",[1]AUX_CLARO!$A:$C,2,FALSE),""))</f>
        <v>10.090000000000003</v>
      </c>
      <c r="R103" s="8">
        <f ca="1">IF($D103="Claro","",IFERROR($J103-VLOOKUP($B103&amp;"|Claro",[1]AUX_CLARO!$A:$C,3,FALSE),""))</f>
        <v>250</v>
      </c>
      <c r="S103" t="str">
        <f t="shared" ca="1" si="6"/>
        <v>Claro mais barata</v>
      </c>
      <c r="T103" t="str">
        <f t="shared" ca="1" si="7"/>
        <v>Claro com menor velocidade</v>
      </c>
      <c r="U103" s="9">
        <f t="shared" si="8"/>
        <v>46174</v>
      </c>
      <c r="V103" t="str">
        <f ca="1">IF(OR([1]Planilha1!$B103="",[1]Planilha1!$B103="NÃO MAPEADO"),"",TRIM([1]Planilha1!$B103))</f>
        <v>SUDESTE</v>
      </c>
      <c r="W103" t="str">
        <f ca="1">IF([1]Planilha1!$C103="","",TRIM([1]Planilha1!$C103))</f>
        <v>MD 2</v>
      </c>
      <c r="X103" s="12" t="str">
        <f ca="1">IFERROR(VLOOKUP($C103,[1]Planilha2!$B:$H,7,FALSE),"")</f>
        <v>12630-001</v>
      </c>
    </row>
    <row r="104" spans="1:24" x14ac:dyDescent="0.35">
      <c r="A104" t="str">
        <f ca="1">IF(LEFT(TEXT([1]Planilha1!$L104,"0000000"),1)="5","MS","SP")</f>
        <v>SP</v>
      </c>
      <c r="B104" t="str">
        <f ca="1">IF(RIGHT([1]Planilha1!$A104,5)=" - MS",LEFT([1]Planilha1!$A104,LEN([1]Planilha1!$A104)-5),TRIM([1]Planilha1!$A104))</f>
        <v>CACHOEIRA PAULISTA</v>
      </c>
      <c r="C104" s="2">
        <f ca="1">[1]Planilha1!$L104</f>
        <v>3508603</v>
      </c>
      <c r="D104" t="str">
        <f>TRIM([1]Planilha1!$D104)</f>
        <v>Weclix</v>
      </c>
      <c r="E104" t="str">
        <f>IF(TRIM([1]Planilha1!$D104)="Claro","Claro","Concorrente")</f>
        <v>Concorrente</v>
      </c>
      <c r="F104" t="s">
        <v>34</v>
      </c>
      <c r="G104" t="str">
        <f t="shared" ca="1" si="0"/>
        <v>Banda Larga + Conteudo</v>
      </c>
      <c r="H104" t="str">
        <f ca="1">TRIM([1]Planilha1!$E104)</f>
        <v>1GB R$59,90 - 1ª MENSALIDADE, APÓS R$99,90</v>
      </c>
      <c r="I104" t="str">
        <f ca="1">IF([1]Planilha1!$F104="","",TRIM([1]Planilha1!$F104))</f>
        <v>Fibra</v>
      </c>
      <c r="J104" s="3">
        <f ca="1">IF([1]Planilha1!$G104="","",[1]Planilha1!$G104)</f>
        <v>1000</v>
      </c>
      <c r="K104" s="4" t="str" cm="1">
        <f t="array" aca="1" ref="K104" ca="1">IFERROR(VALUE(_xlfn.REGEXEXTRACT([1]Planilha1!$E104,"\+\s*(\d+)GB",2)),"")</f>
        <v/>
      </c>
      <c r="L104" s="5">
        <f ca="1">IF([1]Planilha1!$H104="","",[1]Planilha1!$H104)</f>
        <v>99.9</v>
      </c>
      <c r="M104" s="5">
        <f ca="1">IF([1]Planilha1!$I104="","",[1]Planilha1!$I104)</f>
        <v>59.9</v>
      </c>
      <c r="N104" s="2" cm="1">
        <f t="array" aca="1" ref="N104" ca="1">IFERROR(VALUE(_xlfn.REGEXEXTRACT([1]Planilha1!$E104,"(\d+)\s*MESES",2)),IFERROR(VALUE(_xlfn.REGEXEXTRACT([1]Planilha1!$E104,"por\s*(\d+)\s*M",2)),IF(_xlfn.REGEXTEST([1]Planilha1!$E104,"1[ºª]"),1,"")))</f>
        <v>1</v>
      </c>
      <c r="O104" s="6">
        <f t="shared" ca="1" si="5"/>
        <v>9.9900000000000003E-2</v>
      </c>
      <c r="P104" t="str">
        <f ca="1">IF([1]Planilha1!$J104="","",TRIM([1]Planilha1!$J104))</f>
        <v>0</v>
      </c>
      <c r="Q104" s="7">
        <f ca="1">IF($D104="Claro","",IFERROR($L104-VLOOKUP($B104&amp;"|Claro",[1]AUX_CLARO!$A:$C,2,FALSE),""))</f>
        <v>-40</v>
      </c>
      <c r="R104" s="8">
        <f ca="1">IF($D104="Claro","",IFERROR($J104-VLOOKUP($B104&amp;"|Claro",[1]AUX_CLARO!$A:$C,3,FALSE),""))</f>
        <v>400</v>
      </c>
      <c r="S104" t="str">
        <f t="shared" ca="1" si="6"/>
        <v>Claro mais cara</v>
      </c>
      <c r="T104" t="str">
        <f t="shared" ca="1" si="7"/>
        <v>Claro com menor velocidade</v>
      </c>
      <c r="U104" s="9">
        <f t="shared" si="8"/>
        <v>46174</v>
      </c>
      <c r="V104" t="str">
        <f ca="1">IF(OR([1]Planilha1!$B104="",[1]Planilha1!$B104="NÃO MAPEADO"),"",TRIM([1]Planilha1!$B104))</f>
        <v>SUDESTE</v>
      </c>
      <c r="W104" t="str">
        <f ca="1">IF([1]Planilha1!$C104="","",TRIM([1]Planilha1!$C104))</f>
        <v>MD 2</v>
      </c>
      <c r="X104" s="12" t="str">
        <f ca="1">IFERROR(VLOOKUP($C104,[1]Planilha2!$B:$H,7,FALSE),"")</f>
        <v>12630-001</v>
      </c>
    </row>
    <row r="105" spans="1:24" x14ac:dyDescent="0.35">
      <c r="A105" t="str">
        <f ca="1">IF(LEFT(TEXT([1]Planilha1!$L105,"0000000"),1)="5","MS","SP")</f>
        <v>SP</v>
      </c>
      <c r="B105" t="str">
        <f ca="1">IF(RIGHT([1]Planilha1!$A105,5)=" - MS",LEFT([1]Planilha1!$A105,LEN([1]Planilha1!$A105)-5),TRIM([1]Planilha1!$A105))</f>
        <v>CAMPINAS</v>
      </c>
      <c r="C105" s="2">
        <f ca="1">[1]Planilha1!$L105</f>
        <v>3509502</v>
      </c>
      <c r="D105" t="str">
        <f>TRIM([1]Planilha1!$D105)</f>
        <v>Claro</v>
      </c>
      <c r="E105" t="str">
        <f>IF(TRIM([1]Planilha1!$D105)="Claro","Claro","Concorrente")</f>
        <v>Claro</v>
      </c>
      <c r="F105" t="s">
        <v>24</v>
      </c>
      <c r="G105" t="str">
        <f t="shared" ca="1" si="0"/>
        <v>Banda Larga + Movel</v>
      </c>
      <c r="H105" t="str">
        <f ca="1">TRIM([1]Planilha1!$E105)</f>
        <v>600M+100GB=R$159,90</v>
      </c>
      <c r="I105" t="str">
        <f ca="1">IF([1]Planilha1!$F105="","",TRIM([1]Planilha1!$F105))</f>
        <v>Fibra</v>
      </c>
      <c r="J105" s="3">
        <f ca="1">IF([1]Planilha1!$G105="","",[1]Planilha1!$G105)</f>
        <v>600</v>
      </c>
      <c r="K105" s="4" cm="1">
        <f t="array" aca="1" ref="K105" ca="1">IFERROR(VALUE(_xlfn.REGEXEXTRACT([1]Planilha1!$E105,"\+\s*(\d+)GB",2)),"")</f>
        <v>100</v>
      </c>
      <c r="L105" s="5">
        <f ca="1">IF([1]Planilha1!$H105="","",[1]Planilha1!$H105)</f>
        <v>159.9</v>
      </c>
      <c r="M105" s="5" t="str">
        <f ca="1">IF([1]Planilha1!$I105="","",[1]Planilha1!$I105)</f>
        <v/>
      </c>
      <c r="N105" s="2" t="str" cm="1">
        <f t="array" aca="1" ref="N105" ca="1">IFERROR(VALUE(_xlfn.REGEXEXTRACT([1]Planilha1!$E105,"(\d+)\s*MESES",2)),IFERROR(VALUE(_xlfn.REGEXEXTRACT([1]Planilha1!$E105,"por\s*(\d+)\s*M",2)),IF(_xlfn.REGEXTEST([1]Planilha1!$E105,"1[ºª]"),1,"")))</f>
        <v/>
      </c>
      <c r="O105" s="6">
        <f t="shared" ca="1" si="5"/>
        <v>0.26650000000000001</v>
      </c>
      <c r="P105" t="str">
        <f ca="1">IF([1]Planilha1!$J105="","",TRIM([1]Planilha1!$J105))</f>
        <v>GLOBOPLAY</v>
      </c>
      <c r="Q105" s="7" t="str">
        <f>IF($D105="Claro","",IFERROR($L105-VLOOKUP($B105&amp;"|Claro",[1]AUX_CLARO!$A:$C,2,FALSE),""))</f>
        <v/>
      </c>
      <c r="R105" s="8" t="str">
        <f>IF($D105="Claro","",IFERROR($J105-VLOOKUP($B105&amp;"|Claro",[1]AUX_CLARO!$A:$C,3,FALSE),""))</f>
        <v/>
      </c>
      <c r="S105" t="str">
        <f t="shared" si="6"/>
        <v/>
      </c>
      <c r="T105" t="str">
        <f t="shared" si="7"/>
        <v/>
      </c>
      <c r="U105" s="9">
        <f t="shared" si="8"/>
        <v>46174</v>
      </c>
      <c r="V105" t="str">
        <f ca="1">IF(OR([1]Planilha1!$B105="",[1]Planilha1!$B105="NÃO MAPEADO"),"",TRIM([1]Planilha1!$B105))</f>
        <v>CENTRAL</v>
      </c>
      <c r="W105" t="str">
        <f ca="1">IF([1]Planilha1!$C105="","",TRIM([1]Planilha1!$C105))</f>
        <v>PADRÃO</v>
      </c>
      <c r="X105" t="str">
        <f ca="1">IFERROR(VLOOKUP($C105,[1]Planilha2!$B:$H,7,FALSE),"")</f>
        <v>13000-001</v>
      </c>
    </row>
    <row r="106" spans="1:24" x14ac:dyDescent="0.35">
      <c r="A106" t="str">
        <f ca="1">IF(LEFT(TEXT([1]Planilha1!$L106,"0000000"),1)="5","MS","SP")</f>
        <v>SP</v>
      </c>
      <c r="B106" t="str">
        <f ca="1">IF(RIGHT([1]Planilha1!$A106,5)=" - MS",LEFT([1]Planilha1!$A106,LEN([1]Planilha1!$A106)-5),TRIM([1]Planilha1!$A106))</f>
        <v>CAMPINAS</v>
      </c>
      <c r="C106" s="2">
        <f ca="1">[1]Planilha1!$L106</f>
        <v>3509502</v>
      </c>
      <c r="D106" t="str">
        <f>TRIM([1]Planilha1!$D106)</f>
        <v>Vivo</v>
      </c>
      <c r="E106" t="str">
        <f>IF(TRIM([1]Planilha1!$D106)="Claro","Claro","Concorrente")</f>
        <v>Concorrente</v>
      </c>
      <c r="F106" t="s">
        <v>25</v>
      </c>
      <c r="G106" t="str">
        <f t="shared" ca="1" si="0"/>
        <v>Banda Larga + Movel</v>
      </c>
      <c r="H106" t="s">
        <v>26</v>
      </c>
      <c r="I106" t="str">
        <f ca="1">IF([1]Planilha1!$F106="","",TRIM([1]Planilha1!$F106))</f>
        <v>Fibra</v>
      </c>
      <c r="J106" s="11" t="s">
        <v>27</v>
      </c>
      <c r="K106" s="4" cm="1">
        <f t="array" aca="1" ref="K106" ca="1">IFERROR(VALUE(_xlfn.REGEXEXTRACT([1]Planilha1!$E106,"\+\s*(\d+)GB",2)),"")</f>
        <v>70</v>
      </c>
      <c r="L106" s="5">
        <v>160</v>
      </c>
      <c r="M106" s="5" t="str">
        <f ca="1">IF([1]Planilha1!$I106="","",[1]Planilha1!$I106)</f>
        <v/>
      </c>
      <c r="N106" s="2" t="str" cm="1">
        <f t="array" aca="1" ref="N106" ca="1">IFERROR(VALUE(_xlfn.REGEXEXTRACT([1]Planilha1!$E106,"(\d+)\s*MESES",2)),IFERROR(VALUE(_xlfn.REGEXEXTRACT([1]Planilha1!$E106,"por\s*(\d+)\s*M",2)),IF(_xlfn.REGEXTEST([1]Planilha1!$E106,"1[ºª]"),1,"")))</f>
        <v/>
      </c>
      <c r="O106" s="6" t="str">
        <f t="shared" si="5"/>
        <v/>
      </c>
      <c r="P106" t="str">
        <f ca="1">IF([1]Planilha1!$J106="","",TRIM([1]Planilha1!$J106))</f>
        <v>0</v>
      </c>
      <c r="Q106" s="7">
        <f ca="1">IF($D106="Claro","",IFERROR($L106-VLOOKUP($B106&amp;"|Claro",[1]AUX_CLARO!$A:$C,2,FALSE),""))</f>
        <v>9.9999999999994316E-2</v>
      </c>
      <c r="R106" s="8" t="str">
        <f ca="1">IF($D106="Claro","",IFERROR($J106-VLOOKUP($B106&amp;"|Claro",[1]AUX_CLARO!$A:$C,3,FALSE),""))</f>
        <v/>
      </c>
      <c r="S106" t="str">
        <f t="shared" ca="1" si="6"/>
        <v>Claro mais barata</v>
      </c>
      <c r="T106" t="str">
        <f t="shared" ca="1" si="7"/>
        <v/>
      </c>
      <c r="U106" s="9">
        <f t="shared" si="8"/>
        <v>46174</v>
      </c>
      <c r="V106" t="str">
        <f ca="1">IF(OR([1]Planilha1!$B106="",[1]Planilha1!$B106="NÃO MAPEADO"),"",TRIM([1]Planilha1!$B106))</f>
        <v>CENTRAL</v>
      </c>
      <c r="W106" t="str">
        <f ca="1">IF([1]Planilha1!$C106="","",TRIM([1]Planilha1!$C106))</f>
        <v>PADRÃO</v>
      </c>
      <c r="X106" t="str">
        <f ca="1">IFERROR(VLOOKUP($C106,[1]Planilha2!$B:$H,7,FALSE),"")</f>
        <v>13000-001</v>
      </c>
    </row>
    <row r="107" spans="1:24" x14ac:dyDescent="0.35">
      <c r="A107" t="str">
        <f ca="1">IF(LEFT(TEXT([1]Planilha1!$L107,"0000000"),1)="5","MS","SP")</f>
        <v>SP</v>
      </c>
      <c r="B107" t="str">
        <f ca="1">IF(RIGHT([1]Planilha1!$A107,5)=" - MS",LEFT([1]Planilha1!$A107,LEN([1]Planilha1!$A107)-5),TRIM([1]Planilha1!$A107))</f>
        <v>CAMPINAS</v>
      </c>
      <c r="C107" s="2">
        <f ca="1">[1]Planilha1!$L107</f>
        <v>3509502</v>
      </c>
      <c r="D107" t="str">
        <f>TRIM([1]Planilha1!$D107)</f>
        <v>Desktop</v>
      </c>
      <c r="E107" t="str">
        <f>IF(TRIM([1]Planilha1!$D107)="Claro","Claro","Concorrente")</f>
        <v>Concorrente</v>
      </c>
      <c r="F107" t="s">
        <v>29</v>
      </c>
      <c r="G107" t="str">
        <f t="shared" ca="1" si="0"/>
        <v>Banda Larga + Movel</v>
      </c>
      <c r="H107" t="str">
        <f ca="1">TRIM([1]Planilha1!$E107)</f>
        <v>600M+15GB=R$129,99 - 6 MESES, APÓS R$139,99</v>
      </c>
      <c r="I107" t="str">
        <f ca="1">IF([1]Planilha1!$F107="","",TRIM([1]Planilha1!$F107))</f>
        <v>Fibra</v>
      </c>
      <c r="J107" s="3">
        <f ca="1">IF([1]Planilha1!$G107="","",[1]Planilha1!$G107)</f>
        <v>600</v>
      </c>
      <c r="K107" s="4" cm="1">
        <f t="array" aca="1" ref="K107" ca="1">IFERROR(VALUE(_xlfn.REGEXEXTRACT([1]Planilha1!$E107,"\+\s*(\d+)GB",2)),"")</f>
        <v>15</v>
      </c>
      <c r="L107" s="5">
        <f ca="1">IF([1]Planilha1!$H107="","",[1]Planilha1!$H107)</f>
        <v>139.99</v>
      </c>
      <c r="M107" s="5">
        <f ca="1">IF([1]Planilha1!$I107="","",[1]Planilha1!$I107)</f>
        <v>129.99</v>
      </c>
      <c r="N107" s="2" cm="1">
        <f t="array" aca="1" ref="N107" ca="1">IFERROR(VALUE(_xlfn.REGEXEXTRACT([1]Planilha1!$E107,"(\d+)\s*MESES",2)),IFERROR(VALUE(_xlfn.REGEXEXTRACT([1]Planilha1!$E107,"por\s*(\d+)\s*M",2)),IF(_xlfn.REGEXTEST([1]Planilha1!$E107,"1[ºª]"),1,"")))</f>
        <v>6</v>
      </c>
      <c r="O107" s="6">
        <f t="shared" ca="1" si="5"/>
        <v>0.23331666666666667</v>
      </c>
      <c r="P107" t="str">
        <f ca="1">IF([1]Planilha1!$J107="","",TRIM([1]Planilha1!$J107))</f>
        <v>0</v>
      </c>
      <c r="Q107" s="7">
        <f ca="1">IF($D107="Claro","",IFERROR($L107-VLOOKUP($B107&amp;"|Claro",[1]AUX_CLARO!$A:$C,2,FALSE),""))</f>
        <v>-19.909999999999997</v>
      </c>
      <c r="R107" s="8">
        <f ca="1">IF($D107="Claro","",IFERROR($J107-VLOOKUP($B107&amp;"|Claro",[1]AUX_CLARO!$A:$C,3,FALSE),""))</f>
        <v>0</v>
      </c>
      <c r="S107" t="str">
        <f t="shared" ca="1" si="6"/>
        <v>Claro mais cara</v>
      </c>
      <c r="T107" t="str">
        <f t="shared" ca="1" si="7"/>
        <v>Mesma velocidade</v>
      </c>
      <c r="U107" s="9">
        <f t="shared" si="8"/>
        <v>46174</v>
      </c>
      <c r="V107" t="str">
        <f ca="1">IF(OR([1]Planilha1!$B107="",[1]Planilha1!$B107="NÃO MAPEADO"),"",TRIM([1]Planilha1!$B107))</f>
        <v>CENTRAL</v>
      </c>
      <c r="W107" t="str">
        <f ca="1">IF([1]Planilha1!$C107="","",TRIM([1]Planilha1!$C107))</f>
        <v>PADRÃO</v>
      </c>
      <c r="X107" t="str">
        <f ca="1">IFERROR(VLOOKUP($C107,[1]Planilha2!$B:$H,7,FALSE),"")</f>
        <v>13000-001</v>
      </c>
    </row>
    <row r="108" spans="1:24" x14ac:dyDescent="0.35">
      <c r="A108" t="str">
        <f ca="1">IF(LEFT(TEXT([1]Planilha1!$L108,"0000000"),1)="5","MS","SP")</f>
        <v>SP</v>
      </c>
      <c r="B108" t="str">
        <f ca="1">IF(RIGHT([1]Planilha1!$A108,5)=" - MS",LEFT([1]Planilha1!$A108,LEN([1]Planilha1!$A108)-5),TRIM([1]Planilha1!$A108))</f>
        <v>CAMPINAS</v>
      </c>
      <c r="C108" s="2">
        <f ca="1">[1]Planilha1!$L108</f>
        <v>3509502</v>
      </c>
      <c r="D108" t="str">
        <f>TRIM([1]Planilha1!$D108)</f>
        <v>ISP LOCAL</v>
      </c>
      <c r="E108" t="str">
        <f>IF(TRIM([1]Planilha1!$D108)="Claro","Claro","Concorrente")</f>
        <v>Concorrente</v>
      </c>
      <c r="F108" t="s">
        <v>50</v>
      </c>
      <c r="G108" t="str">
        <f t="shared" ca="1" si="0"/>
        <v>Banda Larga + Conteudo</v>
      </c>
      <c r="H108" t="str">
        <f ca="1">TRIM([1]Planilha1!$E108)</f>
        <v>G2G - 600M R$99,90</v>
      </c>
      <c r="I108" t="str">
        <f ca="1">IF([1]Planilha1!$F108="","",TRIM([1]Planilha1!$F108))</f>
        <v>Fibra</v>
      </c>
      <c r="J108" s="11" t="s">
        <v>27</v>
      </c>
      <c r="K108" s="4" t="str" cm="1">
        <f t="array" aca="1" ref="K108" ca="1">IFERROR(VALUE(_xlfn.REGEXEXTRACT([1]Planilha1!$E108,"\+\s*(\d+)GB",2)),"")</f>
        <v/>
      </c>
      <c r="L108" s="5">
        <f ca="1">IF([1]Planilha1!$H108="","",[1]Planilha1!$H108)</f>
        <v>99.9</v>
      </c>
      <c r="M108" s="5" t="str">
        <f ca="1">IF([1]Planilha1!$I108="","",[1]Planilha1!$I108)</f>
        <v/>
      </c>
      <c r="N108" s="2" t="str" cm="1">
        <f t="array" aca="1" ref="N108" ca="1">IFERROR(VALUE(_xlfn.REGEXEXTRACT([1]Planilha1!$E108,"(\d+)\s*MESES",2)),IFERROR(VALUE(_xlfn.REGEXEXTRACT([1]Planilha1!$E108,"por\s*(\d+)\s*M",2)),IF(_xlfn.REGEXTEST([1]Planilha1!$E108,"1[ºª]"),1,"")))</f>
        <v/>
      </c>
      <c r="O108" s="6" t="str">
        <f t="shared" ca="1" si="5"/>
        <v/>
      </c>
      <c r="P108" t="str">
        <f ca="1">IF([1]Planilha1!$J108="","",TRIM([1]Planilha1!$J108))</f>
        <v>0</v>
      </c>
      <c r="Q108" s="7">
        <f ca="1">IF($D108="Claro","",IFERROR($L108-VLOOKUP($B108&amp;"|Claro",[1]AUX_CLARO!$A:$C,2,FALSE),""))</f>
        <v>-60</v>
      </c>
      <c r="R108" s="8" t="str">
        <f ca="1">IF($D108="Claro","",IFERROR($J108-VLOOKUP($B108&amp;"|Claro",[1]AUX_CLARO!$A:$C,3,FALSE),""))</f>
        <v/>
      </c>
      <c r="S108" t="str">
        <f t="shared" ca="1" si="6"/>
        <v>Claro mais cara</v>
      </c>
      <c r="T108" t="str">
        <f t="shared" ca="1" si="7"/>
        <v/>
      </c>
      <c r="U108" s="9">
        <f t="shared" si="8"/>
        <v>46174</v>
      </c>
      <c r="V108" t="str">
        <f ca="1">IF(OR([1]Planilha1!$B108="",[1]Planilha1!$B108="NÃO MAPEADO"),"",TRIM([1]Planilha1!$B108))</f>
        <v>CENTRAL</v>
      </c>
      <c r="W108" t="str">
        <f ca="1">IF([1]Planilha1!$C108="","",TRIM([1]Planilha1!$C108))</f>
        <v>PADRÃO</v>
      </c>
      <c r="X108" t="str">
        <f ca="1">IFERROR(VLOOKUP($C108,[1]Planilha2!$B:$H,7,FALSE),"")</f>
        <v>13000-001</v>
      </c>
    </row>
    <row r="109" spans="1:24" x14ac:dyDescent="0.35">
      <c r="A109" t="str">
        <f ca="1">IF(LEFT(TEXT([1]Planilha1!$L109,"0000000"),1)="5","MS","SP")</f>
        <v>SP</v>
      </c>
      <c r="B109" t="str">
        <f ca="1">IF(RIGHT([1]Planilha1!$A109,5)=" - MS",LEFT([1]Planilha1!$A109,LEN([1]Planilha1!$A109)-5),TRIM([1]Planilha1!$A109))</f>
        <v>CAMPOS DO JORDAO</v>
      </c>
      <c r="C109" s="2">
        <f ca="1">[1]Planilha1!$L109</f>
        <v>3509700</v>
      </c>
      <c r="D109" t="str">
        <f>TRIM([1]Planilha1!$D109)</f>
        <v>Claro</v>
      </c>
      <c r="E109" t="str">
        <f>IF(TRIM([1]Planilha1!$D109)="Claro","Claro","Concorrente")</f>
        <v>Claro</v>
      </c>
      <c r="F109" t="s">
        <v>24</v>
      </c>
      <c r="G109" t="str">
        <f t="shared" ca="1" si="0"/>
        <v>Banda Larga + Movel</v>
      </c>
      <c r="H109" t="str">
        <f ca="1">TRIM([1]Planilha1!$E109)</f>
        <v>600M+100GB=R$109,90 por 6M, após R$139,90</v>
      </c>
      <c r="I109" t="str">
        <f ca="1">IF([1]Planilha1!$F109="","",TRIM([1]Planilha1!$F109))</f>
        <v>Fibra</v>
      </c>
      <c r="J109" s="3">
        <f ca="1">IF([1]Planilha1!$G109="","",[1]Planilha1!$G109)</f>
        <v>600</v>
      </c>
      <c r="K109" s="4" cm="1">
        <f t="array" aca="1" ref="K109" ca="1">IFERROR(VALUE(_xlfn.REGEXEXTRACT([1]Planilha1!$E109,"\+\s*(\d+)GB",2)),"")</f>
        <v>100</v>
      </c>
      <c r="L109" s="5">
        <f ca="1">IF([1]Planilha1!$H109="","",[1]Planilha1!$H109)</f>
        <v>139.9</v>
      </c>
      <c r="M109" s="5">
        <f ca="1">IF([1]Planilha1!$I109="","",[1]Planilha1!$I109)</f>
        <v>109.9</v>
      </c>
      <c r="N109" s="2" cm="1">
        <f t="array" aca="1" ref="N109" ca="1">IFERROR(VALUE(_xlfn.REGEXEXTRACT([1]Planilha1!$E109,"(\d+)\s*MESES",2)),IFERROR(VALUE(_xlfn.REGEXEXTRACT([1]Planilha1!$E109,"por\s*(\d+)\s*M",2)),IF(_xlfn.REGEXTEST([1]Planilha1!$E109,"1[ºª]"),1,"")))</f>
        <v>6</v>
      </c>
      <c r="O109" s="6">
        <f t="shared" ca="1" si="5"/>
        <v>0.23316666666666669</v>
      </c>
      <c r="P109" t="str">
        <f ca="1">IF([1]Planilha1!$J109="","",TRIM([1]Planilha1!$J109))</f>
        <v>GLOBOPLAY</v>
      </c>
      <c r="Q109" s="7" t="str">
        <f>IF($D109="Claro","",IFERROR($L109-VLOOKUP($B109&amp;"|Claro",[1]AUX_CLARO!$A:$C,2,FALSE),""))</f>
        <v/>
      </c>
      <c r="R109" s="8" t="str">
        <f>IF($D109="Claro","",IFERROR($J109-VLOOKUP($B109&amp;"|Claro",[1]AUX_CLARO!$A:$C,3,FALSE),""))</f>
        <v/>
      </c>
      <c r="S109" t="str">
        <f t="shared" si="6"/>
        <v/>
      </c>
      <c r="T109" t="str">
        <f t="shared" si="7"/>
        <v/>
      </c>
      <c r="U109" s="9">
        <f t="shared" si="8"/>
        <v>46174</v>
      </c>
      <c r="V109" t="str">
        <f ca="1">IF(OR([1]Planilha1!$B109="",[1]Planilha1!$B109="NÃO MAPEADO"),"",TRIM([1]Planilha1!$B109))</f>
        <v>SUDESTE</v>
      </c>
      <c r="W109" t="str">
        <f ca="1">IF([1]Planilha1!$C109="","",TRIM([1]Planilha1!$C109))</f>
        <v>MD 2</v>
      </c>
      <c r="X109" s="12" t="str">
        <f ca="1">IFERROR(VLOOKUP($C109,[1]Planilha2!$B:$H,7,FALSE),"")</f>
        <v>12460-001</v>
      </c>
    </row>
    <row r="110" spans="1:24" x14ac:dyDescent="0.35">
      <c r="A110" t="str">
        <f ca="1">IF(LEFT(TEXT([1]Planilha1!$L110,"0000000"),1)="5","MS","SP")</f>
        <v>SP</v>
      </c>
      <c r="B110" t="str">
        <f ca="1">IF(RIGHT([1]Planilha1!$A110,5)=" - MS",LEFT([1]Planilha1!$A110,LEN([1]Planilha1!$A110)-5),TRIM([1]Planilha1!$A110))</f>
        <v>CAMPOS DO JORDAO</v>
      </c>
      <c r="C110" s="2">
        <f ca="1">[1]Planilha1!$L110</f>
        <v>3509700</v>
      </c>
      <c r="D110" t="str">
        <f>TRIM([1]Planilha1!$D110)</f>
        <v>Vivo</v>
      </c>
      <c r="E110" t="str">
        <f>IF(TRIM([1]Planilha1!$D110)="Claro","Claro","Concorrente")</f>
        <v>Concorrente</v>
      </c>
      <c r="F110" t="s">
        <v>25</v>
      </c>
      <c r="G110" t="str">
        <f t="shared" ca="1" si="0"/>
        <v>Banda Larga + Movel</v>
      </c>
      <c r="H110" t="s">
        <v>26</v>
      </c>
      <c r="I110" t="str">
        <f ca="1">IF([1]Planilha1!$F110="","",TRIM([1]Planilha1!$F110))</f>
        <v>Fibra</v>
      </c>
      <c r="J110" s="11" t="s">
        <v>27</v>
      </c>
      <c r="K110" s="4" cm="1">
        <f t="array" aca="1" ref="K110" ca="1">IFERROR(VALUE(_xlfn.REGEXEXTRACT([1]Planilha1!$E110,"\+\s*(\d+)GB",2)),"")</f>
        <v>70</v>
      </c>
      <c r="L110" s="5">
        <v>160</v>
      </c>
      <c r="M110" s="5" t="str">
        <f ca="1">IF([1]Planilha1!$I110="","",[1]Planilha1!$I110)</f>
        <v/>
      </c>
      <c r="N110" s="2" t="str" cm="1">
        <f t="array" aca="1" ref="N110" ca="1">IFERROR(VALUE(_xlfn.REGEXEXTRACT([1]Planilha1!$E110,"(\d+)\s*MESES",2)),IFERROR(VALUE(_xlfn.REGEXEXTRACT([1]Planilha1!$E110,"por\s*(\d+)\s*M",2)),IF(_xlfn.REGEXTEST([1]Planilha1!$E110,"1[ºª]"),1,"")))</f>
        <v/>
      </c>
      <c r="O110" s="6" t="str">
        <f t="shared" si="5"/>
        <v/>
      </c>
      <c r="P110" t="str">
        <f ca="1">IF([1]Planilha1!$J110="","",TRIM([1]Planilha1!$J110))</f>
        <v>0</v>
      </c>
      <c r="Q110" s="7">
        <f ca="1">IF($D110="Claro","",IFERROR($L110-VLOOKUP($B110&amp;"|Claro",[1]AUX_CLARO!$A:$C,2,FALSE),""))</f>
        <v>20.099999999999994</v>
      </c>
      <c r="R110" s="8" t="str">
        <f ca="1">IF($D110="Claro","",IFERROR($J110-VLOOKUP($B110&amp;"|Claro",[1]AUX_CLARO!$A:$C,3,FALSE),""))</f>
        <v/>
      </c>
      <c r="S110" t="str">
        <f t="shared" ca="1" si="6"/>
        <v>Claro mais barata</v>
      </c>
      <c r="T110" t="str">
        <f t="shared" ca="1" si="7"/>
        <v/>
      </c>
      <c r="U110" s="9">
        <f t="shared" si="8"/>
        <v>46174</v>
      </c>
      <c r="V110" t="str">
        <f ca="1">IF(OR([1]Planilha1!$B110="",[1]Planilha1!$B110="NÃO MAPEADO"),"",TRIM([1]Planilha1!$B110))</f>
        <v>SUDESTE</v>
      </c>
      <c r="W110" t="str">
        <f ca="1">IF([1]Planilha1!$C110="","",TRIM([1]Planilha1!$C110))</f>
        <v>MD 2</v>
      </c>
      <c r="X110" s="12" t="str">
        <f ca="1">IFERROR(VLOOKUP($C110,[1]Planilha2!$B:$H,7,FALSE),"")</f>
        <v>12460-001</v>
      </c>
    </row>
    <row r="111" spans="1:24" x14ac:dyDescent="0.35">
      <c r="A111" t="str">
        <f ca="1">IF(LEFT(TEXT([1]Planilha1!$L111,"0000000"),1)="5","MS","SP")</f>
        <v>SP</v>
      </c>
      <c r="B111" t="str">
        <f ca="1">IF(RIGHT([1]Planilha1!$A111,5)=" - MS",LEFT([1]Planilha1!$A111,LEN([1]Planilha1!$A111)-5),TRIM([1]Planilha1!$A111))</f>
        <v>CAMPOS DO JORDAO</v>
      </c>
      <c r="C111" s="2">
        <f ca="1">[1]Planilha1!$L111</f>
        <v>3509700</v>
      </c>
      <c r="D111" t="str">
        <f>TRIM([1]Planilha1!$D111)</f>
        <v>ISP LOCAL</v>
      </c>
      <c r="E111" t="str">
        <f>IF(TRIM([1]Planilha1!$D111)="Claro","Claro","Concorrente")</f>
        <v>Concorrente</v>
      </c>
      <c r="F111" t="s">
        <v>51</v>
      </c>
      <c r="G111" t="str">
        <f t="shared" ca="1" si="0"/>
        <v>Banda Larga + Conteudo</v>
      </c>
      <c r="H111" t="str">
        <f ca="1">TRIM([1]Planilha1!$E111)</f>
        <v>G6 - 700M R$99,90</v>
      </c>
      <c r="I111" t="str">
        <f ca="1">IF([1]Planilha1!$F111="","",TRIM([1]Planilha1!$F111))</f>
        <v>Fibra</v>
      </c>
      <c r="J111" s="3">
        <f ca="1">IF([1]Planilha1!$G111="","",[1]Planilha1!$G111)</f>
        <v>700</v>
      </c>
      <c r="K111" s="4" t="str" cm="1">
        <f t="array" aca="1" ref="K111" ca="1">IFERROR(VALUE(_xlfn.REGEXEXTRACT([1]Planilha1!$E111,"\+\s*(\d+)GB",2)),"")</f>
        <v/>
      </c>
      <c r="L111" s="5">
        <f ca="1">IF([1]Planilha1!$H111="","",[1]Planilha1!$H111)</f>
        <v>99.9</v>
      </c>
      <c r="M111" s="5" t="str">
        <f ca="1">IF([1]Planilha1!$I111="","",[1]Planilha1!$I111)</f>
        <v/>
      </c>
      <c r="N111" s="2" t="str" cm="1">
        <f t="array" aca="1" ref="N111" ca="1">IFERROR(VALUE(_xlfn.REGEXEXTRACT([1]Planilha1!$E111,"(\d+)\s*MESES",2)),IFERROR(VALUE(_xlfn.REGEXEXTRACT([1]Planilha1!$E111,"por\s*(\d+)\s*M",2)),IF(_xlfn.REGEXTEST([1]Planilha1!$E111,"1[ºª]"),1,"")))</f>
        <v/>
      </c>
      <c r="O111" s="6">
        <f t="shared" ca="1" si="5"/>
        <v>0.14271428571428571</v>
      </c>
      <c r="P111" t="str">
        <f ca="1">IF([1]Planilha1!$J111="","",TRIM([1]Planilha1!$J111))</f>
        <v>0</v>
      </c>
      <c r="Q111" s="7">
        <f ca="1">IF($D111="Claro","",IFERROR($L111-VLOOKUP($B111&amp;"|Claro",[1]AUX_CLARO!$A:$C,2,FALSE),""))</f>
        <v>-40</v>
      </c>
      <c r="R111" s="8">
        <f ca="1">IF($D111="Claro","",IFERROR($J111-VLOOKUP($B111&amp;"|Claro",[1]AUX_CLARO!$A:$C,3,FALSE),""))</f>
        <v>100</v>
      </c>
      <c r="S111" t="str">
        <f t="shared" ca="1" si="6"/>
        <v>Claro mais cara</v>
      </c>
      <c r="T111" t="str">
        <f t="shared" ca="1" si="7"/>
        <v>Claro com menor velocidade</v>
      </c>
      <c r="U111" s="9">
        <f t="shared" si="8"/>
        <v>46174</v>
      </c>
      <c r="V111" t="str">
        <f ca="1">IF(OR([1]Planilha1!$B111="",[1]Planilha1!$B111="NÃO MAPEADO"),"",TRIM([1]Planilha1!$B111))</f>
        <v>SUDESTE</v>
      </c>
      <c r="W111" t="str">
        <f ca="1">IF([1]Planilha1!$C111="","",TRIM([1]Planilha1!$C111))</f>
        <v>MD 2</v>
      </c>
      <c r="X111" s="12" t="str">
        <f ca="1">IFERROR(VLOOKUP($C111,[1]Planilha2!$B:$H,7,FALSE),"")</f>
        <v>12460-001</v>
      </c>
    </row>
    <row r="112" spans="1:24" x14ac:dyDescent="0.35">
      <c r="A112" t="str">
        <f ca="1">IF(LEFT(TEXT([1]Planilha1!$L112,"0000000"),1)="5","MS","SP")</f>
        <v>SP</v>
      </c>
      <c r="B112" t="str">
        <f ca="1">IF(RIGHT([1]Planilha1!$A112,5)=" - MS",LEFT([1]Planilha1!$A112,LEN([1]Planilha1!$A112)-5),TRIM([1]Planilha1!$A112))</f>
        <v>CAPIVARI</v>
      </c>
      <c r="C112" s="2">
        <f ca="1">[1]Planilha1!$L112</f>
        <v>3510401</v>
      </c>
      <c r="D112" t="str">
        <f>TRIM([1]Planilha1!$D112)</f>
        <v>Claro</v>
      </c>
      <c r="E112" t="str">
        <f>IF(TRIM([1]Planilha1!$D112)="Claro","Claro","Concorrente")</f>
        <v>Claro</v>
      </c>
      <c r="F112" t="s">
        <v>24</v>
      </c>
      <c r="G112" t="str">
        <f t="shared" ca="1" si="0"/>
        <v>Banda Larga + Movel</v>
      </c>
      <c r="H112" t="str">
        <f ca="1">TRIM([1]Planilha1!$E112)</f>
        <v>600M+100GB=R$159,90</v>
      </c>
      <c r="I112" t="str">
        <f ca="1">IF([1]Planilha1!$F112="","",TRIM([1]Planilha1!$F112))</f>
        <v>Fibra</v>
      </c>
      <c r="J112" s="3">
        <f ca="1">IF([1]Planilha1!$G112="","",[1]Planilha1!$G112)</f>
        <v>600</v>
      </c>
      <c r="K112" s="4" cm="1">
        <f t="array" aca="1" ref="K112" ca="1">IFERROR(VALUE(_xlfn.REGEXEXTRACT([1]Planilha1!$E112,"\+\s*(\d+)GB",2)),"")</f>
        <v>100</v>
      </c>
      <c r="L112" s="5">
        <f ca="1">IF([1]Planilha1!$H112="","",[1]Planilha1!$H112)</f>
        <v>159.9</v>
      </c>
      <c r="M112" s="5" t="str">
        <f ca="1">IF([1]Planilha1!$I112="","",[1]Planilha1!$I112)</f>
        <v/>
      </c>
      <c r="N112" s="2" t="str" cm="1">
        <f t="array" aca="1" ref="N112" ca="1">IFERROR(VALUE(_xlfn.REGEXEXTRACT([1]Planilha1!$E112,"(\d+)\s*MESES",2)),IFERROR(VALUE(_xlfn.REGEXEXTRACT([1]Planilha1!$E112,"por\s*(\d+)\s*M",2)),IF(_xlfn.REGEXTEST([1]Planilha1!$E112,"1[ºª]"),1,"")))</f>
        <v/>
      </c>
      <c r="O112" s="6">
        <f t="shared" ca="1" si="5"/>
        <v>0.26650000000000001</v>
      </c>
      <c r="P112" t="str">
        <f ca="1">IF([1]Planilha1!$J112="","",TRIM([1]Planilha1!$J112))</f>
        <v>GLOBOPLAY</v>
      </c>
      <c r="Q112" s="7" t="str">
        <f>IF($D112="Claro","",IFERROR($L112-VLOOKUP($B112&amp;"|Claro",[1]AUX_CLARO!$A:$C,2,FALSE),""))</f>
        <v/>
      </c>
      <c r="R112" s="8" t="str">
        <f>IF($D112="Claro","",IFERROR($J112-VLOOKUP($B112&amp;"|Claro",[1]AUX_CLARO!$A:$C,3,FALSE),""))</f>
        <v/>
      </c>
      <c r="S112" t="str">
        <f t="shared" si="6"/>
        <v/>
      </c>
      <c r="T112" t="str">
        <f t="shared" si="7"/>
        <v/>
      </c>
      <c r="U112" s="9">
        <f t="shared" si="8"/>
        <v>46174</v>
      </c>
      <c r="V112" t="str">
        <f ca="1">IF(OR([1]Planilha1!$B112="",[1]Planilha1!$B112="NÃO MAPEADO"),"",TRIM([1]Planilha1!$B112))</f>
        <v>CENTRAL</v>
      </c>
      <c r="W112" t="str">
        <f ca="1">IF([1]Planilha1!$C112="","",TRIM([1]Planilha1!$C112))</f>
        <v>PADRÃO</v>
      </c>
      <c r="X112" t="str">
        <f ca="1">IFERROR(VLOOKUP($C112,[1]Planilha2!$B:$H,7,FALSE),"")</f>
        <v>13360-001</v>
      </c>
    </row>
    <row r="113" spans="1:24" x14ac:dyDescent="0.35">
      <c r="A113" t="str">
        <f ca="1">IF(LEFT(TEXT([1]Planilha1!$L113,"0000000"),1)="5","MS","SP")</f>
        <v>SP</v>
      </c>
      <c r="B113" t="str">
        <f ca="1">IF(RIGHT([1]Planilha1!$A113,5)=" - MS",LEFT([1]Planilha1!$A113,LEN([1]Planilha1!$A113)-5),TRIM([1]Planilha1!$A113))</f>
        <v>CAPIVARI</v>
      </c>
      <c r="C113" s="2">
        <f ca="1">[1]Planilha1!$L113</f>
        <v>3510401</v>
      </c>
      <c r="D113" t="str">
        <f>TRIM([1]Planilha1!$D113)</f>
        <v>Desktop</v>
      </c>
      <c r="E113" t="str">
        <f>IF(TRIM([1]Planilha1!$D113)="Claro","Claro","Concorrente")</f>
        <v>Concorrente</v>
      </c>
      <c r="F113" t="s">
        <v>29</v>
      </c>
      <c r="G113" t="str">
        <f t="shared" ca="1" si="0"/>
        <v>Banda Larga + Movel</v>
      </c>
      <c r="H113" t="str">
        <f ca="1">TRIM([1]Planilha1!$E113)</f>
        <v>600M+15GB=R$129,99 - 6 MESES, APÓS R$139,99</v>
      </c>
      <c r="I113" t="str">
        <f ca="1">IF([1]Planilha1!$F113="","",TRIM([1]Planilha1!$F113))</f>
        <v>Fibra</v>
      </c>
      <c r="J113" s="3">
        <f ca="1">IF([1]Planilha1!$G113="","",[1]Planilha1!$G113)</f>
        <v>600</v>
      </c>
      <c r="K113" s="4" cm="1">
        <f t="array" aca="1" ref="K113" ca="1">IFERROR(VALUE(_xlfn.REGEXEXTRACT([1]Planilha1!$E113,"\+\s*(\d+)GB",2)),"")</f>
        <v>15</v>
      </c>
      <c r="L113" s="5">
        <f ca="1">IF([1]Planilha1!$H113="","",[1]Planilha1!$H113)</f>
        <v>139.99</v>
      </c>
      <c r="M113" s="5">
        <f ca="1">IF([1]Planilha1!$I113="","",[1]Planilha1!$I113)</f>
        <v>129.99</v>
      </c>
      <c r="N113" s="2" cm="1">
        <f t="array" aca="1" ref="N113" ca="1">IFERROR(VALUE(_xlfn.REGEXEXTRACT([1]Planilha1!$E113,"(\d+)\s*MESES",2)),IFERROR(VALUE(_xlfn.REGEXEXTRACT([1]Planilha1!$E113,"por\s*(\d+)\s*M",2)),IF(_xlfn.REGEXTEST([1]Planilha1!$E113,"1[ºª]"),1,"")))</f>
        <v>6</v>
      </c>
      <c r="O113" s="6">
        <f t="shared" ca="1" si="5"/>
        <v>0.23331666666666667</v>
      </c>
      <c r="P113" t="str">
        <f ca="1">IF([1]Planilha1!$J113="","",TRIM([1]Planilha1!$J113))</f>
        <v>0</v>
      </c>
      <c r="Q113" s="7">
        <f ca="1">IF($D113="Claro","",IFERROR($L113-VLOOKUP($B113&amp;"|Claro",[1]AUX_CLARO!$A:$C,2,FALSE),""))</f>
        <v>-19.909999999999997</v>
      </c>
      <c r="R113" s="8">
        <f ca="1">IF($D113="Claro","",IFERROR($J113-VLOOKUP($B113&amp;"|Claro",[1]AUX_CLARO!$A:$C,3,FALSE),""))</f>
        <v>0</v>
      </c>
      <c r="S113" t="str">
        <f t="shared" ca="1" si="6"/>
        <v>Claro mais cara</v>
      </c>
      <c r="T113" t="str">
        <f t="shared" ca="1" si="7"/>
        <v>Mesma velocidade</v>
      </c>
      <c r="U113" s="9">
        <f t="shared" si="8"/>
        <v>46174</v>
      </c>
      <c r="V113" t="str">
        <f ca="1">IF(OR([1]Planilha1!$B113="",[1]Planilha1!$B113="NÃO MAPEADO"),"",TRIM([1]Planilha1!$B113))</f>
        <v>CENTRAL</v>
      </c>
      <c r="W113" t="str">
        <f ca="1">IF([1]Planilha1!$C113="","",TRIM([1]Planilha1!$C113))</f>
        <v>PADRÃO</v>
      </c>
      <c r="X113" t="str">
        <f ca="1">IFERROR(VLOOKUP($C113,[1]Planilha2!$B:$H,7,FALSE),"")</f>
        <v>13360-001</v>
      </c>
    </row>
    <row r="114" spans="1:24" x14ac:dyDescent="0.35">
      <c r="A114" t="str">
        <f ca="1">IF(LEFT(TEXT([1]Planilha1!$L114,"0000000"),1)="5","MS","SP")</f>
        <v>SP</v>
      </c>
      <c r="B114" t="str">
        <f ca="1">IF(RIGHT([1]Planilha1!$A114,5)=" - MS",LEFT([1]Planilha1!$A114,LEN([1]Planilha1!$A114)-5),TRIM([1]Planilha1!$A114))</f>
        <v>CAPIVARI</v>
      </c>
      <c r="C114" s="2">
        <f ca="1">[1]Planilha1!$L114</f>
        <v>3510401</v>
      </c>
      <c r="D114" t="str">
        <f>TRIM([1]Planilha1!$D114)</f>
        <v>ISP LOCAL</v>
      </c>
      <c r="E114" t="str">
        <f>IF(TRIM([1]Planilha1!$D114)="Claro","Claro","Concorrente")</f>
        <v>Concorrente</v>
      </c>
      <c r="F114" t="s">
        <v>52</v>
      </c>
      <c r="G114" t="str">
        <f t="shared" ca="1" si="0"/>
        <v>Banda Larga + Conteudo</v>
      </c>
      <c r="H114" t="str">
        <f ca="1">TRIM([1]Planilha1!$E114)</f>
        <v>EAGLE - 700M R$99,90</v>
      </c>
      <c r="I114" t="str">
        <f ca="1">IF([1]Planilha1!$F114="","",TRIM([1]Planilha1!$F114))</f>
        <v>Fibra</v>
      </c>
      <c r="J114" s="3">
        <f ca="1">IF([1]Planilha1!$G114="","",[1]Planilha1!$G114)</f>
        <v>700</v>
      </c>
      <c r="K114" s="4" t="str" cm="1">
        <f t="array" aca="1" ref="K114" ca="1">IFERROR(VALUE(_xlfn.REGEXEXTRACT([1]Planilha1!$E114,"\+\s*(\d+)GB",2)),"")</f>
        <v/>
      </c>
      <c r="L114" s="5">
        <f ca="1">IF([1]Planilha1!$H114="","",[1]Planilha1!$H114)</f>
        <v>99.9</v>
      </c>
      <c r="M114" s="5" t="str">
        <f ca="1">IF([1]Planilha1!$I114="","",[1]Planilha1!$I114)</f>
        <v/>
      </c>
      <c r="N114" s="2" t="str" cm="1">
        <f t="array" aca="1" ref="N114" ca="1">IFERROR(VALUE(_xlfn.REGEXEXTRACT([1]Planilha1!$E114,"(\d+)\s*MESES",2)),IFERROR(VALUE(_xlfn.REGEXEXTRACT([1]Planilha1!$E114,"por\s*(\d+)\s*M",2)),IF(_xlfn.REGEXTEST([1]Planilha1!$E114,"1[ºª]"),1,"")))</f>
        <v/>
      </c>
      <c r="O114" s="6">
        <f t="shared" ca="1" si="5"/>
        <v>0.14271428571428571</v>
      </c>
      <c r="P114" t="str">
        <f ca="1">IF([1]Planilha1!$J114="","",TRIM([1]Planilha1!$J114))</f>
        <v>0</v>
      </c>
      <c r="Q114" s="7">
        <f ca="1">IF($D114="Claro","",IFERROR($L114-VLOOKUP($B114&amp;"|Claro",[1]AUX_CLARO!$A:$C,2,FALSE),""))</f>
        <v>-60</v>
      </c>
      <c r="R114" s="8">
        <f ca="1">IF($D114="Claro","",IFERROR($J114-VLOOKUP($B114&amp;"|Claro",[1]AUX_CLARO!$A:$C,3,FALSE),""))</f>
        <v>100</v>
      </c>
      <c r="S114" t="str">
        <f t="shared" ca="1" si="6"/>
        <v>Claro mais cara</v>
      </c>
      <c r="T114" t="str">
        <f t="shared" ca="1" si="7"/>
        <v>Claro com menor velocidade</v>
      </c>
      <c r="U114" s="9">
        <f t="shared" si="8"/>
        <v>46174</v>
      </c>
      <c r="V114" t="str">
        <f ca="1">IF(OR([1]Planilha1!$B114="",[1]Planilha1!$B114="NÃO MAPEADO"),"",TRIM([1]Planilha1!$B114))</f>
        <v>CENTRAL</v>
      </c>
      <c r="W114" t="str">
        <f ca="1">IF([1]Planilha1!$C114="","",TRIM([1]Planilha1!$C114))</f>
        <v>PADRÃO</v>
      </c>
      <c r="X114" t="str">
        <f ca="1">IFERROR(VLOOKUP($C114,[1]Planilha2!$B:$H,7,FALSE),"")</f>
        <v>13360-001</v>
      </c>
    </row>
    <row r="115" spans="1:24" x14ac:dyDescent="0.35">
      <c r="A115" t="str">
        <f ca="1">IF(LEFT(TEXT([1]Planilha1!$L115,"0000000"),1)="5","MS","SP")</f>
        <v>SP</v>
      </c>
      <c r="B115" t="str">
        <f ca="1">IF(RIGHT([1]Planilha1!$A115,5)=" - MS",LEFT([1]Planilha1!$A115,LEN([1]Planilha1!$A115)-5),TRIM([1]Planilha1!$A115))</f>
        <v>CARAGUATATUBA</v>
      </c>
      <c r="C115" s="2">
        <f ca="1">[1]Planilha1!$L115</f>
        <v>3510500</v>
      </c>
      <c r="D115" t="str">
        <f>TRIM([1]Planilha1!$D115)</f>
        <v>Claro</v>
      </c>
      <c r="E115" t="str">
        <f>IF(TRIM([1]Planilha1!$D115)="Claro","Claro","Concorrente")</f>
        <v>Claro</v>
      </c>
      <c r="F115" t="s">
        <v>24</v>
      </c>
      <c r="G115" t="str">
        <f t="shared" ca="1" si="0"/>
        <v>Banda Larga + Movel</v>
      </c>
      <c r="H115" t="str">
        <f ca="1">TRIM([1]Planilha1!$E115)</f>
        <v>600M+100GB=R$119,90 por 3M, após R$159,90</v>
      </c>
      <c r="I115" t="str">
        <f ca="1">IF([1]Planilha1!$F115="","",TRIM([1]Planilha1!$F115))</f>
        <v>Fibra</v>
      </c>
      <c r="J115" s="3">
        <f ca="1">IF([1]Planilha1!$G115="","",[1]Planilha1!$G115)</f>
        <v>600</v>
      </c>
      <c r="K115" s="4" cm="1">
        <f t="array" aca="1" ref="K115" ca="1">IFERROR(VALUE(_xlfn.REGEXEXTRACT([1]Planilha1!$E115,"\+\s*(\d+)GB",2)),"")</f>
        <v>100</v>
      </c>
      <c r="L115" s="5">
        <f ca="1">IF([1]Planilha1!$H115="","",[1]Planilha1!$H115)</f>
        <v>159.9</v>
      </c>
      <c r="M115" s="5">
        <f ca="1">IF([1]Planilha1!$I115="","",[1]Planilha1!$I115)</f>
        <v>119.9</v>
      </c>
      <c r="N115" s="2" cm="1">
        <f t="array" aca="1" ref="N115" ca="1">IFERROR(VALUE(_xlfn.REGEXEXTRACT([1]Planilha1!$E115,"(\d+)\s*MESES",2)),IFERROR(VALUE(_xlfn.REGEXEXTRACT([1]Planilha1!$E115,"por\s*(\d+)\s*M",2)),IF(_xlfn.REGEXTEST([1]Planilha1!$E115,"1[ºª]"),1,"")))</f>
        <v>3</v>
      </c>
      <c r="O115" s="6">
        <f t="shared" ca="1" si="5"/>
        <v>0.26650000000000001</v>
      </c>
      <c r="P115" t="str">
        <f ca="1">IF([1]Planilha1!$J115="","",TRIM([1]Planilha1!$J115))</f>
        <v>GLOBOPLAY</v>
      </c>
      <c r="Q115" s="7" t="str">
        <f>IF($D115="Claro","",IFERROR($L115-VLOOKUP($B115&amp;"|Claro",[1]AUX_CLARO!$A:$C,2,FALSE),""))</f>
        <v/>
      </c>
      <c r="R115" s="8" t="str">
        <f>IF($D115="Claro","",IFERROR($J115-VLOOKUP($B115&amp;"|Claro",[1]AUX_CLARO!$A:$C,3,FALSE),""))</f>
        <v/>
      </c>
      <c r="S115" t="str">
        <f t="shared" si="6"/>
        <v/>
      </c>
      <c r="T115" t="str">
        <f t="shared" si="7"/>
        <v/>
      </c>
      <c r="U115" s="9">
        <f t="shared" si="8"/>
        <v>46174</v>
      </c>
      <c r="V115" t="str">
        <f ca="1">IF(OR([1]Planilha1!$B115="",[1]Planilha1!$B115="NÃO MAPEADO"),"",TRIM([1]Planilha1!$B115))</f>
        <v>LITORAL</v>
      </c>
      <c r="W115" t="str">
        <f ca="1">IF([1]Planilha1!$C115="","",TRIM([1]Planilha1!$C115))</f>
        <v>ESPECIAL</v>
      </c>
      <c r="X115" t="str">
        <f ca="1">IFERROR(VLOOKUP($C115,[1]Planilha2!$B:$H,7,FALSE),"")</f>
        <v>11660-001</v>
      </c>
    </row>
    <row r="116" spans="1:24" x14ac:dyDescent="0.35">
      <c r="A116" t="str">
        <f ca="1">IF(LEFT(TEXT([1]Planilha1!$L116,"0000000"),1)="5","MS","SP")</f>
        <v>SP</v>
      </c>
      <c r="B116" t="str">
        <f ca="1">IF(RIGHT([1]Planilha1!$A116,5)=" - MS",LEFT([1]Planilha1!$A116,LEN([1]Planilha1!$A116)-5),TRIM([1]Planilha1!$A116))</f>
        <v>CARAGUATATUBA</v>
      </c>
      <c r="C116" s="2">
        <f ca="1">[1]Planilha1!$L116</f>
        <v>3510500</v>
      </c>
      <c r="D116" t="str">
        <f>TRIM([1]Planilha1!$D116)</f>
        <v>Vivo</v>
      </c>
      <c r="E116" t="str">
        <f>IF(TRIM([1]Planilha1!$D116)="Claro","Claro","Concorrente")</f>
        <v>Concorrente</v>
      </c>
      <c r="F116" t="s">
        <v>25</v>
      </c>
      <c r="G116" t="str">
        <f t="shared" ca="1" si="0"/>
        <v>Banda Larga + Movel</v>
      </c>
      <c r="H116" t="s">
        <v>26</v>
      </c>
      <c r="I116" t="str">
        <f ca="1">IF([1]Planilha1!$F116="","",TRIM([1]Planilha1!$F116))</f>
        <v>Fibra</v>
      </c>
      <c r="J116" s="11" t="s">
        <v>27</v>
      </c>
      <c r="K116" s="4" cm="1">
        <f t="array" aca="1" ref="K116" ca="1">IFERROR(VALUE(_xlfn.REGEXEXTRACT([1]Planilha1!$E116,"\+\s*(\d+)GB",2)),"")</f>
        <v>70</v>
      </c>
      <c r="L116" s="5">
        <v>160</v>
      </c>
      <c r="M116" s="5" t="str">
        <f ca="1">IF([1]Planilha1!$I116="","",[1]Planilha1!$I116)</f>
        <v/>
      </c>
      <c r="N116" s="2" t="str" cm="1">
        <f t="array" aca="1" ref="N116" ca="1">IFERROR(VALUE(_xlfn.REGEXEXTRACT([1]Planilha1!$E116,"(\d+)\s*MESES",2)),IFERROR(VALUE(_xlfn.REGEXEXTRACT([1]Planilha1!$E116,"por\s*(\d+)\s*M",2)),IF(_xlfn.REGEXTEST([1]Planilha1!$E116,"1[ºª]"),1,"")))</f>
        <v/>
      </c>
      <c r="O116" s="6" t="str">
        <f t="shared" si="5"/>
        <v/>
      </c>
      <c r="P116" t="str">
        <f ca="1">IF([1]Planilha1!$J116="","",TRIM([1]Planilha1!$J116))</f>
        <v>0</v>
      </c>
      <c r="Q116" s="7">
        <f ca="1">IF($D116="Claro","",IFERROR($L116-VLOOKUP($B116&amp;"|Claro",[1]AUX_CLARO!$A:$C,2,FALSE),""))</f>
        <v>9.9999999999994316E-2</v>
      </c>
      <c r="R116" s="8" t="str">
        <f ca="1">IF($D116="Claro","",IFERROR($J116-VLOOKUP($B116&amp;"|Claro",[1]AUX_CLARO!$A:$C,3,FALSE),""))</f>
        <v/>
      </c>
      <c r="S116" t="str">
        <f t="shared" ca="1" si="6"/>
        <v>Claro mais barata</v>
      </c>
      <c r="T116" t="str">
        <f t="shared" ca="1" si="7"/>
        <v/>
      </c>
      <c r="U116" s="9">
        <f t="shared" si="8"/>
        <v>46174</v>
      </c>
      <c r="V116" t="str">
        <f ca="1">IF(OR([1]Planilha1!$B116="",[1]Planilha1!$B116="NÃO MAPEADO"),"",TRIM([1]Planilha1!$B116))</f>
        <v>LITORAL</v>
      </c>
      <c r="W116" t="str">
        <f ca="1">IF([1]Planilha1!$C116="","",TRIM([1]Planilha1!$C116))</f>
        <v>ESPECIAL</v>
      </c>
      <c r="X116" t="str">
        <f ca="1">IFERROR(VLOOKUP($C116,[1]Planilha2!$B:$H,7,FALSE),"")</f>
        <v>11660-001</v>
      </c>
    </row>
    <row r="117" spans="1:24" x14ac:dyDescent="0.35">
      <c r="A117" t="str">
        <f ca="1">IF(LEFT(TEXT([1]Planilha1!$L117,"0000000"),1)="5","MS","SP")</f>
        <v>SP</v>
      </c>
      <c r="B117" t="str">
        <f ca="1">IF(RIGHT([1]Planilha1!$A117,5)=" - MS",LEFT([1]Planilha1!$A117,LEN([1]Planilha1!$A117)-5),TRIM([1]Planilha1!$A117))</f>
        <v>CARAGUATATUBA</v>
      </c>
      <c r="C117" s="2">
        <f ca="1">[1]Planilha1!$L117</f>
        <v>3510500</v>
      </c>
      <c r="D117" t="str">
        <f>TRIM([1]Planilha1!$D117)</f>
        <v>ISP LOCAL</v>
      </c>
      <c r="E117" t="str">
        <f>IF(TRIM([1]Planilha1!$D117)="Claro","Claro","Concorrente")</f>
        <v>Concorrente</v>
      </c>
      <c r="F117" t="s">
        <v>47</v>
      </c>
      <c r="G117" t="str">
        <f t="shared" ca="1" si="0"/>
        <v>Banda Larga + Conteudo</v>
      </c>
      <c r="H117" t="str">
        <f ca="1">TRIM([1]Planilha1!$E117)</f>
        <v>ALLOHA - 600M + GLOBOPLAY R$109,99</v>
      </c>
      <c r="I117" t="str">
        <f ca="1">IF([1]Planilha1!$F117="","",TRIM([1]Planilha1!$F117))</f>
        <v>Fibra</v>
      </c>
      <c r="J117" s="3">
        <f ca="1">IF([1]Planilha1!$G117="","",[1]Planilha1!$G117)</f>
        <v>600</v>
      </c>
      <c r="K117" s="4" t="str" cm="1">
        <f t="array" aca="1" ref="K117" ca="1">IFERROR(VALUE(_xlfn.REGEXEXTRACT([1]Planilha1!$E117,"\+\s*(\d+)GB",2)),"")</f>
        <v/>
      </c>
      <c r="L117" s="5">
        <f ca="1">IF([1]Planilha1!$H117="","",[1]Planilha1!$H117)</f>
        <v>109.99</v>
      </c>
      <c r="M117" s="5" t="str">
        <f ca="1">IF([1]Planilha1!$I117="","",[1]Planilha1!$I117)</f>
        <v/>
      </c>
      <c r="N117" s="2" t="str" cm="1">
        <f t="array" aca="1" ref="N117" ca="1">IFERROR(VALUE(_xlfn.REGEXEXTRACT([1]Planilha1!$E117,"(\d+)\s*MESES",2)),IFERROR(VALUE(_xlfn.REGEXEXTRACT([1]Planilha1!$E117,"por\s*(\d+)\s*M",2)),IF(_xlfn.REGEXTEST([1]Planilha1!$E117,"1[ºª]"),1,"")))</f>
        <v/>
      </c>
      <c r="O117" s="6">
        <f t="shared" ca="1" si="5"/>
        <v>0.18331666666666666</v>
      </c>
      <c r="P117" t="str">
        <f ca="1">IF([1]Planilha1!$J117="","",TRIM([1]Planilha1!$J117))</f>
        <v>GLOBOPLAY</v>
      </c>
      <c r="Q117" s="7">
        <f ca="1">IF($D117="Claro","",IFERROR($L117-VLOOKUP($B117&amp;"|Claro",[1]AUX_CLARO!$A:$C,2,FALSE),""))</f>
        <v>-49.910000000000011</v>
      </c>
      <c r="R117" s="8">
        <f ca="1">IF($D117="Claro","",IFERROR($J117-VLOOKUP($B117&amp;"|Claro",[1]AUX_CLARO!$A:$C,3,FALSE),""))</f>
        <v>0</v>
      </c>
      <c r="S117" t="str">
        <f t="shared" ca="1" si="6"/>
        <v>Claro mais cara</v>
      </c>
      <c r="T117" t="str">
        <f t="shared" ca="1" si="7"/>
        <v>Mesma velocidade</v>
      </c>
      <c r="U117" s="9">
        <f t="shared" si="8"/>
        <v>46174</v>
      </c>
      <c r="V117" t="str">
        <f ca="1">IF(OR([1]Planilha1!$B117="",[1]Planilha1!$B117="NÃO MAPEADO"),"",TRIM([1]Planilha1!$B117))</f>
        <v>LITORAL</v>
      </c>
      <c r="W117" t="str">
        <f ca="1">IF([1]Planilha1!$C117="","",TRIM([1]Planilha1!$C117))</f>
        <v>ESPECIAL</v>
      </c>
      <c r="X117" t="str">
        <f ca="1">IFERROR(VLOOKUP($C117,[1]Planilha2!$B:$H,7,FALSE),"")</f>
        <v>11660-001</v>
      </c>
    </row>
    <row r="118" spans="1:24" x14ac:dyDescent="0.35">
      <c r="A118" t="str">
        <f ca="1">IF(LEFT(TEXT([1]Planilha1!$L118,"0000000"),1)="5","MS","SP")</f>
        <v>SP</v>
      </c>
      <c r="B118" t="str">
        <f ca="1">IF(RIGHT([1]Planilha1!$A118,5)=" - MS",LEFT([1]Planilha1!$A118,LEN([1]Planilha1!$A118)-5),TRIM([1]Planilha1!$A118))</f>
        <v>CASA BRANCA</v>
      </c>
      <c r="C118" s="2">
        <f ca="1">[1]Planilha1!$L118</f>
        <v>3510807</v>
      </c>
      <c r="D118" t="str">
        <f>TRIM([1]Planilha1!$D118)</f>
        <v>Claro</v>
      </c>
      <c r="E118" t="str">
        <f>IF(TRIM([1]Planilha1!$D118)="Claro","Claro","Concorrente")</f>
        <v>Claro</v>
      </c>
      <c r="F118" t="s">
        <v>24</v>
      </c>
      <c r="G118" t="str">
        <f t="shared" ca="1" si="0"/>
        <v>Banda Larga + Movel</v>
      </c>
      <c r="H118" t="str">
        <f ca="1">TRIM([1]Planilha1!$E118)</f>
        <v>600M+100GB=R$109,90 por 6M, após R$139,90</v>
      </c>
      <c r="I118" t="str">
        <f ca="1">IF([1]Planilha1!$F118="","",TRIM([1]Planilha1!$F118))</f>
        <v>Fibra</v>
      </c>
      <c r="J118" s="3">
        <f ca="1">IF([1]Planilha1!$G118="","",[1]Planilha1!$G118)</f>
        <v>600</v>
      </c>
      <c r="K118" s="4" cm="1">
        <f t="array" aca="1" ref="K118" ca="1">IFERROR(VALUE(_xlfn.REGEXEXTRACT([1]Planilha1!$E118,"\+\s*(\d+)GB",2)),"")</f>
        <v>100</v>
      </c>
      <c r="L118" s="5">
        <f ca="1">IF([1]Planilha1!$H118="","",[1]Planilha1!$H118)</f>
        <v>139.9</v>
      </c>
      <c r="M118" s="5">
        <f ca="1">IF([1]Planilha1!$I118="","",[1]Planilha1!$I118)</f>
        <v>109.9</v>
      </c>
      <c r="N118" s="2" cm="1">
        <f t="array" aca="1" ref="N118" ca="1">IFERROR(VALUE(_xlfn.REGEXEXTRACT([1]Planilha1!$E118,"(\d+)\s*MESES",2)),IFERROR(VALUE(_xlfn.REGEXEXTRACT([1]Planilha1!$E118,"por\s*(\d+)\s*M",2)),IF(_xlfn.REGEXTEST([1]Planilha1!$E118,"1[ºª]"),1,"")))</f>
        <v>6</v>
      </c>
      <c r="O118" s="6">
        <f t="shared" ca="1" si="5"/>
        <v>0.23316666666666669</v>
      </c>
      <c r="P118" t="str">
        <f ca="1">IF([1]Planilha1!$J118="","",TRIM([1]Planilha1!$J118))</f>
        <v>GLOBOPLAY</v>
      </c>
      <c r="Q118" s="7" t="str">
        <f>IF($D118="Claro","",IFERROR($L118-VLOOKUP($B118&amp;"|Claro",[1]AUX_CLARO!$A:$C,2,FALSE),""))</f>
        <v/>
      </c>
      <c r="R118" s="8" t="str">
        <f>IF($D118="Claro","",IFERROR($J118-VLOOKUP($B118&amp;"|Claro",[1]AUX_CLARO!$A:$C,3,FALSE),""))</f>
        <v/>
      </c>
      <c r="S118" t="str">
        <f t="shared" si="6"/>
        <v/>
      </c>
      <c r="T118" t="str">
        <f t="shared" si="7"/>
        <v/>
      </c>
      <c r="U118" s="9">
        <f t="shared" si="8"/>
        <v>46174</v>
      </c>
      <c r="V118" t="str">
        <f ca="1">IF(OR([1]Planilha1!$B118="",[1]Planilha1!$B118="NÃO MAPEADO"),"",TRIM([1]Planilha1!$B118))</f>
        <v>SUDESTE</v>
      </c>
      <c r="W118" t="str">
        <f ca="1">IF([1]Planilha1!$C118="","",TRIM([1]Planilha1!$C118))</f>
        <v>MD 2</v>
      </c>
      <c r="X118" s="12" t="str">
        <f ca="1">IFERROR(VLOOKUP($C118,[1]Planilha2!$B:$H,7,FALSE),"")</f>
        <v>13700-001</v>
      </c>
    </row>
    <row r="119" spans="1:24" x14ac:dyDescent="0.35">
      <c r="A119" t="str">
        <f ca="1">IF(LEFT(TEXT([1]Planilha1!$L119,"0000000"),1)="5","MS","SP")</f>
        <v>SP</v>
      </c>
      <c r="B119" t="str">
        <f ca="1">IF(RIGHT([1]Planilha1!$A119,5)=" - MS",LEFT([1]Planilha1!$A119,LEN([1]Planilha1!$A119)-5),TRIM([1]Planilha1!$A119))</f>
        <v>CASA BRANCA</v>
      </c>
      <c r="C119" s="2">
        <f ca="1">[1]Planilha1!$L119</f>
        <v>3510807</v>
      </c>
      <c r="D119" t="str">
        <f>TRIM([1]Planilha1!$D119)</f>
        <v>Desktop</v>
      </c>
      <c r="E119" t="str">
        <f>IF(TRIM([1]Planilha1!$D119)="Claro","Claro","Concorrente")</f>
        <v>Concorrente</v>
      </c>
      <c r="F119" t="s">
        <v>29</v>
      </c>
      <c r="G119" t="str">
        <f t="shared" ca="1" si="0"/>
        <v>Banda Larga + Movel</v>
      </c>
      <c r="H119" t="str">
        <f ca="1">TRIM([1]Planilha1!$E119)</f>
        <v>600M+15GB=R$129,99 - 6 MESES, APÓS R$139,99</v>
      </c>
      <c r="I119" t="str">
        <f ca="1">IF([1]Planilha1!$F119="","",TRIM([1]Planilha1!$F119))</f>
        <v>Fibra</v>
      </c>
      <c r="J119" s="3">
        <f ca="1">IF([1]Planilha1!$G119="","",[1]Planilha1!$G119)</f>
        <v>600</v>
      </c>
      <c r="K119" s="4" cm="1">
        <f t="array" aca="1" ref="K119" ca="1">IFERROR(VALUE(_xlfn.REGEXEXTRACT([1]Planilha1!$E119,"\+\s*(\d+)GB",2)),"")</f>
        <v>15</v>
      </c>
      <c r="L119" s="5">
        <f ca="1">IF([1]Planilha1!$H119="","",[1]Planilha1!$H119)</f>
        <v>139.99</v>
      </c>
      <c r="M119" s="5">
        <f ca="1">IF([1]Planilha1!$I119="","",[1]Planilha1!$I119)</f>
        <v>129.99</v>
      </c>
      <c r="N119" s="2" cm="1">
        <f t="array" aca="1" ref="N119" ca="1">IFERROR(VALUE(_xlfn.REGEXEXTRACT([1]Planilha1!$E119,"(\d+)\s*MESES",2)),IFERROR(VALUE(_xlfn.REGEXEXTRACT([1]Planilha1!$E119,"por\s*(\d+)\s*M",2)),IF(_xlfn.REGEXTEST([1]Planilha1!$E119,"1[ºª]"),1,"")))</f>
        <v>6</v>
      </c>
      <c r="O119" s="6">
        <f t="shared" ca="1" si="5"/>
        <v>0.23331666666666667</v>
      </c>
      <c r="P119" t="str">
        <f ca="1">IF([1]Planilha1!$J119="","",TRIM([1]Planilha1!$J119))</f>
        <v>0</v>
      </c>
      <c r="Q119" s="7">
        <f ca="1">IF($D119="Claro","",IFERROR($L119-VLOOKUP($B119&amp;"|Claro",[1]AUX_CLARO!$A:$C,2,FALSE),""))</f>
        <v>9.0000000000003411E-2</v>
      </c>
      <c r="R119" s="8">
        <f ca="1">IF($D119="Claro","",IFERROR($J119-VLOOKUP($B119&amp;"|Claro",[1]AUX_CLARO!$A:$C,3,FALSE),""))</f>
        <v>0</v>
      </c>
      <c r="S119" t="str">
        <f t="shared" ca="1" si="6"/>
        <v>Claro mais barata</v>
      </c>
      <c r="T119" t="str">
        <f t="shared" ca="1" si="7"/>
        <v>Mesma velocidade</v>
      </c>
      <c r="U119" s="9">
        <f t="shared" si="8"/>
        <v>46174</v>
      </c>
      <c r="V119" t="str">
        <f ca="1">IF(OR([1]Planilha1!$B119="",[1]Planilha1!$B119="NÃO MAPEADO"),"",TRIM([1]Planilha1!$B119))</f>
        <v>SUDESTE</v>
      </c>
      <c r="W119" t="str">
        <f ca="1">IF([1]Planilha1!$C119="","",TRIM([1]Planilha1!$C119))</f>
        <v>MD 2</v>
      </c>
      <c r="X119" s="12" t="str">
        <f ca="1">IFERROR(VLOOKUP($C119,[1]Planilha2!$B:$H,7,FALSE),"")</f>
        <v>13700-001</v>
      </c>
    </row>
    <row r="120" spans="1:24" x14ac:dyDescent="0.35">
      <c r="A120" t="str">
        <f ca="1">IF(LEFT(TEXT([1]Planilha1!$L120,"0000000"),1)="5","MS","SP")</f>
        <v>SP</v>
      </c>
      <c r="B120" t="str">
        <f ca="1">IF(RIGHT([1]Planilha1!$A120,5)=" - MS",LEFT([1]Planilha1!$A120,LEN([1]Planilha1!$A120)-5),TRIM([1]Planilha1!$A120))</f>
        <v>CASA BRANCA</v>
      </c>
      <c r="C120" s="2">
        <f ca="1">[1]Planilha1!$L120</f>
        <v>3510807</v>
      </c>
      <c r="D120" t="str">
        <f>TRIM([1]Planilha1!$D120)</f>
        <v>Alares</v>
      </c>
      <c r="E120" t="str">
        <f>IF(TRIM([1]Planilha1!$D120)="Claro","Claro","Concorrente")</f>
        <v>Concorrente</v>
      </c>
      <c r="F120" t="s">
        <v>32</v>
      </c>
      <c r="G120" t="str">
        <f t="shared" ca="1" si="0"/>
        <v>Banda Larga + Conteudo</v>
      </c>
      <c r="H120" t="str">
        <f ca="1">TRIM([1]Planilha1!$E120)</f>
        <v>1GB + GLOBOPLAY R$99,90</v>
      </c>
      <c r="I120" t="str">
        <f ca="1">IF([1]Planilha1!$F120="","",TRIM([1]Planilha1!$F120))</f>
        <v>Fibra</v>
      </c>
      <c r="J120" s="3">
        <f ca="1">IF([1]Planilha1!$G120="","",[1]Planilha1!$G120)</f>
        <v>1000</v>
      </c>
      <c r="K120" s="4" t="str" cm="1">
        <f t="array" aca="1" ref="K120" ca="1">IFERROR(VALUE(_xlfn.REGEXEXTRACT([1]Planilha1!$E120,"\+\s*(\d+)GB",2)),"")</f>
        <v/>
      </c>
      <c r="L120" s="5">
        <f ca="1">IF([1]Planilha1!$H120="","",[1]Planilha1!$H120)</f>
        <v>99.9</v>
      </c>
      <c r="M120" s="5" t="str">
        <f ca="1">IF([1]Planilha1!$I120="","",[1]Planilha1!$I120)</f>
        <v/>
      </c>
      <c r="N120" s="2" t="str" cm="1">
        <f t="array" aca="1" ref="N120" ca="1">IFERROR(VALUE(_xlfn.REGEXEXTRACT([1]Planilha1!$E120,"(\d+)\s*MESES",2)),IFERROR(VALUE(_xlfn.REGEXEXTRACT([1]Planilha1!$E120,"por\s*(\d+)\s*M",2)),IF(_xlfn.REGEXTEST([1]Planilha1!$E120,"1[ºª]"),1,"")))</f>
        <v/>
      </c>
      <c r="O120" s="6">
        <f t="shared" ca="1" si="5"/>
        <v>9.9900000000000003E-2</v>
      </c>
      <c r="P120" t="str">
        <f ca="1">IF([1]Planilha1!$J120="","",TRIM([1]Planilha1!$J120))</f>
        <v>GLOBOPLAY</v>
      </c>
      <c r="Q120" s="7">
        <f ca="1">IF($D120="Claro","",IFERROR($L120-VLOOKUP($B120&amp;"|Claro",[1]AUX_CLARO!$A:$C,2,FALSE),""))</f>
        <v>-40</v>
      </c>
      <c r="R120" s="8">
        <f ca="1">IF($D120="Claro","",IFERROR($J120-VLOOKUP($B120&amp;"|Claro",[1]AUX_CLARO!$A:$C,3,FALSE),""))</f>
        <v>400</v>
      </c>
      <c r="S120" t="str">
        <f t="shared" ca="1" si="6"/>
        <v>Claro mais cara</v>
      </c>
      <c r="T120" t="str">
        <f t="shared" ca="1" si="7"/>
        <v>Claro com menor velocidade</v>
      </c>
      <c r="U120" s="9">
        <f t="shared" si="8"/>
        <v>46174</v>
      </c>
      <c r="V120" t="str">
        <f ca="1">IF(OR([1]Planilha1!$B120="",[1]Planilha1!$B120="NÃO MAPEADO"),"",TRIM([1]Planilha1!$B120))</f>
        <v>SUDESTE</v>
      </c>
      <c r="W120" t="str">
        <f ca="1">IF([1]Planilha1!$C120="","",TRIM([1]Planilha1!$C120))</f>
        <v>MD 2</v>
      </c>
      <c r="X120" s="12" t="str">
        <f ca="1">IFERROR(VLOOKUP($C120,[1]Planilha2!$B:$H,7,FALSE),"")</f>
        <v>13700-001</v>
      </c>
    </row>
    <row r="121" spans="1:24" x14ac:dyDescent="0.35">
      <c r="A121" t="str">
        <f ca="1">IF(LEFT(TEXT([1]Planilha1!$L121,"0000000"),1)="5","MS","SP")</f>
        <v>SP</v>
      </c>
      <c r="B121" t="str">
        <f ca="1">IF(RIGHT([1]Planilha1!$A121,5)=" - MS",LEFT([1]Planilha1!$A121,LEN([1]Planilha1!$A121)-5),TRIM([1]Planilha1!$A121))</f>
        <v>CASA BRANCA</v>
      </c>
      <c r="C121" s="2">
        <f ca="1">[1]Planilha1!$L121</f>
        <v>3510807</v>
      </c>
      <c r="D121" t="str">
        <f>TRIM([1]Planilha1!$D121)</f>
        <v>ISP LOCAL</v>
      </c>
      <c r="E121" t="str">
        <f>IF(TRIM([1]Planilha1!$D121)="Claro","Claro","Concorrente")</f>
        <v>Concorrente</v>
      </c>
      <c r="G121" t="str">
        <f t="shared" ca="1" si="0"/>
        <v>Banda Larga + Conteudo</v>
      </c>
      <c r="H121" t="str">
        <f ca="1">TRIM([1]Planilha1!$E121)</f>
        <v>TELECOM - 600M R$59,90, 3 MESES, APÓS R$119,00</v>
      </c>
      <c r="I121" t="str">
        <f ca="1">IF([1]Planilha1!$F121="","",TRIM([1]Planilha1!$F121))</f>
        <v>Fibra</v>
      </c>
      <c r="J121" s="3">
        <f ca="1">IF([1]Planilha1!$G121="","",[1]Planilha1!$G121)</f>
        <v>600</v>
      </c>
      <c r="K121" s="4" t="str" cm="1">
        <f t="array" aca="1" ref="K121" ca="1">IFERROR(VALUE(_xlfn.REGEXEXTRACT([1]Planilha1!$E121,"\+\s*(\d+)GB",2)),"")</f>
        <v/>
      </c>
      <c r="L121" s="5">
        <f ca="1">IF([1]Planilha1!$H121="","",[1]Planilha1!$H121)</f>
        <v>119</v>
      </c>
      <c r="M121" s="5">
        <f ca="1">IF([1]Planilha1!$I121="","",[1]Planilha1!$I121)</f>
        <v>59.9</v>
      </c>
      <c r="N121" s="2" cm="1">
        <f t="array" aca="1" ref="N121" ca="1">IFERROR(VALUE(_xlfn.REGEXEXTRACT([1]Planilha1!$E121,"(\d+)\s*MESES",2)),IFERROR(VALUE(_xlfn.REGEXEXTRACT([1]Planilha1!$E121,"por\s*(\d+)\s*M",2)),IF(_xlfn.REGEXTEST([1]Planilha1!$E121,"1[ºª]"),1,"")))</f>
        <v>3</v>
      </c>
      <c r="O121" s="6">
        <f t="shared" ca="1" si="5"/>
        <v>0.19833333333333333</v>
      </c>
      <c r="P121" t="str">
        <f ca="1">IF([1]Planilha1!$J121="","",TRIM([1]Planilha1!$J121))</f>
        <v>0</v>
      </c>
      <c r="Q121" s="7">
        <f ca="1">IF($D121="Claro","",IFERROR($L121-VLOOKUP($B121&amp;"|Claro",[1]AUX_CLARO!$A:$C,2,FALSE),""))</f>
        <v>-20.900000000000006</v>
      </c>
      <c r="R121" s="8">
        <f ca="1">IF($D121="Claro","",IFERROR($J121-VLOOKUP($B121&amp;"|Claro",[1]AUX_CLARO!$A:$C,3,FALSE),""))</f>
        <v>0</v>
      </c>
      <c r="S121" t="str">
        <f t="shared" ca="1" si="6"/>
        <v>Claro mais cara</v>
      </c>
      <c r="T121" t="str">
        <f t="shared" ca="1" si="7"/>
        <v>Mesma velocidade</v>
      </c>
      <c r="U121" s="9">
        <f t="shared" si="8"/>
        <v>46174</v>
      </c>
      <c r="V121" t="str">
        <f ca="1">IF(OR([1]Planilha1!$B121="",[1]Planilha1!$B121="NÃO MAPEADO"),"",TRIM([1]Planilha1!$B121))</f>
        <v>SUDESTE</v>
      </c>
      <c r="W121" t="str">
        <f ca="1">IF([1]Planilha1!$C121="","",TRIM([1]Planilha1!$C121))</f>
        <v>MD 2</v>
      </c>
      <c r="X121" s="12" t="str">
        <f ca="1">IFERROR(VLOOKUP($C121,[1]Planilha2!$B:$H,7,FALSE),"")</f>
        <v>13700-001</v>
      </c>
    </row>
    <row r="122" spans="1:24" x14ac:dyDescent="0.35">
      <c r="A122" t="str">
        <f ca="1">IF(LEFT(TEXT([1]Planilha1!$L122,"0000000"),1)="5","MS","SP")</f>
        <v>SP</v>
      </c>
      <c r="B122" t="str">
        <f ca="1">IF(RIGHT([1]Planilha1!$A122,5)=" - MS",LEFT([1]Planilha1!$A122,LEN([1]Planilha1!$A122)-5),TRIM([1]Planilha1!$A122))</f>
        <v>CATANDUVA</v>
      </c>
      <c r="C122" s="2">
        <f ca="1">[1]Planilha1!$L122</f>
        <v>3511102</v>
      </c>
      <c r="D122" t="str">
        <f>TRIM([1]Planilha1!$D122)</f>
        <v>Claro</v>
      </c>
      <c r="E122" t="str">
        <f>IF(TRIM([1]Planilha1!$D122)="Claro","Claro","Concorrente")</f>
        <v>Claro</v>
      </c>
      <c r="F122" t="s">
        <v>24</v>
      </c>
      <c r="G122" t="str">
        <f t="shared" ca="1" si="0"/>
        <v>Banda Larga + Movel</v>
      </c>
      <c r="H122" t="str">
        <f ca="1">TRIM([1]Planilha1!$E122)</f>
        <v>600M+100GB=R$109,90 por 6M, após R$139,90</v>
      </c>
      <c r="I122" t="str">
        <f ca="1">IF([1]Planilha1!$F122="","",TRIM([1]Planilha1!$F122))</f>
        <v>Fibra</v>
      </c>
      <c r="J122" s="3">
        <f ca="1">IF([1]Planilha1!$G122="","",[1]Planilha1!$G122)</f>
        <v>600</v>
      </c>
      <c r="K122" s="4" cm="1">
        <f t="array" aca="1" ref="K122" ca="1">IFERROR(VALUE(_xlfn.REGEXEXTRACT([1]Planilha1!$E122,"\+\s*(\d+)GB",2)),"")</f>
        <v>100</v>
      </c>
      <c r="L122" s="5">
        <f ca="1">IF([1]Planilha1!$H122="","",[1]Planilha1!$H122)</f>
        <v>139.9</v>
      </c>
      <c r="M122" s="5">
        <f ca="1">IF([1]Planilha1!$I122="","",[1]Planilha1!$I122)</f>
        <v>109.9</v>
      </c>
      <c r="N122" s="2" cm="1">
        <f t="array" aca="1" ref="N122" ca="1">IFERROR(VALUE(_xlfn.REGEXEXTRACT([1]Planilha1!$E122,"(\d+)\s*MESES",2)),IFERROR(VALUE(_xlfn.REGEXEXTRACT([1]Planilha1!$E122,"por\s*(\d+)\s*M",2)),IF(_xlfn.REGEXTEST([1]Planilha1!$E122,"1[ºª]"),1,"")))</f>
        <v>6</v>
      </c>
      <c r="O122" s="6">
        <f t="shared" ca="1" si="5"/>
        <v>0.23316666666666669</v>
      </c>
      <c r="P122" t="str">
        <f ca="1">IF([1]Planilha1!$J122="","",TRIM([1]Planilha1!$J122))</f>
        <v>GLOBOPLAY</v>
      </c>
      <c r="Q122" s="7" t="str">
        <f>IF($D122="Claro","",IFERROR($L122-VLOOKUP($B122&amp;"|Claro",[1]AUX_CLARO!$A:$C,2,FALSE),""))</f>
        <v/>
      </c>
      <c r="R122" s="8" t="str">
        <f>IF($D122="Claro","",IFERROR($J122-VLOOKUP($B122&amp;"|Claro",[1]AUX_CLARO!$A:$C,3,FALSE),""))</f>
        <v/>
      </c>
      <c r="S122" t="str">
        <f t="shared" si="6"/>
        <v/>
      </c>
      <c r="T122" t="str">
        <f t="shared" si="7"/>
        <v/>
      </c>
      <c r="U122" s="9">
        <f t="shared" si="8"/>
        <v>46174</v>
      </c>
      <c r="V122" t="str">
        <f ca="1">IF(OR([1]Planilha1!$B122="",[1]Planilha1!$B122="NÃO MAPEADO"),"",TRIM([1]Planilha1!$B122))</f>
        <v>NOROESTE</v>
      </c>
      <c r="W122" t="str">
        <f ca="1">IF([1]Planilha1!$C122="","",TRIM([1]Planilha1!$C122))</f>
        <v>MD 2</v>
      </c>
      <c r="X122" t="str">
        <f ca="1">IFERROR(VLOOKUP($C122,[1]Planilha2!$B:$H,7,FALSE),"")</f>
        <v>15800-001</v>
      </c>
    </row>
    <row r="123" spans="1:24" x14ac:dyDescent="0.35">
      <c r="A123" t="str">
        <f ca="1">IF(LEFT(TEXT([1]Planilha1!$L123,"0000000"),1)="5","MS","SP")</f>
        <v>SP</v>
      </c>
      <c r="B123" t="str">
        <f ca="1">IF(RIGHT([1]Planilha1!$A123,5)=" - MS",LEFT([1]Planilha1!$A123,LEN([1]Planilha1!$A123)-5),TRIM([1]Planilha1!$A123))</f>
        <v>CATANDUVA</v>
      </c>
      <c r="C123" s="2">
        <f ca="1">[1]Planilha1!$L123</f>
        <v>3511102</v>
      </c>
      <c r="D123" t="str">
        <f>TRIM([1]Planilha1!$D123)</f>
        <v>Vivo</v>
      </c>
      <c r="E123" t="str">
        <f>IF(TRIM([1]Planilha1!$D123)="Claro","Claro","Concorrente")</f>
        <v>Concorrente</v>
      </c>
      <c r="F123" t="s">
        <v>25</v>
      </c>
      <c r="G123" t="str">
        <f t="shared" ca="1" si="0"/>
        <v>Banda Larga + Movel</v>
      </c>
      <c r="H123" t="s">
        <v>26</v>
      </c>
      <c r="I123" t="str">
        <f ca="1">IF([1]Planilha1!$F123="","",TRIM([1]Planilha1!$F123))</f>
        <v>Fibra</v>
      </c>
      <c r="J123" s="11" t="s">
        <v>27</v>
      </c>
      <c r="K123" s="4" cm="1">
        <f t="array" aca="1" ref="K123" ca="1">IFERROR(VALUE(_xlfn.REGEXEXTRACT([1]Planilha1!$E123,"\+\s*(\d+)GB",2)),"")</f>
        <v>70</v>
      </c>
      <c r="L123" s="5">
        <v>160</v>
      </c>
      <c r="M123" s="5" t="str">
        <f ca="1">IF([1]Planilha1!$I123="","",[1]Planilha1!$I123)</f>
        <v/>
      </c>
      <c r="N123" s="2" t="str" cm="1">
        <f t="array" aca="1" ref="N123" ca="1">IFERROR(VALUE(_xlfn.REGEXEXTRACT([1]Planilha1!$E123,"(\d+)\s*MESES",2)),IFERROR(VALUE(_xlfn.REGEXEXTRACT([1]Planilha1!$E123,"por\s*(\d+)\s*M",2)),IF(_xlfn.REGEXTEST([1]Planilha1!$E123,"1[ºª]"),1,"")))</f>
        <v/>
      </c>
      <c r="O123" s="6" t="str">
        <f t="shared" si="5"/>
        <v/>
      </c>
      <c r="P123" t="str">
        <f ca="1">IF([1]Planilha1!$J123="","",TRIM([1]Planilha1!$J123))</f>
        <v>0</v>
      </c>
      <c r="Q123" s="7">
        <f ca="1">IF($D123="Claro","",IFERROR($L123-VLOOKUP($B123&amp;"|Claro",[1]AUX_CLARO!$A:$C,2,FALSE),""))</f>
        <v>20.099999999999994</v>
      </c>
      <c r="R123" s="8" t="str">
        <f ca="1">IF($D123="Claro","",IFERROR($J123-VLOOKUP($B123&amp;"|Claro",[1]AUX_CLARO!$A:$C,3,FALSE),""))</f>
        <v/>
      </c>
      <c r="S123" t="str">
        <f t="shared" ca="1" si="6"/>
        <v>Claro mais barata</v>
      </c>
      <c r="T123" t="str">
        <f t="shared" ca="1" si="7"/>
        <v/>
      </c>
      <c r="U123" s="9">
        <f t="shared" si="8"/>
        <v>46174</v>
      </c>
      <c r="V123" t="str">
        <f ca="1">IF(OR([1]Planilha1!$B123="",[1]Planilha1!$B123="NÃO MAPEADO"),"",TRIM([1]Planilha1!$B123))</f>
        <v>NOROESTE</v>
      </c>
      <c r="W123" t="str">
        <f ca="1">IF([1]Planilha1!$C123="","",TRIM([1]Planilha1!$C123))</f>
        <v>MD 2</v>
      </c>
      <c r="X123" t="str">
        <f ca="1">IFERROR(VLOOKUP($C123,[1]Planilha2!$B:$H,7,FALSE),"")</f>
        <v>15800-001</v>
      </c>
    </row>
    <row r="124" spans="1:24" x14ac:dyDescent="0.35">
      <c r="A124" t="str">
        <f ca="1">IF(LEFT(TEXT([1]Planilha1!$L124,"0000000"),1)="5","MS","SP")</f>
        <v>SP</v>
      </c>
      <c r="B124" t="str">
        <f ca="1">IF(RIGHT([1]Planilha1!$A124,5)=" - MS",LEFT([1]Planilha1!$A124,LEN([1]Planilha1!$A124)-5),TRIM([1]Planilha1!$A124))</f>
        <v>CATANDUVA</v>
      </c>
      <c r="C124" s="2">
        <f ca="1">[1]Planilha1!$L124</f>
        <v>3511102</v>
      </c>
      <c r="D124" t="str">
        <f>TRIM([1]Planilha1!$D124)</f>
        <v>Weclix</v>
      </c>
      <c r="E124" t="str">
        <f>IF(TRIM([1]Planilha1!$D124)="Claro","Claro","Concorrente")</f>
        <v>Concorrente</v>
      </c>
      <c r="F124" t="s">
        <v>34</v>
      </c>
      <c r="G124" t="str">
        <f t="shared" ca="1" si="0"/>
        <v>Banda Larga + Conteudo</v>
      </c>
      <c r="H124" t="str">
        <f ca="1">TRIM([1]Planilha1!$E124)</f>
        <v>1GB R$59,90 - 1ª MENSALIDADE, APÓS R$99,90</v>
      </c>
      <c r="I124" t="str">
        <f ca="1">IF([1]Planilha1!$F124="","",TRIM([1]Planilha1!$F124))</f>
        <v>Fibra</v>
      </c>
      <c r="J124" s="3">
        <f ca="1">IF([1]Planilha1!$G124="","",[1]Planilha1!$G124)</f>
        <v>1000</v>
      </c>
      <c r="K124" s="4" t="str" cm="1">
        <f t="array" aca="1" ref="K124" ca="1">IFERROR(VALUE(_xlfn.REGEXEXTRACT([1]Planilha1!$E124,"\+\s*(\d+)GB",2)),"")</f>
        <v/>
      </c>
      <c r="L124" s="5">
        <f ca="1">IF([1]Planilha1!$H124="","",[1]Planilha1!$H124)</f>
        <v>99.9</v>
      </c>
      <c r="M124" s="5">
        <f ca="1">IF([1]Planilha1!$I124="","",[1]Planilha1!$I124)</f>
        <v>59.9</v>
      </c>
      <c r="N124" s="2" cm="1">
        <f t="array" aca="1" ref="N124" ca="1">IFERROR(VALUE(_xlfn.REGEXEXTRACT([1]Planilha1!$E124,"(\d+)\s*MESES",2)),IFERROR(VALUE(_xlfn.REGEXEXTRACT([1]Planilha1!$E124,"por\s*(\d+)\s*M",2)),IF(_xlfn.REGEXTEST([1]Planilha1!$E124,"1[ºª]"),1,"")))</f>
        <v>1</v>
      </c>
      <c r="O124" s="6">
        <f t="shared" ca="1" si="5"/>
        <v>9.9900000000000003E-2</v>
      </c>
      <c r="P124" t="str">
        <f ca="1">IF([1]Planilha1!$J124="","",TRIM([1]Planilha1!$J124))</f>
        <v>0</v>
      </c>
      <c r="Q124" s="7">
        <f ca="1">IF($D124="Claro","",IFERROR($L124-VLOOKUP($B124&amp;"|Claro",[1]AUX_CLARO!$A:$C,2,FALSE),""))</f>
        <v>-40</v>
      </c>
      <c r="R124" s="8">
        <f ca="1">IF($D124="Claro","",IFERROR($J124-VLOOKUP($B124&amp;"|Claro",[1]AUX_CLARO!$A:$C,3,FALSE),""))</f>
        <v>400</v>
      </c>
      <c r="S124" t="str">
        <f t="shared" ca="1" si="6"/>
        <v>Claro mais cara</v>
      </c>
      <c r="T124" t="str">
        <f t="shared" ca="1" si="7"/>
        <v>Claro com menor velocidade</v>
      </c>
      <c r="U124" s="9">
        <f t="shared" si="8"/>
        <v>46174</v>
      </c>
      <c r="V124" t="str">
        <f ca="1">IF(OR([1]Planilha1!$B124="",[1]Planilha1!$B124="NÃO MAPEADO"),"",TRIM([1]Planilha1!$B124))</f>
        <v>NOROESTE</v>
      </c>
      <c r="W124" t="str">
        <f ca="1">IF([1]Planilha1!$C124="","",TRIM([1]Planilha1!$C124))</f>
        <v>MD 2</v>
      </c>
      <c r="X124" t="str">
        <f ca="1">IFERROR(VLOOKUP($C124,[1]Planilha2!$B:$H,7,FALSE),"")</f>
        <v>15800-001</v>
      </c>
    </row>
    <row r="125" spans="1:24" x14ac:dyDescent="0.35">
      <c r="A125" t="str">
        <f ca="1">IF(LEFT(TEXT([1]Planilha1!$L125,"0000000"),1)="5","MS","SP")</f>
        <v>SP</v>
      </c>
      <c r="B125" t="str">
        <f ca="1">IF(RIGHT([1]Planilha1!$A125,5)=" - MS",LEFT([1]Planilha1!$A125,LEN([1]Planilha1!$A125)-5),TRIM([1]Planilha1!$A125))</f>
        <v>CATANDUVA</v>
      </c>
      <c r="C125" s="2">
        <f ca="1">[1]Planilha1!$L125</f>
        <v>3511102</v>
      </c>
      <c r="D125" t="str">
        <f>TRIM([1]Planilha1!$D125)</f>
        <v>ISP LOCAL</v>
      </c>
      <c r="E125" t="str">
        <f>IF(TRIM([1]Planilha1!$D125)="Claro","Claro","Concorrente")</f>
        <v>Concorrente</v>
      </c>
      <c r="F125" t="s">
        <v>53</v>
      </c>
      <c r="G125" t="str">
        <f t="shared" ca="1" si="0"/>
        <v>Banda Larga + Conteudo</v>
      </c>
      <c r="H125" t="str">
        <f ca="1">TRIM([1]Planilha1!$E125)</f>
        <v>NETFLEX - 1GB R$99,99</v>
      </c>
      <c r="I125" t="str">
        <f ca="1">IF([1]Planilha1!$F125="","",TRIM([1]Planilha1!$F125))</f>
        <v>Fibra</v>
      </c>
      <c r="J125" s="3">
        <f ca="1">IF([1]Planilha1!$G125="","",[1]Planilha1!$G125)</f>
        <v>1000</v>
      </c>
      <c r="K125" s="4" t="str" cm="1">
        <f t="array" aca="1" ref="K125" ca="1">IFERROR(VALUE(_xlfn.REGEXEXTRACT([1]Planilha1!$E125,"\+\s*(\d+)GB",2)),"")</f>
        <v/>
      </c>
      <c r="L125" s="5">
        <f ca="1">IF([1]Planilha1!$H125="","",[1]Planilha1!$H125)</f>
        <v>99.99</v>
      </c>
      <c r="M125" s="5" t="str">
        <f ca="1">IF([1]Planilha1!$I125="","",[1]Planilha1!$I125)</f>
        <v/>
      </c>
      <c r="N125" s="2" t="str" cm="1">
        <f t="array" aca="1" ref="N125" ca="1">IFERROR(VALUE(_xlfn.REGEXEXTRACT([1]Planilha1!$E125,"(\d+)\s*MESES",2)),IFERROR(VALUE(_xlfn.REGEXEXTRACT([1]Planilha1!$E125,"por\s*(\d+)\s*M",2)),IF(_xlfn.REGEXTEST([1]Planilha1!$E125,"1[ºª]"),1,"")))</f>
        <v/>
      </c>
      <c r="O125" s="6">
        <f t="shared" ca="1" si="5"/>
        <v>9.9989999999999996E-2</v>
      </c>
      <c r="P125" t="str">
        <f ca="1">IF([1]Planilha1!$J125="","",TRIM([1]Planilha1!$J125))</f>
        <v>0</v>
      </c>
      <c r="Q125" s="7">
        <f ca="1">IF($D125="Claro","",IFERROR($L125-VLOOKUP($B125&amp;"|Claro",[1]AUX_CLARO!$A:$C,2,FALSE),""))</f>
        <v>-39.910000000000011</v>
      </c>
      <c r="R125" s="8">
        <f ca="1">IF($D125="Claro","",IFERROR($J125-VLOOKUP($B125&amp;"|Claro",[1]AUX_CLARO!$A:$C,3,FALSE),""))</f>
        <v>400</v>
      </c>
      <c r="S125" t="str">
        <f t="shared" ca="1" si="6"/>
        <v>Claro mais cara</v>
      </c>
      <c r="T125" t="str">
        <f t="shared" ca="1" si="7"/>
        <v>Claro com menor velocidade</v>
      </c>
      <c r="U125" s="9">
        <f t="shared" si="8"/>
        <v>46174</v>
      </c>
      <c r="V125" t="str">
        <f ca="1">IF(OR([1]Planilha1!$B125="",[1]Planilha1!$B125="NÃO MAPEADO"),"",TRIM([1]Planilha1!$B125))</f>
        <v>NOROESTE</v>
      </c>
      <c r="W125" t="str">
        <f ca="1">IF([1]Planilha1!$C125="","",TRIM([1]Planilha1!$C125))</f>
        <v>MD 2</v>
      </c>
      <c r="X125" t="str">
        <f ca="1">IFERROR(VLOOKUP($C125,[1]Planilha2!$B:$H,7,FALSE),"")</f>
        <v>15800-001</v>
      </c>
    </row>
    <row r="126" spans="1:24" x14ac:dyDescent="0.35">
      <c r="A126" t="str">
        <f ca="1">IF(LEFT(TEXT([1]Planilha1!$L126,"0000000"),1)="5","MS","SP")</f>
        <v>SP</v>
      </c>
      <c r="B126" t="str">
        <f ca="1">IF(RIGHT([1]Planilha1!$A126,5)=" - MS",LEFT([1]Planilha1!$A126,LEN([1]Planilha1!$A126)-5),TRIM([1]Planilha1!$A126))</f>
        <v>CERQUILHO</v>
      </c>
      <c r="C126" s="2">
        <f ca="1">[1]Planilha1!$L126</f>
        <v>3511508</v>
      </c>
      <c r="D126" t="str">
        <f>TRIM([1]Planilha1!$D126)</f>
        <v>Claro</v>
      </c>
      <c r="E126" t="str">
        <f>IF(TRIM([1]Planilha1!$D126)="Claro","Claro","Concorrente")</f>
        <v>Claro</v>
      </c>
      <c r="F126" t="s">
        <v>24</v>
      </c>
      <c r="G126" t="str">
        <f t="shared" ca="1" si="0"/>
        <v>Banda Larga + Movel</v>
      </c>
      <c r="H126" t="str">
        <f ca="1">TRIM([1]Planilha1!$E126)</f>
        <v>600M+100GB=R$109,90 por 6M, após R$139,90</v>
      </c>
      <c r="I126" t="str">
        <f ca="1">IF([1]Planilha1!$F126="","",TRIM([1]Planilha1!$F126))</f>
        <v>Fibra</v>
      </c>
      <c r="J126" s="3">
        <f ca="1">IF([1]Planilha1!$G126="","",[1]Planilha1!$G126)</f>
        <v>600</v>
      </c>
      <c r="K126" s="4" cm="1">
        <f t="array" aca="1" ref="K126" ca="1">IFERROR(VALUE(_xlfn.REGEXEXTRACT([1]Planilha1!$E126,"\+\s*(\d+)GB",2)),"")</f>
        <v>100</v>
      </c>
      <c r="L126" s="5">
        <f ca="1">IF([1]Planilha1!$H126="","",[1]Planilha1!$H126)</f>
        <v>139.9</v>
      </c>
      <c r="M126" s="5">
        <f ca="1">IF([1]Planilha1!$I126="","",[1]Planilha1!$I126)</f>
        <v>109.9</v>
      </c>
      <c r="N126" s="2" cm="1">
        <f t="array" aca="1" ref="N126" ca="1">IFERROR(VALUE(_xlfn.REGEXEXTRACT([1]Planilha1!$E126,"(\d+)\s*MESES",2)),IFERROR(VALUE(_xlfn.REGEXEXTRACT([1]Planilha1!$E126,"por\s*(\d+)\s*M",2)),IF(_xlfn.REGEXTEST([1]Planilha1!$E126,"1[ºª]"),1,"")))</f>
        <v>6</v>
      </c>
      <c r="O126" s="6">
        <f t="shared" ca="1" si="5"/>
        <v>0.23316666666666669</v>
      </c>
      <c r="P126" t="str">
        <f ca="1">IF([1]Planilha1!$J126="","",TRIM([1]Planilha1!$J126))</f>
        <v>GLOBOPLAY</v>
      </c>
      <c r="Q126" s="7" t="str">
        <f>IF($D126="Claro","",IFERROR($L126-VLOOKUP($B126&amp;"|Claro",[1]AUX_CLARO!$A:$C,2,FALSE),""))</f>
        <v/>
      </c>
      <c r="R126" s="8" t="str">
        <f>IF($D126="Claro","",IFERROR($J126-VLOOKUP($B126&amp;"|Claro",[1]AUX_CLARO!$A:$C,3,FALSE),""))</f>
        <v/>
      </c>
      <c r="S126" t="str">
        <f t="shared" si="6"/>
        <v/>
      </c>
      <c r="T126" t="str">
        <f t="shared" si="7"/>
        <v/>
      </c>
      <c r="U126" s="9">
        <f t="shared" si="8"/>
        <v>46174</v>
      </c>
      <c r="V126" t="str">
        <f ca="1">IF(OR([1]Planilha1!$B126="",[1]Planilha1!$B126="NÃO MAPEADO"),"",TRIM([1]Planilha1!$B126))</f>
        <v>SUDESTE</v>
      </c>
      <c r="W126" t="str">
        <f ca="1">IF([1]Planilha1!$C126="","",TRIM([1]Planilha1!$C126))</f>
        <v>MD 2</v>
      </c>
      <c r="X126" s="12" t="str">
        <f ca="1">IFERROR(VLOOKUP($C126,[1]Planilha2!$B:$H,7,FALSE),"")</f>
        <v>18520-001</v>
      </c>
    </row>
    <row r="127" spans="1:24" x14ac:dyDescent="0.35">
      <c r="A127" t="str">
        <f ca="1">IF(LEFT(TEXT([1]Planilha1!$L127,"0000000"),1)="5","MS","SP")</f>
        <v>SP</v>
      </c>
      <c r="B127" t="str">
        <f ca="1">IF(RIGHT([1]Planilha1!$A127,5)=" - MS",LEFT([1]Planilha1!$A127,LEN([1]Planilha1!$A127)-5),TRIM([1]Planilha1!$A127))</f>
        <v>CERQUILHO</v>
      </c>
      <c r="C127" s="2">
        <f ca="1">[1]Planilha1!$L127</f>
        <v>3511508</v>
      </c>
      <c r="D127" t="str">
        <f>TRIM([1]Planilha1!$D127)</f>
        <v>Desktop</v>
      </c>
      <c r="E127" t="str">
        <f>IF(TRIM([1]Planilha1!$D127)="Claro","Claro","Concorrente")</f>
        <v>Concorrente</v>
      </c>
      <c r="F127" t="s">
        <v>29</v>
      </c>
      <c r="G127" t="str">
        <f t="shared" ca="1" si="0"/>
        <v>Banda Larga + Movel</v>
      </c>
      <c r="H127" t="str">
        <f ca="1">TRIM([1]Planilha1!$E127)</f>
        <v>600M+15GB=R$129,99 - 6 MESES, APÓS R$139,99</v>
      </c>
      <c r="I127" t="str">
        <f ca="1">IF([1]Planilha1!$F127="","",TRIM([1]Planilha1!$F127))</f>
        <v>Fibra</v>
      </c>
      <c r="J127" s="3">
        <f ca="1">IF([1]Planilha1!$G127="","",[1]Planilha1!$G127)</f>
        <v>600</v>
      </c>
      <c r="K127" s="4" cm="1">
        <f t="array" aca="1" ref="K127" ca="1">IFERROR(VALUE(_xlfn.REGEXEXTRACT([1]Planilha1!$E127,"\+\s*(\d+)GB",2)),"")</f>
        <v>15</v>
      </c>
      <c r="L127" s="5">
        <f ca="1">IF([1]Planilha1!$H127="","",[1]Planilha1!$H127)</f>
        <v>139.99</v>
      </c>
      <c r="M127" s="5">
        <f ca="1">IF([1]Planilha1!$I127="","",[1]Planilha1!$I127)</f>
        <v>129.99</v>
      </c>
      <c r="N127" s="2" cm="1">
        <f t="array" aca="1" ref="N127" ca="1">IFERROR(VALUE(_xlfn.REGEXEXTRACT([1]Planilha1!$E127,"(\d+)\s*MESES",2)),IFERROR(VALUE(_xlfn.REGEXEXTRACT([1]Planilha1!$E127,"por\s*(\d+)\s*M",2)),IF(_xlfn.REGEXTEST([1]Planilha1!$E127,"1[ºª]"),1,"")))</f>
        <v>6</v>
      </c>
      <c r="O127" s="6">
        <f t="shared" ca="1" si="5"/>
        <v>0.23331666666666667</v>
      </c>
      <c r="P127" t="str">
        <f ca="1">IF([1]Planilha1!$J127="","",TRIM([1]Planilha1!$J127))</f>
        <v>0</v>
      </c>
      <c r="Q127" s="7">
        <f ca="1">IF($D127="Claro","",IFERROR($L127-VLOOKUP($B127&amp;"|Claro",[1]AUX_CLARO!$A:$C,2,FALSE),""))</f>
        <v>9.0000000000003411E-2</v>
      </c>
      <c r="R127" s="8">
        <f ca="1">IF($D127="Claro","",IFERROR($J127-VLOOKUP($B127&amp;"|Claro",[1]AUX_CLARO!$A:$C,3,FALSE),""))</f>
        <v>0</v>
      </c>
      <c r="S127" t="str">
        <f t="shared" ca="1" si="6"/>
        <v>Claro mais barata</v>
      </c>
      <c r="T127" t="str">
        <f t="shared" ca="1" si="7"/>
        <v>Mesma velocidade</v>
      </c>
      <c r="U127" s="9">
        <f t="shared" si="8"/>
        <v>46174</v>
      </c>
      <c r="V127" t="str">
        <f ca="1">IF(OR([1]Planilha1!$B127="",[1]Planilha1!$B127="NÃO MAPEADO"),"",TRIM([1]Planilha1!$B127))</f>
        <v>SUDESTE</v>
      </c>
      <c r="W127" t="str">
        <f ca="1">IF([1]Planilha1!$C127="","",TRIM([1]Planilha1!$C127))</f>
        <v>MD 2</v>
      </c>
      <c r="X127" s="12" t="str">
        <f ca="1">IFERROR(VLOOKUP($C127,[1]Planilha2!$B:$H,7,FALSE),"")</f>
        <v>18520-001</v>
      </c>
    </row>
    <row r="128" spans="1:24" x14ac:dyDescent="0.35">
      <c r="A128" t="str">
        <f ca="1">IF(LEFT(TEXT([1]Planilha1!$L128,"0000000"),1)="5","MS","SP")</f>
        <v>SP</v>
      </c>
      <c r="B128" t="str">
        <f ca="1">IF(RIGHT([1]Planilha1!$A128,5)=" - MS",LEFT([1]Planilha1!$A128,LEN([1]Planilha1!$A128)-5),TRIM([1]Planilha1!$A128))</f>
        <v>CERQUILHO</v>
      </c>
      <c r="C128" s="2">
        <f ca="1">[1]Planilha1!$L128</f>
        <v>3511508</v>
      </c>
      <c r="D128" t="str">
        <f>TRIM([1]Planilha1!$D128)</f>
        <v>ISP LOCAL</v>
      </c>
      <c r="E128" t="str">
        <f>IF(TRIM([1]Planilha1!$D128)="Claro","Claro","Concorrente")</f>
        <v>Concorrente</v>
      </c>
      <c r="F128" t="s">
        <v>42</v>
      </c>
      <c r="G128" t="str">
        <f t="shared" ca="1" si="0"/>
        <v>Banda Larga + Conteudo</v>
      </c>
      <c r="H128" t="str">
        <f ca="1">TRIM([1]Planilha1!$E128)</f>
        <v>ZAAZ - 600M R$99,90</v>
      </c>
      <c r="I128" t="str">
        <f ca="1">IF([1]Planilha1!$F128="","",TRIM([1]Planilha1!$F128))</f>
        <v>Fibra</v>
      </c>
      <c r="J128" s="3">
        <f ca="1">IF([1]Planilha1!$G128="","",[1]Planilha1!$G128)</f>
        <v>600</v>
      </c>
      <c r="K128" s="4" t="str" cm="1">
        <f t="array" aca="1" ref="K128" ca="1">IFERROR(VALUE(_xlfn.REGEXEXTRACT([1]Planilha1!$E128,"\+\s*(\d+)GB",2)),"")</f>
        <v/>
      </c>
      <c r="L128" s="5">
        <f ca="1">IF([1]Planilha1!$H128="","",[1]Planilha1!$H128)</f>
        <v>99.9</v>
      </c>
      <c r="M128" s="5" t="str">
        <f ca="1">IF([1]Planilha1!$I128="","",[1]Planilha1!$I128)</f>
        <v/>
      </c>
      <c r="N128" s="2" t="str" cm="1">
        <f t="array" aca="1" ref="N128" ca="1">IFERROR(VALUE(_xlfn.REGEXEXTRACT([1]Planilha1!$E128,"(\d+)\s*MESES",2)),IFERROR(VALUE(_xlfn.REGEXEXTRACT([1]Planilha1!$E128,"por\s*(\d+)\s*M",2)),IF(_xlfn.REGEXTEST([1]Planilha1!$E128,"1[ºª]"),1,"")))</f>
        <v/>
      </c>
      <c r="O128" s="6">
        <f t="shared" ca="1" si="5"/>
        <v>0.16650000000000001</v>
      </c>
      <c r="P128" t="str">
        <f ca="1">IF([1]Planilha1!$J128="","",TRIM([1]Planilha1!$J128))</f>
        <v>0</v>
      </c>
      <c r="Q128" s="7">
        <f ca="1">IF($D128="Claro","",IFERROR($L128-VLOOKUP($B128&amp;"|Claro",[1]AUX_CLARO!$A:$C,2,FALSE),""))</f>
        <v>-40</v>
      </c>
      <c r="R128" s="8">
        <f ca="1">IF($D128="Claro","",IFERROR($J128-VLOOKUP($B128&amp;"|Claro",[1]AUX_CLARO!$A:$C,3,FALSE),""))</f>
        <v>0</v>
      </c>
      <c r="S128" t="str">
        <f t="shared" ca="1" si="6"/>
        <v>Claro mais cara</v>
      </c>
      <c r="T128" t="str">
        <f t="shared" ca="1" si="7"/>
        <v>Mesma velocidade</v>
      </c>
      <c r="U128" s="9">
        <f t="shared" si="8"/>
        <v>46174</v>
      </c>
      <c r="V128" t="str">
        <f ca="1">IF(OR([1]Planilha1!$B128="",[1]Planilha1!$B128="NÃO MAPEADO"),"",TRIM([1]Planilha1!$B128))</f>
        <v>SUDESTE</v>
      </c>
      <c r="W128" t="str">
        <f ca="1">IF([1]Planilha1!$C128="","",TRIM([1]Planilha1!$C128))</f>
        <v>MD 2</v>
      </c>
      <c r="X128" s="12" t="str">
        <f ca="1">IFERROR(VLOOKUP($C128,[1]Planilha2!$B:$H,7,FALSE),"")</f>
        <v>18520-001</v>
      </c>
    </row>
    <row r="129" spans="1:24" x14ac:dyDescent="0.35">
      <c r="A129" t="str">
        <f ca="1">IF(LEFT(TEXT([1]Planilha1!$L129,"0000000"),1)="5","MS","SP")</f>
        <v>SP</v>
      </c>
      <c r="B129" t="str">
        <f ca="1">IF(RIGHT([1]Planilha1!$A129,5)=" - MS",LEFT([1]Planilha1!$A129,LEN([1]Planilha1!$A129)-5),TRIM([1]Planilha1!$A129))</f>
        <v>CORDEIROPOLIS</v>
      </c>
      <c r="C129" s="2">
        <f ca="1">[1]Planilha1!$L129</f>
        <v>3512407</v>
      </c>
      <c r="D129" t="str">
        <f>TRIM([1]Planilha1!$D129)</f>
        <v>Claro</v>
      </c>
      <c r="E129" t="str">
        <f>IF(TRIM([1]Planilha1!$D129)="Claro","Claro","Concorrente")</f>
        <v>Claro</v>
      </c>
      <c r="F129" t="s">
        <v>24</v>
      </c>
      <c r="G129" t="str">
        <f t="shared" ca="1" si="0"/>
        <v>Banda Larga + Movel</v>
      </c>
      <c r="H129" t="str">
        <f ca="1">TRIM([1]Planilha1!$E129)</f>
        <v>600M+100GB=R$119,90 por 3M, após R$159,90</v>
      </c>
      <c r="I129" t="str">
        <f ca="1">IF([1]Planilha1!$F129="","",TRIM([1]Planilha1!$F129))</f>
        <v>Fibra</v>
      </c>
      <c r="J129" s="3">
        <f ca="1">IF([1]Planilha1!$G129="","",[1]Planilha1!$G129)</f>
        <v>600</v>
      </c>
      <c r="K129" s="4" cm="1">
        <f t="array" aca="1" ref="K129" ca="1">IFERROR(VALUE(_xlfn.REGEXEXTRACT([1]Planilha1!$E129,"\+\s*(\d+)GB",2)),"")</f>
        <v>100</v>
      </c>
      <c r="L129" s="5">
        <f ca="1">IF([1]Planilha1!$H129="","",[1]Planilha1!$H129)</f>
        <v>159.9</v>
      </c>
      <c r="M129" s="5">
        <f ca="1">IF([1]Planilha1!$I129="","",[1]Planilha1!$I129)</f>
        <v>119.9</v>
      </c>
      <c r="N129" s="2" cm="1">
        <f t="array" aca="1" ref="N129" ca="1">IFERROR(VALUE(_xlfn.REGEXEXTRACT([1]Planilha1!$E129,"(\d+)\s*MESES",2)),IFERROR(VALUE(_xlfn.REGEXEXTRACT([1]Planilha1!$E129,"por\s*(\d+)\s*M",2)),IF(_xlfn.REGEXTEST([1]Planilha1!$E129,"1[ºª]"),1,"")))</f>
        <v>3</v>
      </c>
      <c r="O129" s="6">
        <f t="shared" ca="1" si="5"/>
        <v>0.26650000000000001</v>
      </c>
      <c r="P129" t="str">
        <f ca="1">IF([1]Planilha1!$J129="","",TRIM([1]Planilha1!$J129))</f>
        <v>GLOBOPLAY</v>
      </c>
      <c r="Q129" s="7" t="str">
        <f>IF($D129="Claro","",IFERROR($L129-VLOOKUP($B129&amp;"|Claro",[1]AUX_CLARO!$A:$C,2,FALSE),""))</f>
        <v/>
      </c>
      <c r="R129" s="8" t="str">
        <f>IF($D129="Claro","",IFERROR($J129-VLOOKUP($B129&amp;"|Claro",[1]AUX_CLARO!$A:$C,3,FALSE),""))</f>
        <v/>
      </c>
      <c r="S129" t="str">
        <f t="shared" si="6"/>
        <v/>
      </c>
      <c r="T129" t="str">
        <f t="shared" si="7"/>
        <v/>
      </c>
      <c r="U129" s="9">
        <f t="shared" si="8"/>
        <v>46174</v>
      </c>
      <c r="V129" t="str">
        <f ca="1">IF(OR([1]Planilha1!$B129="",[1]Planilha1!$B129="NÃO MAPEADO"),"",TRIM([1]Planilha1!$B129))</f>
        <v>CENTRAL</v>
      </c>
      <c r="W129" t="str">
        <f ca="1">IF([1]Planilha1!$C129="","",TRIM([1]Planilha1!$C129))</f>
        <v>ESPECIAL</v>
      </c>
      <c r="X129" t="str">
        <f ca="1">IFERROR(VLOOKUP($C129,[1]Planilha2!$B:$H,7,FALSE),"")</f>
        <v>13490-001</v>
      </c>
    </row>
    <row r="130" spans="1:24" x14ac:dyDescent="0.35">
      <c r="A130" t="str">
        <f ca="1">IF(LEFT(TEXT([1]Planilha1!$L130,"0000000"),1)="5","MS","SP")</f>
        <v>SP</v>
      </c>
      <c r="B130" t="str">
        <f ca="1">IF(RIGHT([1]Planilha1!$A130,5)=" - MS",LEFT([1]Planilha1!$A130,LEN([1]Planilha1!$A130)-5),TRIM([1]Planilha1!$A130))</f>
        <v>CORDEIROPOLIS</v>
      </c>
      <c r="C130" s="2">
        <f ca="1">[1]Planilha1!$L130</f>
        <v>3512407</v>
      </c>
      <c r="D130" t="str">
        <f>TRIM([1]Planilha1!$D130)</f>
        <v>Desktop</v>
      </c>
      <c r="E130" t="str">
        <f>IF(TRIM([1]Planilha1!$D130)="Claro","Claro","Concorrente")</f>
        <v>Concorrente</v>
      </c>
      <c r="F130" t="s">
        <v>29</v>
      </c>
      <c r="G130" t="str">
        <f t="shared" ca="1" si="0"/>
        <v>Banda Larga + Movel</v>
      </c>
      <c r="H130" t="str">
        <f ca="1">TRIM([1]Planilha1!$E130)</f>
        <v>600M+15GB=R$129,99 - 6 MESES, APÓS R$139,99</v>
      </c>
      <c r="I130" t="str">
        <f ca="1">IF([1]Planilha1!$F130="","",TRIM([1]Planilha1!$F130))</f>
        <v>Fibra</v>
      </c>
      <c r="J130" s="3">
        <f ca="1">IF([1]Planilha1!$G130="","",[1]Planilha1!$G130)</f>
        <v>600</v>
      </c>
      <c r="K130" s="4" cm="1">
        <f t="array" aca="1" ref="K130" ca="1">IFERROR(VALUE(_xlfn.REGEXEXTRACT([1]Planilha1!$E130,"\+\s*(\d+)GB",2)),"")</f>
        <v>15</v>
      </c>
      <c r="L130" s="5">
        <f ca="1">IF([1]Planilha1!$H130="","",[1]Planilha1!$H130)</f>
        <v>139.99</v>
      </c>
      <c r="M130" s="5">
        <f ca="1">IF([1]Planilha1!$I130="","",[1]Planilha1!$I130)</f>
        <v>129.99</v>
      </c>
      <c r="N130" s="2" cm="1">
        <f t="array" aca="1" ref="N130" ca="1">IFERROR(VALUE(_xlfn.REGEXEXTRACT([1]Planilha1!$E130,"(\d+)\s*MESES",2)),IFERROR(VALUE(_xlfn.REGEXEXTRACT([1]Planilha1!$E130,"por\s*(\d+)\s*M",2)),IF(_xlfn.REGEXTEST([1]Planilha1!$E130,"1[ºª]"),1,"")))</f>
        <v>6</v>
      </c>
      <c r="O130" s="6">
        <f t="shared" ca="1" si="5"/>
        <v>0.23331666666666667</v>
      </c>
      <c r="P130" t="str">
        <f ca="1">IF([1]Planilha1!$J130="","",TRIM([1]Planilha1!$J130))</f>
        <v>0</v>
      </c>
      <c r="Q130" s="7">
        <f ca="1">IF($D130="Claro","",IFERROR($L130-VLOOKUP($B130&amp;"|Claro",[1]AUX_CLARO!$A:$C,2,FALSE),""))</f>
        <v>-19.909999999999997</v>
      </c>
      <c r="R130" s="8">
        <f ca="1">IF($D130="Claro","",IFERROR($J130-VLOOKUP($B130&amp;"|Claro",[1]AUX_CLARO!$A:$C,3,FALSE),""))</f>
        <v>0</v>
      </c>
      <c r="S130" t="str">
        <f t="shared" ca="1" si="6"/>
        <v>Claro mais cara</v>
      </c>
      <c r="T130" t="str">
        <f t="shared" ca="1" si="7"/>
        <v>Mesma velocidade</v>
      </c>
      <c r="U130" s="9">
        <f t="shared" si="8"/>
        <v>46174</v>
      </c>
      <c r="V130" t="str">
        <f ca="1">IF(OR([1]Planilha1!$B130="",[1]Planilha1!$B130="NÃO MAPEADO"),"",TRIM([1]Planilha1!$B130))</f>
        <v>CENTRAL</v>
      </c>
      <c r="W130" t="str">
        <f ca="1">IF([1]Planilha1!$C130="","",TRIM([1]Planilha1!$C130))</f>
        <v>ESPECIAL</v>
      </c>
      <c r="X130" t="str">
        <f ca="1">IFERROR(VLOOKUP($C130,[1]Planilha2!$B:$H,7,FALSE),"")</f>
        <v>13490-001</v>
      </c>
    </row>
    <row r="131" spans="1:24" x14ac:dyDescent="0.35">
      <c r="A131" t="str">
        <f ca="1">IF(LEFT(TEXT([1]Planilha1!$L131,"0000000"),1)="5","MS","SP")</f>
        <v>SP</v>
      </c>
      <c r="B131" t="str">
        <f ca="1">IF(RIGHT([1]Planilha1!$A131,5)=" - MS",LEFT([1]Planilha1!$A131,LEN([1]Planilha1!$A131)-5),TRIM([1]Planilha1!$A131))</f>
        <v>CORDEIROPOLIS</v>
      </c>
      <c r="C131" s="2">
        <f ca="1">[1]Planilha1!$L131</f>
        <v>3512407</v>
      </c>
      <c r="D131" t="str">
        <f>TRIM([1]Planilha1!$D131)</f>
        <v>Vero</v>
      </c>
      <c r="E131" t="str">
        <f>IF(TRIM([1]Planilha1!$D131)="Claro","Claro","Concorrente")</f>
        <v>Concorrente</v>
      </c>
      <c r="F131" t="s">
        <v>30</v>
      </c>
      <c r="G131" t="str">
        <f t="shared" ca="1" si="0"/>
        <v>Banda Larga + Movel</v>
      </c>
      <c r="H131" t="str">
        <f ca="1">TRIM([1]Planilha1!$E131)</f>
        <v>850M+60GB=R$149,99 (C/ GLOBOPLAY, HBO, DISNEY+)</v>
      </c>
      <c r="I131" t="str">
        <f ca="1">IF([1]Planilha1!$F131="","",TRIM([1]Planilha1!$F131))</f>
        <v>Fibra</v>
      </c>
      <c r="J131" s="3">
        <f ca="1">IF([1]Planilha1!$G131="","",[1]Planilha1!$G131)</f>
        <v>850</v>
      </c>
      <c r="K131" s="4" cm="1">
        <f t="array" aca="1" ref="K131" ca="1">IFERROR(VALUE(_xlfn.REGEXEXTRACT([1]Planilha1!$E131,"\+\s*(\d+)GB",2)),"")</f>
        <v>60</v>
      </c>
      <c r="L131" s="5">
        <f ca="1">IF([1]Planilha1!$H131="","",[1]Planilha1!$H131)</f>
        <v>149.99</v>
      </c>
      <c r="M131" s="5" t="str">
        <f ca="1">IF([1]Planilha1!$I131="","",[1]Planilha1!$I131)</f>
        <v/>
      </c>
      <c r="N131" s="2" t="str" cm="1">
        <f t="array" aca="1" ref="N131" ca="1">IFERROR(VALUE(_xlfn.REGEXEXTRACT([1]Planilha1!$E131,"(\d+)\s*MESES",2)),IFERROR(VALUE(_xlfn.REGEXEXTRACT([1]Planilha1!$E131,"por\s*(\d+)\s*M",2)),IF(_xlfn.REGEXTEST([1]Planilha1!$E131,"1[ºª]"),1,"")))</f>
        <v/>
      </c>
      <c r="O131" s="6">
        <f t="shared" ref="O131:O194" ca="1" si="9">IF(OR($L131="",$J131="",N($J131)=0),"",$L131/$J131)</f>
        <v>0.17645882352941178</v>
      </c>
      <c r="P131" t="str">
        <f ca="1">IF([1]Planilha1!$J131="","",TRIM([1]Planilha1!$J131))</f>
        <v>GLOBOPLAY, HBO, DISNEY+</v>
      </c>
      <c r="Q131" s="7">
        <f ca="1">IF($D131="Claro","",IFERROR($L131-VLOOKUP($B131&amp;"|Claro",[1]AUX_CLARO!$A:$C,2,FALSE),""))</f>
        <v>-9.9099999999999966</v>
      </c>
      <c r="R131" s="8">
        <f ca="1">IF($D131="Claro","",IFERROR($J131-VLOOKUP($B131&amp;"|Claro",[1]AUX_CLARO!$A:$C,3,FALSE),""))</f>
        <v>250</v>
      </c>
      <c r="S131" t="str">
        <f t="shared" ref="S131:S194" ca="1" si="10">IF($Q131="","",IF($Q131&gt;0,"Claro mais barata",IF($Q131=0,"Mesmo preco","Claro mais cara")))</f>
        <v>Claro mais cara</v>
      </c>
      <c r="T131" t="str">
        <f t="shared" ref="T131:T194" ca="1" si="11">IF($R131="","",IF($R131&lt;0,"Claro com maior velocidade",IF($R131=0,"Mesma velocidade","Claro com menor velocidade")))</f>
        <v>Claro com menor velocidade</v>
      </c>
      <c r="U131" s="9">
        <f t="shared" ref="U131:U194" si="12">DATE(2026,6,1)</f>
        <v>46174</v>
      </c>
      <c r="V131" t="str">
        <f ca="1">IF(OR([1]Planilha1!$B131="",[1]Planilha1!$B131="NÃO MAPEADO"),"",TRIM([1]Planilha1!$B131))</f>
        <v>CENTRAL</v>
      </c>
      <c r="W131" t="str">
        <f ca="1">IF([1]Planilha1!$C131="","",TRIM([1]Planilha1!$C131))</f>
        <v>ESPECIAL</v>
      </c>
      <c r="X131" t="str">
        <f ca="1">IFERROR(VLOOKUP($C131,[1]Planilha2!$B:$H,7,FALSE),"")</f>
        <v>13490-001</v>
      </c>
    </row>
    <row r="132" spans="1:24" x14ac:dyDescent="0.35">
      <c r="A132" t="str">
        <f ca="1">IF(LEFT(TEXT([1]Planilha1!$L132,"0000000"),1)="5","MS","SP")</f>
        <v>SP</v>
      </c>
      <c r="B132" t="str">
        <f ca="1">IF(RIGHT([1]Planilha1!$A132,5)=" - MS",LEFT([1]Planilha1!$A132,LEN([1]Planilha1!$A132)-5),TRIM([1]Planilha1!$A132))</f>
        <v>CORDEIROPOLIS</v>
      </c>
      <c r="C132" s="2">
        <f ca="1">[1]Planilha1!$L132</f>
        <v>3512407</v>
      </c>
      <c r="D132" t="str">
        <f>TRIM([1]Planilha1!$D132)</f>
        <v>ISP LOCAL</v>
      </c>
      <c r="E132" t="str">
        <f>IF(TRIM([1]Planilha1!$D132)="Claro","Claro","Concorrente")</f>
        <v>Concorrente</v>
      </c>
      <c r="G132" t="str">
        <f t="shared" ca="1" si="0"/>
        <v>Banda Larga + Conteudo</v>
      </c>
      <c r="H132" t="str">
        <f ca="1">TRIM([1]Planilha1!$E132)</f>
        <v>TELECOM - 600M R$59,90, 3 MESES, APÓS R$119,00</v>
      </c>
      <c r="I132" t="str">
        <f ca="1">IF([1]Planilha1!$F132="","",TRIM([1]Planilha1!$F132))</f>
        <v>Fibra</v>
      </c>
      <c r="J132" s="3">
        <f ca="1">IF([1]Planilha1!$G132="","",[1]Planilha1!$G132)</f>
        <v>600</v>
      </c>
      <c r="K132" s="4" t="str" cm="1">
        <f t="array" aca="1" ref="K132" ca="1">IFERROR(VALUE(_xlfn.REGEXEXTRACT([1]Planilha1!$E132,"\+\s*(\d+)GB",2)),"")</f>
        <v/>
      </c>
      <c r="L132" s="5">
        <f ca="1">IF([1]Planilha1!$H132="","",[1]Planilha1!$H132)</f>
        <v>119</v>
      </c>
      <c r="M132" s="5">
        <f ca="1">IF([1]Planilha1!$I132="","",[1]Planilha1!$I132)</f>
        <v>59.9</v>
      </c>
      <c r="N132" s="2" cm="1">
        <f t="array" aca="1" ref="N132" ca="1">IFERROR(VALUE(_xlfn.REGEXEXTRACT([1]Planilha1!$E132,"(\d+)\s*MESES",2)),IFERROR(VALUE(_xlfn.REGEXEXTRACT([1]Planilha1!$E132,"por\s*(\d+)\s*M",2)),IF(_xlfn.REGEXTEST([1]Planilha1!$E132,"1[ºª]"),1,"")))</f>
        <v>3</v>
      </c>
      <c r="O132" s="6">
        <f t="shared" ca="1" si="9"/>
        <v>0.19833333333333333</v>
      </c>
      <c r="P132" t="str">
        <f ca="1">IF([1]Planilha1!$J132="","",TRIM([1]Planilha1!$J132))</f>
        <v>0</v>
      </c>
      <c r="Q132" s="7">
        <f ca="1">IF($D132="Claro","",IFERROR($L132-VLOOKUP($B132&amp;"|Claro",[1]AUX_CLARO!$A:$C,2,FALSE),""))</f>
        <v>-40.900000000000006</v>
      </c>
      <c r="R132" s="8">
        <f ca="1">IF($D132="Claro","",IFERROR($J132-VLOOKUP($B132&amp;"|Claro",[1]AUX_CLARO!$A:$C,3,FALSE),""))</f>
        <v>0</v>
      </c>
      <c r="S132" t="str">
        <f t="shared" ca="1" si="10"/>
        <v>Claro mais cara</v>
      </c>
      <c r="T132" t="str">
        <f t="shared" ca="1" si="11"/>
        <v>Mesma velocidade</v>
      </c>
      <c r="U132" s="9">
        <f t="shared" si="12"/>
        <v>46174</v>
      </c>
      <c r="V132" t="str">
        <f ca="1">IF(OR([1]Planilha1!$B132="",[1]Planilha1!$B132="NÃO MAPEADO"),"",TRIM([1]Planilha1!$B132))</f>
        <v>CENTRAL</v>
      </c>
      <c r="W132" t="str">
        <f ca="1">IF([1]Planilha1!$C132="","",TRIM([1]Planilha1!$C132))</f>
        <v>ESPECIAL</v>
      </c>
      <c r="X132" t="str">
        <f ca="1">IFERROR(VLOOKUP($C132,[1]Planilha2!$B:$H,7,FALSE),"")</f>
        <v>13490-001</v>
      </c>
    </row>
    <row r="133" spans="1:24" x14ac:dyDescent="0.35">
      <c r="A133" t="str">
        <f ca="1">IF(LEFT(TEXT([1]Planilha1!$L133,"0000000"),1)="5","MS","SP")</f>
        <v>SP</v>
      </c>
      <c r="B133" t="str">
        <f ca="1">IF(RIGHT([1]Planilha1!$A133,5)=" - MS",LEFT([1]Planilha1!$A133,LEN([1]Planilha1!$A133)-5),TRIM([1]Planilha1!$A133))</f>
        <v>COSMOPOLIS</v>
      </c>
      <c r="C133" s="2">
        <f ca="1">[1]Planilha1!$L133</f>
        <v>3512803</v>
      </c>
      <c r="D133" t="str">
        <f>TRIM([1]Planilha1!$D133)</f>
        <v>Claro</v>
      </c>
      <c r="E133" t="str">
        <f>IF(TRIM([1]Planilha1!$D133)="Claro","Claro","Concorrente")</f>
        <v>Claro</v>
      </c>
      <c r="F133" t="s">
        <v>24</v>
      </c>
      <c r="G133" t="str">
        <f t="shared" ca="1" si="0"/>
        <v>Banda Larga + Movel</v>
      </c>
      <c r="H133" t="str">
        <f ca="1">TRIM([1]Planilha1!$E133)</f>
        <v>600M+100GB=R$159,90</v>
      </c>
      <c r="I133" t="str">
        <f ca="1">IF([1]Planilha1!$F133="","",TRIM([1]Planilha1!$F133))</f>
        <v>Fibra</v>
      </c>
      <c r="J133" s="3">
        <f ca="1">IF([1]Planilha1!$G133="","",[1]Planilha1!$G133)</f>
        <v>600</v>
      </c>
      <c r="K133" s="4" cm="1">
        <f t="array" aca="1" ref="K133" ca="1">IFERROR(VALUE(_xlfn.REGEXEXTRACT([1]Planilha1!$E133,"\+\s*(\d+)GB",2)),"")</f>
        <v>100</v>
      </c>
      <c r="L133" s="5">
        <f ca="1">IF([1]Planilha1!$H133="","",[1]Planilha1!$H133)</f>
        <v>159.9</v>
      </c>
      <c r="M133" s="5" t="str">
        <f ca="1">IF([1]Planilha1!$I133="","",[1]Planilha1!$I133)</f>
        <v/>
      </c>
      <c r="N133" s="2" t="str" cm="1">
        <f t="array" aca="1" ref="N133" ca="1">IFERROR(VALUE(_xlfn.REGEXEXTRACT([1]Planilha1!$E133,"(\d+)\s*MESES",2)),IFERROR(VALUE(_xlfn.REGEXEXTRACT([1]Planilha1!$E133,"por\s*(\d+)\s*M",2)),IF(_xlfn.REGEXTEST([1]Planilha1!$E133,"1[ºª]"),1,"")))</f>
        <v/>
      </c>
      <c r="O133" s="6">
        <f t="shared" ca="1" si="9"/>
        <v>0.26650000000000001</v>
      </c>
      <c r="P133" t="str">
        <f ca="1">IF([1]Planilha1!$J133="","",TRIM([1]Planilha1!$J133))</f>
        <v>GLOBOPLAY</v>
      </c>
      <c r="Q133" s="7" t="str">
        <f>IF($D133="Claro","",IFERROR($L133-VLOOKUP($B133&amp;"|Claro",[1]AUX_CLARO!$A:$C,2,FALSE),""))</f>
        <v/>
      </c>
      <c r="R133" s="8" t="str">
        <f>IF($D133="Claro","",IFERROR($J133-VLOOKUP($B133&amp;"|Claro",[1]AUX_CLARO!$A:$C,3,FALSE),""))</f>
        <v/>
      </c>
      <c r="S133" t="str">
        <f t="shared" si="10"/>
        <v/>
      </c>
      <c r="T133" t="str">
        <f t="shared" si="11"/>
        <v/>
      </c>
      <c r="U133" s="9">
        <f t="shared" si="12"/>
        <v>46174</v>
      </c>
      <c r="V133" t="str">
        <f ca="1">IF(OR([1]Planilha1!$B133="",[1]Planilha1!$B133="NÃO MAPEADO"),"",TRIM([1]Planilha1!$B133))</f>
        <v>CENTRAL</v>
      </c>
      <c r="W133" t="str">
        <f ca="1">IF([1]Planilha1!$C133="","",TRIM([1]Planilha1!$C133))</f>
        <v>PADRÃO</v>
      </c>
      <c r="X133" t="str">
        <f ca="1">IFERROR(VLOOKUP($C133,[1]Planilha2!$B:$H,7,FALSE),"")</f>
        <v>13150-001</v>
      </c>
    </row>
    <row r="134" spans="1:24" x14ac:dyDescent="0.35">
      <c r="A134" t="str">
        <f ca="1">IF(LEFT(TEXT([1]Planilha1!$L134,"0000000"),1)="5","MS","SP")</f>
        <v>SP</v>
      </c>
      <c r="B134" t="str">
        <f ca="1">IF(RIGHT([1]Planilha1!$A134,5)=" - MS",LEFT([1]Planilha1!$A134,LEN([1]Planilha1!$A134)-5),TRIM([1]Planilha1!$A134))</f>
        <v>COSMOPOLIS</v>
      </c>
      <c r="C134" s="2">
        <f ca="1">[1]Planilha1!$L134</f>
        <v>3512803</v>
      </c>
      <c r="D134" t="str">
        <f>TRIM([1]Planilha1!$D134)</f>
        <v>Vivo</v>
      </c>
      <c r="E134" t="str">
        <f>IF(TRIM([1]Planilha1!$D134)="Claro","Claro","Concorrente")</f>
        <v>Concorrente</v>
      </c>
      <c r="F134" t="s">
        <v>25</v>
      </c>
      <c r="G134" t="str">
        <f t="shared" ca="1" si="0"/>
        <v>Banda Larga + Movel</v>
      </c>
      <c r="H134" t="s">
        <v>26</v>
      </c>
      <c r="I134" t="str">
        <f ca="1">IF([1]Planilha1!$F134="","",TRIM([1]Planilha1!$F134))</f>
        <v>Fibra</v>
      </c>
      <c r="J134" s="11" t="s">
        <v>27</v>
      </c>
      <c r="K134" s="4" cm="1">
        <f t="array" aca="1" ref="K134" ca="1">IFERROR(VALUE(_xlfn.REGEXEXTRACT([1]Planilha1!$E134,"\+\s*(\d+)GB",2)),"")</f>
        <v>70</v>
      </c>
      <c r="L134" s="5">
        <v>160</v>
      </c>
      <c r="M134" s="5" t="str">
        <f ca="1">IF([1]Planilha1!$I134="","",[1]Planilha1!$I134)</f>
        <v/>
      </c>
      <c r="N134" s="2" t="str" cm="1">
        <f t="array" aca="1" ref="N134" ca="1">IFERROR(VALUE(_xlfn.REGEXEXTRACT([1]Planilha1!$E134,"(\d+)\s*MESES",2)),IFERROR(VALUE(_xlfn.REGEXEXTRACT([1]Planilha1!$E134,"por\s*(\d+)\s*M",2)),IF(_xlfn.REGEXTEST([1]Planilha1!$E134,"1[ºª]"),1,"")))</f>
        <v/>
      </c>
      <c r="O134" s="6" t="str">
        <f t="shared" si="9"/>
        <v/>
      </c>
      <c r="P134" t="str">
        <f ca="1">IF([1]Planilha1!$J134="","",TRIM([1]Planilha1!$J134))</f>
        <v>0</v>
      </c>
      <c r="Q134" s="7">
        <f ca="1">IF($D134="Claro","",IFERROR($L134-VLOOKUP($B134&amp;"|Claro",[1]AUX_CLARO!$A:$C,2,FALSE),""))</f>
        <v>9.9999999999994316E-2</v>
      </c>
      <c r="R134" s="8" t="str">
        <f ca="1">IF($D134="Claro","",IFERROR($J134-VLOOKUP($B134&amp;"|Claro",[1]AUX_CLARO!$A:$C,3,FALSE),""))</f>
        <v/>
      </c>
      <c r="S134" t="str">
        <f t="shared" ca="1" si="10"/>
        <v>Claro mais barata</v>
      </c>
      <c r="T134" t="str">
        <f t="shared" ca="1" si="11"/>
        <v/>
      </c>
      <c r="U134" s="9">
        <f t="shared" si="12"/>
        <v>46174</v>
      </c>
      <c r="V134" t="str">
        <f ca="1">IF(OR([1]Planilha1!$B134="",[1]Planilha1!$B134="NÃO MAPEADO"),"",TRIM([1]Planilha1!$B134))</f>
        <v>CENTRAL</v>
      </c>
      <c r="W134" t="str">
        <f ca="1">IF([1]Planilha1!$C134="","",TRIM([1]Planilha1!$C134))</f>
        <v>PADRÃO</v>
      </c>
      <c r="X134" t="str">
        <f ca="1">IFERROR(VLOOKUP($C134,[1]Planilha2!$B:$H,7,FALSE),"")</f>
        <v>13150-001</v>
      </c>
    </row>
    <row r="135" spans="1:24" x14ac:dyDescent="0.35">
      <c r="A135" t="str">
        <f ca="1">IF(LEFT(TEXT([1]Planilha1!$L135,"0000000"),1)="5","MS","SP")</f>
        <v>SP</v>
      </c>
      <c r="B135" t="str">
        <f ca="1">IF(RIGHT([1]Planilha1!$A135,5)=" - MS",LEFT([1]Planilha1!$A135,LEN([1]Planilha1!$A135)-5),TRIM([1]Planilha1!$A135))</f>
        <v>COSMOPOLIS</v>
      </c>
      <c r="C135" s="2">
        <f ca="1">[1]Planilha1!$L135</f>
        <v>3512803</v>
      </c>
      <c r="D135" t="str">
        <f>TRIM([1]Planilha1!$D135)</f>
        <v>Desktop</v>
      </c>
      <c r="E135" t="str">
        <f>IF(TRIM([1]Planilha1!$D135)="Claro","Claro","Concorrente")</f>
        <v>Concorrente</v>
      </c>
      <c r="F135" t="s">
        <v>29</v>
      </c>
      <c r="G135" t="str">
        <f t="shared" ca="1" si="0"/>
        <v>Banda Larga + Conteudo</v>
      </c>
      <c r="H135" t="str">
        <f ca="1">TRIM([1]Planilha1!$E135)</f>
        <v>600M=R$49,99 por 2M, após R$89,99</v>
      </c>
      <c r="I135" t="str">
        <f ca="1">IF([1]Planilha1!$F135="","",TRIM([1]Planilha1!$F135))</f>
        <v>Fibra</v>
      </c>
      <c r="J135" s="3">
        <f ca="1">IF([1]Planilha1!$G135="","",[1]Planilha1!$G135)</f>
        <v>600</v>
      </c>
      <c r="K135" s="4" t="str" cm="1">
        <f t="array" aca="1" ref="K135" ca="1">IFERROR(VALUE(_xlfn.REGEXEXTRACT([1]Planilha1!$E135,"\+\s*(\d+)GB",2)),"")</f>
        <v/>
      </c>
      <c r="L135" s="5">
        <f ca="1">IF([1]Planilha1!$H135="","",[1]Planilha1!$H135)</f>
        <v>89.99</v>
      </c>
      <c r="M135" s="5">
        <f ca="1">IF([1]Planilha1!$I135="","",[1]Planilha1!$I135)</f>
        <v>49.99</v>
      </c>
      <c r="N135" s="2" cm="1">
        <f t="array" aca="1" ref="N135" ca="1">IFERROR(VALUE(_xlfn.REGEXEXTRACT([1]Planilha1!$E135,"(\d+)\s*MESES",2)),IFERROR(VALUE(_xlfn.REGEXEXTRACT([1]Planilha1!$E135,"por\s*(\d+)\s*M",2)),IF(_xlfn.REGEXTEST([1]Planilha1!$E135,"1[ºª]"),1,"")))</f>
        <v>2</v>
      </c>
      <c r="O135" s="6">
        <f t="shared" ca="1" si="9"/>
        <v>0.14998333333333333</v>
      </c>
      <c r="P135" t="str">
        <f ca="1">IF([1]Planilha1!$J135="","",TRIM([1]Planilha1!$J135))</f>
        <v>0</v>
      </c>
      <c r="Q135" s="7">
        <f ca="1">IF($D135="Claro","",IFERROR($L135-VLOOKUP($B135&amp;"|Claro",[1]AUX_CLARO!$A:$C,2,FALSE),""))</f>
        <v>-69.910000000000011</v>
      </c>
      <c r="R135" s="8">
        <f ca="1">IF($D135="Claro","",IFERROR($J135-VLOOKUP($B135&amp;"|Claro",[1]AUX_CLARO!$A:$C,3,FALSE),""))</f>
        <v>0</v>
      </c>
      <c r="S135" t="str">
        <f t="shared" ca="1" si="10"/>
        <v>Claro mais cara</v>
      </c>
      <c r="T135" t="str">
        <f t="shared" ca="1" si="11"/>
        <v>Mesma velocidade</v>
      </c>
      <c r="U135" s="9">
        <f t="shared" si="12"/>
        <v>46174</v>
      </c>
      <c r="V135" t="str">
        <f ca="1">IF(OR([1]Planilha1!$B135="",[1]Planilha1!$B135="NÃO MAPEADO"),"",TRIM([1]Planilha1!$B135))</f>
        <v>CENTRAL</v>
      </c>
      <c r="W135" t="str">
        <f ca="1">IF([1]Planilha1!$C135="","",TRIM([1]Planilha1!$C135))</f>
        <v>PADRÃO</v>
      </c>
      <c r="X135" t="str">
        <f ca="1">IFERROR(VLOOKUP($C135,[1]Planilha2!$B:$H,7,FALSE),"")</f>
        <v>13150-001</v>
      </c>
    </row>
    <row r="136" spans="1:24" x14ac:dyDescent="0.35">
      <c r="A136" t="str">
        <f ca="1">IF(LEFT(TEXT([1]Planilha1!$L136,"0000000"),1)="5","MS","SP")</f>
        <v>SP</v>
      </c>
      <c r="B136" t="str">
        <f ca="1">IF(RIGHT([1]Planilha1!$A136,5)=" - MS",LEFT([1]Planilha1!$A136,LEN([1]Planilha1!$A136)-5),TRIM([1]Planilha1!$A136))</f>
        <v>COSMOPOLIS</v>
      </c>
      <c r="C136" s="2">
        <f ca="1">[1]Planilha1!$L136</f>
        <v>3512803</v>
      </c>
      <c r="D136" t="str">
        <f>TRIM([1]Planilha1!$D136)</f>
        <v>Algar</v>
      </c>
      <c r="E136" t="str">
        <f>IF(TRIM([1]Planilha1!$D136)="Claro","Claro","Concorrente")</f>
        <v>Concorrente</v>
      </c>
      <c r="F136" t="s">
        <v>38</v>
      </c>
      <c r="G136" t="str">
        <f t="shared" ca="1" si="0"/>
        <v>Banda Larga + Conteudo</v>
      </c>
      <c r="H136" t="str">
        <f ca="1">TRIM([1]Planilha1!$E136)</f>
        <v>800M R$99,90</v>
      </c>
      <c r="I136" t="str">
        <f ca="1">IF([1]Planilha1!$F136="","",TRIM([1]Planilha1!$F136))</f>
        <v>Fibra</v>
      </c>
      <c r="J136" s="3">
        <f ca="1">IF([1]Planilha1!$G136="","",[1]Planilha1!$G136)</f>
        <v>800</v>
      </c>
      <c r="K136" s="4" t="str" cm="1">
        <f t="array" aca="1" ref="K136" ca="1">IFERROR(VALUE(_xlfn.REGEXEXTRACT([1]Planilha1!$E136,"\+\s*(\d+)GB",2)),"")</f>
        <v/>
      </c>
      <c r="L136" s="5">
        <f ca="1">IF([1]Planilha1!$H136="","",[1]Planilha1!$H136)</f>
        <v>99.9</v>
      </c>
      <c r="M136" s="5" t="str">
        <f ca="1">IF([1]Planilha1!$I136="","",[1]Planilha1!$I136)</f>
        <v/>
      </c>
      <c r="N136" s="2" t="str" cm="1">
        <f t="array" aca="1" ref="N136" ca="1">IFERROR(VALUE(_xlfn.REGEXEXTRACT([1]Planilha1!$E136,"(\d+)\s*MESES",2)),IFERROR(VALUE(_xlfn.REGEXEXTRACT([1]Planilha1!$E136,"por\s*(\d+)\s*M",2)),IF(_xlfn.REGEXTEST([1]Planilha1!$E136,"1[ºª]"),1,"")))</f>
        <v/>
      </c>
      <c r="O136" s="6">
        <f t="shared" ca="1" si="9"/>
        <v>0.12487500000000001</v>
      </c>
      <c r="P136" t="str">
        <f ca="1">IF([1]Planilha1!$J136="","",TRIM([1]Planilha1!$J136))</f>
        <v>0</v>
      </c>
      <c r="Q136" s="7">
        <f ca="1">IF($D136="Claro","",IFERROR($L136-VLOOKUP($B136&amp;"|Claro",[1]AUX_CLARO!$A:$C,2,FALSE),""))</f>
        <v>-60</v>
      </c>
      <c r="R136" s="8">
        <f ca="1">IF($D136="Claro","",IFERROR($J136-VLOOKUP($B136&amp;"|Claro",[1]AUX_CLARO!$A:$C,3,FALSE),""))</f>
        <v>200</v>
      </c>
      <c r="S136" t="str">
        <f t="shared" ca="1" si="10"/>
        <v>Claro mais cara</v>
      </c>
      <c r="T136" t="str">
        <f t="shared" ca="1" si="11"/>
        <v>Claro com menor velocidade</v>
      </c>
      <c r="U136" s="9">
        <f t="shared" si="12"/>
        <v>46174</v>
      </c>
      <c r="V136" t="str">
        <f ca="1">IF(OR([1]Planilha1!$B136="",[1]Planilha1!$B136="NÃO MAPEADO"),"",TRIM([1]Planilha1!$B136))</f>
        <v>CENTRAL</v>
      </c>
      <c r="W136" t="str">
        <f ca="1">IF([1]Planilha1!$C136="","",TRIM([1]Planilha1!$C136))</f>
        <v>PADRÃO</v>
      </c>
      <c r="X136" t="str">
        <f ca="1">IFERROR(VLOOKUP($C136,[1]Planilha2!$B:$H,7,FALSE),"")</f>
        <v>13150-001</v>
      </c>
    </row>
    <row r="137" spans="1:24" x14ac:dyDescent="0.35">
      <c r="A137" t="str">
        <f ca="1">IF(LEFT(TEXT([1]Planilha1!$L137,"0000000"),1)="5","MS","SP")</f>
        <v>SP</v>
      </c>
      <c r="B137" t="str">
        <f ca="1">IF(RIGHT([1]Planilha1!$A137,5)=" - MS",LEFT([1]Planilha1!$A137,LEN([1]Planilha1!$A137)-5),TRIM([1]Planilha1!$A137))</f>
        <v>COSMOPOLIS</v>
      </c>
      <c r="C137" s="2">
        <f ca="1">[1]Planilha1!$L137</f>
        <v>3512803</v>
      </c>
      <c r="D137" t="str">
        <f>TRIM([1]Planilha1!$D137)</f>
        <v>ISP LOCAL</v>
      </c>
      <c r="E137" t="str">
        <f>IF(TRIM([1]Planilha1!$D137)="Claro","Claro","Concorrente")</f>
        <v>Concorrente</v>
      </c>
      <c r="F137" t="s">
        <v>54</v>
      </c>
      <c r="G137" t="str">
        <f t="shared" ca="1" si="0"/>
        <v>Banda Larga + Conteudo</v>
      </c>
      <c r="H137" t="str">
        <f ca="1">TRIM([1]Planilha1!$E137)</f>
        <v>NRT NZ - 300M R$99,90</v>
      </c>
      <c r="I137" t="str">
        <f ca="1">IF([1]Planilha1!$F137="","",TRIM([1]Planilha1!$F137))</f>
        <v>Fibra</v>
      </c>
      <c r="J137" s="3">
        <f ca="1">IF([1]Planilha1!$G137="","",[1]Planilha1!$G137)</f>
        <v>300</v>
      </c>
      <c r="K137" s="4" t="str" cm="1">
        <f t="array" aca="1" ref="K137" ca="1">IFERROR(VALUE(_xlfn.REGEXEXTRACT([1]Planilha1!$E137,"\+\s*(\d+)GB",2)),"")</f>
        <v/>
      </c>
      <c r="L137" s="5">
        <f ca="1">IF([1]Planilha1!$H137="","",[1]Planilha1!$H137)</f>
        <v>99.9</v>
      </c>
      <c r="M137" s="5" t="str">
        <f ca="1">IF([1]Planilha1!$I137="","",[1]Planilha1!$I137)</f>
        <v/>
      </c>
      <c r="N137" s="2" t="str" cm="1">
        <f t="array" aca="1" ref="N137" ca="1">IFERROR(VALUE(_xlfn.REGEXEXTRACT([1]Planilha1!$E137,"(\d+)\s*MESES",2)),IFERROR(VALUE(_xlfn.REGEXEXTRACT([1]Planilha1!$E137,"por\s*(\d+)\s*M",2)),IF(_xlfn.REGEXTEST([1]Planilha1!$E137,"1[ºª]"),1,"")))</f>
        <v/>
      </c>
      <c r="O137" s="6">
        <f t="shared" ca="1" si="9"/>
        <v>0.33300000000000002</v>
      </c>
      <c r="P137" t="str">
        <f ca="1">IF([1]Planilha1!$J137="","",TRIM([1]Planilha1!$J137))</f>
        <v>0</v>
      </c>
      <c r="Q137" s="7">
        <f ca="1">IF($D137="Claro","",IFERROR($L137-VLOOKUP($B137&amp;"|Claro",[1]AUX_CLARO!$A:$C,2,FALSE),""))</f>
        <v>-60</v>
      </c>
      <c r="R137" s="8">
        <f ca="1">IF($D137="Claro","",IFERROR($J137-VLOOKUP($B137&amp;"|Claro",[1]AUX_CLARO!$A:$C,3,FALSE),""))</f>
        <v>-300</v>
      </c>
      <c r="S137" t="str">
        <f t="shared" ca="1" si="10"/>
        <v>Claro mais cara</v>
      </c>
      <c r="T137" t="str">
        <f t="shared" ca="1" si="11"/>
        <v>Claro com maior velocidade</v>
      </c>
      <c r="U137" s="9">
        <f t="shared" si="12"/>
        <v>46174</v>
      </c>
      <c r="V137" t="str">
        <f ca="1">IF(OR([1]Planilha1!$B137="",[1]Planilha1!$B137="NÃO MAPEADO"),"",TRIM([1]Planilha1!$B137))</f>
        <v>CENTRAL</v>
      </c>
      <c r="W137" t="str">
        <f ca="1">IF([1]Planilha1!$C137="","",TRIM([1]Planilha1!$C137))</f>
        <v>PADRÃO</v>
      </c>
      <c r="X137" t="str">
        <f ca="1">IFERROR(VLOOKUP($C137,[1]Planilha2!$B:$H,7,FALSE),"")</f>
        <v>13150-001</v>
      </c>
    </row>
    <row r="138" spans="1:24" x14ac:dyDescent="0.35">
      <c r="A138" t="str">
        <f ca="1">IF(LEFT(TEXT([1]Planilha1!$L138,"0000000"),1)="5","MS","SP")</f>
        <v>SP</v>
      </c>
      <c r="B138" t="str">
        <f ca="1">IF(RIGHT([1]Planilha1!$A138,5)=" - MS",LEFT([1]Planilha1!$A138,LEN([1]Planilha1!$A138)-5),TRIM([1]Planilha1!$A138))</f>
        <v>CRAVINHOS</v>
      </c>
      <c r="C138" s="2">
        <f ca="1">[1]Planilha1!$L138</f>
        <v>3513108</v>
      </c>
      <c r="D138" t="str">
        <f>TRIM([1]Planilha1!$D138)</f>
        <v>Claro</v>
      </c>
      <c r="E138" t="str">
        <f>IF(TRIM([1]Planilha1!$D138)="Claro","Claro","Concorrente")</f>
        <v>Claro</v>
      </c>
      <c r="F138" t="s">
        <v>24</v>
      </c>
      <c r="G138" t="str">
        <f t="shared" ca="1" si="0"/>
        <v>Banda Larga + Movel</v>
      </c>
      <c r="H138" t="str">
        <f ca="1">TRIM([1]Planilha1!$E138)</f>
        <v>600M+100GB=R$109,90 por 6M, após R$139,90</v>
      </c>
      <c r="I138" t="str">
        <f ca="1">IF([1]Planilha1!$F138="","",TRIM([1]Planilha1!$F138))</f>
        <v>Fibra</v>
      </c>
      <c r="J138" s="3">
        <f ca="1">IF([1]Planilha1!$G138="","",[1]Planilha1!$G138)</f>
        <v>600</v>
      </c>
      <c r="K138" s="4" cm="1">
        <f t="array" aca="1" ref="K138" ca="1">IFERROR(VALUE(_xlfn.REGEXEXTRACT([1]Planilha1!$E138,"\+\s*(\d+)GB",2)),"")</f>
        <v>100</v>
      </c>
      <c r="L138" s="5">
        <f ca="1">IF([1]Planilha1!$H138="","",[1]Planilha1!$H138)</f>
        <v>139.9</v>
      </c>
      <c r="M138" s="5">
        <f ca="1">IF([1]Planilha1!$I138="","",[1]Planilha1!$I138)</f>
        <v>109.9</v>
      </c>
      <c r="N138" s="2" cm="1">
        <f t="array" aca="1" ref="N138" ca="1">IFERROR(VALUE(_xlfn.REGEXEXTRACT([1]Planilha1!$E138,"(\d+)\s*MESES",2)),IFERROR(VALUE(_xlfn.REGEXEXTRACT([1]Planilha1!$E138,"por\s*(\d+)\s*M",2)),IF(_xlfn.REGEXTEST([1]Planilha1!$E138,"1[ºª]"),1,"")))</f>
        <v>6</v>
      </c>
      <c r="O138" s="6">
        <f t="shared" ca="1" si="9"/>
        <v>0.23316666666666669</v>
      </c>
      <c r="P138" t="str">
        <f ca="1">IF([1]Planilha1!$J138="","",TRIM([1]Planilha1!$J138))</f>
        <v>GLOBOPLAY</v>
      </c>
      <c r="Q138" s="7" t="str">
        <f>IF($D138="Claro","",IFERROR($L138-VLOOKUP($B138&amp;"|Claro",[1]AUX_CLARO!$A:$C,2,FALSE),""))</f>
        <v/>
      </c>
      <c r="R138" s="8" t="str">
        <f>IF($D138="Claro","",IFERROR($J138-VLOOKUP($B138&amp;"|Claro",[1]AUX_CLARO!$A:$C,3,FALSE),""))</f>
        <v/>
      </c>
      <c r="S138" t="str">
        <f t="shared" si="10"/>
        <v/>
      </c>
      <c r="T138" t="str">
        <f t="shared" si="11"/>
        <v/>
      </c>
      <c r="U138" s="9">
        <f t="shared" si="12"/>
        <v>46174</v>
      </c>
      <c r="V138" t="str">
        <f ca="1">IF(OR([1]Planilha1!$B138="",[1]Planilha1!$B138="NÃO MAPEADO"),"",TRIM([1]Planilha1!$B138))</f>
        <v>NOROESTE</v>
      </c>
      <c r="W138" t="str">
        <f ca="1">IF([1]Planilha1!$C138="","",TRIM([1]Planilha1!$C138))</f>
        <v>MD 2</v>
      </c>
      <c r="X138" t="str">
        <f ca="1">IFERROR(VLOOKUP($C138,[1]Planilha2!$B:$H,7,FALSE),"")</f>
        <v>14140-001</v>
      </c>
    </row>
    <row r="139" spans="1:24" x14ac:dyDescent="0.35">
      <c r="A139" t="str">
        <f ca="1">IF(LEFT(TEXT([1]Planilha1!$L139,"0000000"),1)="5","MS","SP")</f>
        <v>SP</v>
      </c>
      <c r="B139" t="str">
        <f ca="1">IF(RIGHT([1]Planilha1!$A139,5)=" - MS",LEFT([1]Planilha1!$A139,LEN([1]Planilha1!$A139)-5),TRIM([1]Planilha1!$A139))</f>
        <v>CRAVINHOS</v>
      </c>
      <c r="C139" s="2">
        <f ca="1">[1]Planilha1!$L139</f>
        <v>3513108</v>
      </c>
      <c r="D139" t="str">
        <f>TRIM([1]Planilha1!$D139)</f>
        <v>Desktop</v>
      </c>
      <c r="E139" t="str">
        <f>IF(TRIM([1]Planilha1!$D139)="Claro","Claro","Concorrente")</f>
        <v>Concorrente</v>
      </c>
      <c r="F139" t="s">
        <v>29</v>
      </c>
      <c r="G139" t="str">
        <f t="shared" ca="1" si="0"/>
        <v>Banda Larga + Conteudo</v>
      </c>
      <c r="H139" t="str">
        <f ca="1">TRIM([1]Planilha1!$E139)</f>
        <v>600M=R$49,99 por 2M, após R$89,99</v>
      </c>
      <c r="I139" t="str">
        <f ca="1">IF([1]Planilha1!$F139="","",TRIM([1]Planilha1!$F139))</f>
        <v>Fibra</v>
      </c>
      <c r="J139" s="3">
        <f ca="1">IF([1]Planilha1!$G139="","",[1]Planilha1!$G139)</f>
        <v>600</v>
      </c>
      <c r="K139" s="4" t="str" cm="1">
        <f t="array" aca="1" ref="K139" ca="1">IFERROR(VALUE(_xlfn.REGEXEXTRACT([1]Planilha1!$E139,"\+\s*(\d+)GB",2)),"")</f>
        <v/>
      </c>
      <c r="L139" s="5">
        <f ca="1">IF([1]Planilha1!$H139="","",[1]Planilha1!$H139)</f>
        <v>89.99</v>
      </c>
      <c r="M139" s="5">
        <f ca="1">IF([1]Planilha1!$I139="","",[1]Planilha1!$I139)</f>
        <v>49.99</v>
      </c>
      <c r="N139" s="2" cm="1">
        <f t="array" aca="1" ref="N139" ca="1">IFERROR(VALUE(_xlfn.REGEXEXTRACT([1]Planilha1!$E139,"(\d+)\s*MESES",2)),IFERROR(VALUE(_xlfn.REGEXEXTRACT([1]Planilha1!$E139,"por\s*(\d+)\s*M",2)),IF(_xlfn.REGEXTEST([1]Planilha1!$E139,"1[ºª]"),1,"")))</f>
        <v>2</v>
      </c>
      <c r="O139" s="6">
        <f t="shared" ca="1" si="9"/>
        <v>0.14998333333333333</v>
      </c>
      <c r="P139" t="str">
        <f ca="1">IF([1]Planilha1!$J139="","",TRIM([1]Planilha1!$J139))</f>
        <v>0</v>
      </c>
      <c r="Q139" s="7">
        <f ca="1">IF($D139="Claro","",IFERROR($L139-VLOOKUP($B139&amp;"|Claro",[1]AUX_CLARO!$A:$C,2,FALSE),""))</f>
        <v>-49.910000000000011</v>
      </c>
      <c r="R139" s="8">
        <f ca="1">IF($D139="Claro","",IFERROR($J139-VLOOKUP($B139&amp;"|Claro",[1]AUX_CLARO!$A:$C,3,FALSE),""))</f>
        <v>0</v>
      </c>
      <c r="S139" t="str">
        <f t="shared" ca="1" si="10"/>
        <v>Claro mais cara</v>
      </c>
      <c r="T139" t="str">
        <f t="shared" ca="1" si="11"/>
        <v>Mesma velocidade</v>
      </c>
      <c r="U139" s="9">
        <f t="shared" si="12"/>
        <v>46174</v>
      </c>
      <c r="V139" t="str">
        <f ca="1">IF(OR([1]Planilha1!$B139="",[1]Planilha1!$B139="NÃO MAPEADO"),"",TRIM([1]Planilha1!$B139))</f>
        <v>NOROESTE</v>
      </c>
      <c r="W139" t="str">
        <f ca="1">IF([1]Planilha1!$C139="","",TRIM([1]Planilha1!$C139))</f>
        <v>MD 2</v>
      </c>
      <c r="X139" t="str">
        <f ca="1">IFERROR(VLOOKUP($C139,[1]Planilha2!$B:$H,7,FALSE),"")</f>
        <v>14140-001</v>
      </c>
    </row>
    <row r="140" spans="1:24" x14ac:dyDescent="0.35">
      <c r="A140" t="str">
        <f ca="1">IF(LEFT(TEXT([1]Planilha1!$L140,"0000000"),1)="5","MS","SP")</f>
        <v>SP</v>
      </c>
      <c r="B140" t="str">
        <f ca="1">IF(RIGHT([1]Planilha1!$A140,5)=" - MS",LEFT([1]Planilha1!$A140,LEN([1]Planilha1!$A140)-5),TRIM([1]Planilha1!$A140))</f>
        <v>CRAVINHOS</v>
      </c>
      <c r="C140" s="2">
        <f ca="1">[1]Planilha1!$L140</f>
        <v>3513108</v>
      </c>
      <c r="D140" t="str">
        <f>TRIM([1]Planilha1!$D140)</f>
        <v>Algar</v>
      </c>
      <c r="E140" t="str">
        <f>IF(TRIM([1]Planilha1!$D140)="Claro","Claro","Concorrente")</f>
        <v>Concorrente</v>
      </c>
      <c r="F140" t="s">
        <v>38</v>
      </c>
      <c r="G140" t="str">
        <f t="shared" ca="1" si="0"/>
        <v>Banda Larga + Conteudo</v>
      </c>
      <c r="H140" t="str">
        <f ca="1">TRIM([1]Planilha1!$E140)</f>
        <v>800M R$99,90</v>
      </c>
      <c r="I140" t="str">
        <f ca="1">IF([1]Planilha1!$F140="","",TRIM([1]Planilha1!$F140))</f>
        <v>Fibra</v>
      </c>
      <c r="J140" s="3">
        <f ca="1">IF([1]Planilha1!$G140="","",[1]Planilha1!$G140)</f>
        <v>800</v>
      </c>
      <c r="K140" s="4" t="str" cm="1">
        <f t="array" aca="1" ref="K140" ca="1">IFERROR(VALUE(_xlfn.REGEXEXTRACT([1]Planilha1!$E140,"\+\s*(\d+)GB",2)),"")</f>
        <v/>
      </c>
      <c r="L140" s="5">
        <f ca="1">IF([1]Planilha1!$H140="","",[1]Planilha1!$H140)</f>
        <v>99.9</v>
      </c>
      <c r="M140" s="5" t="str">
        <f ca="1">IF([1]Planilha1!$I140="","",[1]Planilha1!$I140)</f>
        <v/>
      </c>
      <c r="N140" s="2" t="str" cm="1">
        <f t="array" aca="1" ref="N140" ca="1">IFERROR(VALUE(_xlfn.REGEXEXTRACT([1]Planilha1!$E140,"(\d+)\s*MESES",2)),IFERROR(VALUE(_xlfn.REGEXEXTRACT([1]Planilha1!$E140,"por\s*(\d+)\s*M",2)),IF(_xlfn.REGEXTEST([1]Planilha1!$E140,"1[ºª]"),1,"")))</f>
        <v/>
      </c>
      <c r="O140" s="6">
        <f t="shared" ca="1" si="9"/>
        <v>0.12487500000000001</v>
      </c>
      <c r="P140" t="str">
        <f ca="1">IF([1]Planilha1!$J140="","",TRIM([1]Planilha1!$J140))</f>
        <v>0</v>
      </c>
      <c r="Q140" s="7">
        <f ca="1">IF($D140="Claro","",IFERROR($L140-VLOOKUP($B140&amp;"|Claro",[1]AUX_CLARO!$A:$C,2,FALSE),""))</f>
        <v>-40</v>
      </c>
      <c r="R140" s="8">
        <f ca="1">IF($D140="Claro","",IFERROR($J140-VLOOKUP($B140&amp;"|Claro",[1]AUX_CLARO!$A:$C,3,FALSE),""))</f>
        <v>200</v>
      </c>
      <c r="S140" t="str">
        <f t="shared" ca="1" si="10"/>
        <v>Claro mais cara</v>
      </c>
      <c r="T140" t="str">
        <f t="shared" ca="1" si="11"/>
        <v>Claro com menor velocidade</v>
      </c>
      <c r="U140" s="9">
        <f t="shared" si="12"/>
        <v>46174</v>
      </c>
      <c r="V140" t="str">
        <f ca="1">IF(OR([1]Planilha1!$B140="",[1]Planilha1!$B140="NÃO MAPEADO"),"",TRIM([1]Planilha1!$B140))</f>
        <v>NOROESTE</v>
      </c>
      <c r="W140" t="str">
        <f ca="1">IF([1]Planilha1!$C140="","",TRIM([1]Planilha1!$C140))</f>
        <v>MD 2</v>
      </c>
      <c r="X140" t="str">
        <f ca="1">IFERROR(VLOOKUP($C140,[1]Planilha2!$B:$H,7,FALSE),"")</f>
        <v>14140-001</v>
      </c>
    </row>
    <row r="141" spans="1:24" x14ac:dyDescent="0.35">
      <c r="A141" t="str">
        <f ca="1">IF(LEFT(TEXT([1]Planilha1!$L141,"0000000"),1)="5","MS","SP")</f>
        <v>SP</v>
      </c>
      <c r="B141" t="str">
        <f ca="1">IF(RIGHT([1]Planilha1!$A141,5)=" - MS",LEFT([1]Planilha1!$A141,LEN([1]Planilha1!$A141)-5),TRIM([1]Planilha1!$A141))</f>
        <v>CRAVINHOS</v>
      </c>
      <c r="C141" s="2">
        <f ca="1">[1]Planilha1!$L141</f>
        <v>3513108</v>
      </c>
      <c r="D141" t="str">
        <f>TRIM([1]Planilha1!$D141)</f>
        <v>ISP LOCAL</v>
      </c>
      <c r="E141" t="str">
        <f>IF(TRIM([1]Planilha1!$D141)="Claro","Claro","Concorrente")</f>
        <v>Concorrente</v>
      </c>
      <c r="F141" t="s">
        <v>44</v>
      </c>
      <c r="G141" t="str">
        <f t="shared" ca="1" si="0"/>
        <v>Banda Larga + Conteudo</v>
      </c>
      <c r="H141" t="str">
        <f ca="1">TRIM([1]Planilha1!$E141)</f>
        <v>NIC NET - 800M R$59,90 - 3 MESES, APÓS R$99,90</v>
      </c>
      <c r="I141" t="str">
        <f ca="1">IF([1]Planilha1!$F141="","",TRIM([1]Planilha1!$F141))</f>
        <v>Fibra</v>
      </c>
      <c r="J141" s="3">
        <f ca="1">IF([1]Planilha1!$G141="","",[1]Planilha1!$G141)</f>
        <v>800</v>
      </c>
      <c r="K141" s="4" t="str" cm="1">
        <f t="array" aca="1" ref="K141" ca="1">IFERROR(VALUE(_xlfn.REGEXEXTRACT([1]Planilha1!$E141,"\+\s*(\d+)GB",2)),"")</f>
        <v/>
      </c>
      <c r="L141" s="5">
        <f ca="1">IF([1]Planilha1!$H141="","",[1]Planilha1!$H141)</f>
        <v>99.9</v>
      </c>
      <c r="M141" s="5">
        <f ca="1">IF([1]Planilha1!$I141="","",[1]Planilha1!$I141)</f>
        <v>59.9</v>
      </c>
      <c r="N141" s="2" cm="1">
        <f t="array" aca="1" ref="N141" ca="1">IFERROR(VALUE(_xlfn.REGEXEXTRACT([1]Planilha1!$E141,"(\d+)\s*MESES",2)),IFERROR(VALUE(_xlfn.REGEXEXTRACT([1]Planilha1!$E141,"por\s*(\d+)\s*M",2)),IF(_xlfn.REGEXTEST([1]Planilha1!$E141,"1[ºª]"),1,"")))</f>
        <v>3</v>
      </c>
      <c r="O141" s="6">
        <f t="shared" ca="1" si="9"/>
        <v>0.12487500000000001</v>
      </c>
      <c r="P141" t="str">
        <f ca="1">IF([1]Planilha1!$J141="","",TRIM([1]Planilha1!$J141))</f>
        <v>0</v>
      </c>
      <c r="Q141" s="7">
        <f ca="1">IF($D141="Claro","",IFERROR($L141-VLOOKUP($B141&amp;"|Claro",[1]AUX_CLARO!$A:$C,2,FALSE),""))</f>
        <v>-40</v>
      </c>
      <c r="R141" s="8">
        <f ca="1">IF($D141="Claro","",IFERROR($J141-VLOOKUP($B141&amp;"|Claro",[1]AUX_CLARO!$A:$C,3,FALSE),""))</f>
        <v>200</v>
      </c>
      <c r="S141" t="str">
        <f t="shared" ca="1" si="10"/>
        <v>Claro mais cara</v>
      </c>
      <c r="T141" t="str">
        <f t="shared" ca="1" si="11"/>
        <v>Claro com menor velocidade</v>
      </c>
      <c r="U141" s="9">
        <f t="shared" si="12"/>
        <v>46174</v>
      </c>
      <c r="V141" t="str">
        <f ca="1">IF(OR([1]Planilha1!$B141="",[1]Planilha1!$B141="NÃO MAPEADO"),"",TRIM([1]Planilha1!$B141))</f>
        <v>NOROESTE</v>
      </c>
      <c r="W141" t="str">
        <f ca="1">IF([1]Planilha1!$C141="","",TRIM([1]Planilha1!$C141))</f>
        <v>MD 2</v>
      </c>
      <c r="X141" t="str">
        <f ca="1">IFERROR(VLOOKUP($C141,[1]Planilha2!$B:$H,7,FALSE),"")</f>
        <v>14140-001</v>
      </c>
    </row>
    <row r="142" spans="1:24" x14ac:dyDescent="0.35">
      <c r="A142" t="str">
        <f ca="1">IF(LEFT(TEXT([1]Planilha1!$L142,"0000000"),1)="5","MS","SP")</f>
        <v>SP</v>
      </c>
      <c r="B142" t="str">
        <f ca="1">IF(RIGHT([1]Planilha1!$A142,5)=" - MS",LEFT([1]Planilha1!$A142,LEN([1]Planilha1!$A142)-5),TRIM([1]Planilha1!$A142))</f>
        <v>CRUZEIRO</v>
      </c>
      <c r="C142" s="2">
        <f ca="1">[1]Planilha1!$L142</f>
        <v>3513405</v>
      </c>
      <c r="D142" t="str">
        <f>TRIM([1]Planilha1!$D142)</f>
        <v>Claro</v>
      </c>
      <c r="E142" t="str">
        <f>IF(TRIM([1]Planilha1!$D142)="Claro","Claro","Concorrente")</f>
        <v>Claro</v>
      </c>
      <c r="F142" t="s">
        <v>24</v>
      </c>
      <c r="G142" t="str">
        <f t="shared" ca="1" si="0"/>
        <v>Banda Larga + Movel</v>
      </c>
      <c r="H142" t="str">
        <f ca="1">TRIM([1]Planilha1!$E142)</f>
        <v>600M+100GB=R$109,90 por 6M, após R$139,90</v>
      </c>
      <c r="I142" t="str">
        <f ca="1">IF([1]Planilha1!$F142="","",TRIM([1]Planilha1!$F142))</f>
        <v>Fibra</v>
      </c>
      <c r="J142" s="3">
        <f ca="1">IF([1]Planilha1!$G142="","",[1]Planilha1!$G142)</f>
        <v>600</v>
      </c>
      <c r="K142" s="4" cm="1">
        <f t="array" aca="1" ref="K142" ca="1">IFERROR(VALUE(_xlfn.REGEXEXTRACT([1]Planilha1!$E142,"\+\s*(\d+)GB",2)),"")</f>
        <v>100</v>
      </c>
      <c r="L142" s="5">
        <f ca="1">IF([1]Planilha1!$H142="","",[1]Planilha1!$H142)</f>
        <v>139.9</v>
      </c>
      <c r="M142" s="5">
        <f ca="1">IF([1]Planilha1!$I142="","",[1]Planilha1!$I142)</f>
        <v>109.9</v>
      </c>
      <c r="N142" s="2" cm="1">
        <f t="array" aca="1" ref="N142" ca="1">IFERROR(VALUE(_xlfn.REGEXEXTRACT([1]Planilha1!$E142,"(\d+)\s*MESES",2)),IFERROR(VALUE(_xlfn.REGEXEXTRACT([1]Planilha1!$E142,"por\s*(\d+)\s*M",2)),IF(_xlfn.REGEXTEST([1]Planilha1!$E142,"1[ºª]"),1,"")))</f>
        <v>6</v>
      </c>
      <c r="O142" s="6">
        <f t="shared" ca="1" si="9"/>
        <v>0.23316666666666669</v>
      </c>
      <c r="P142" t="str">
        <f ca="1">IF([1]Planilha1!$J142="","",TRIM([1]Planilha1!$J142))</f>
        <v>GLOBOPLAY</v>
      </c>
      <c r="Q142" s="7" t="str">
        <f>IF($D142="Claro","",IFERROR($L142-VLOOKUP($B142&amp;"|Claro",[1]AUX_CLARO!$A:$C,2,FALSE),""))</f>
        <v/>
      </c>
      <c r="R142" s="8" t="str">
        <f>IF($D142="Claro","",IFERROR($J142-VLOOKUP($B142&amp;"|Claro",[1]AUX_CLARO!$A:$C,3,FALSE),""))</f>
        <v/>
      </c>
      <c r="S142" t="str">
        <f t="shared" si="10"/>
        <v/>
      </c>
      <c r="T142" t="str">
        <f t="shared" si="11"/>
        <v/>
      </c>
      <c r="U142" s="9">
        <f t="shared" si="12"/>
        <v>46174</v>
      </c>
      <c r="V142" t="str">
        <f ca="1">IF(OR([1]Planilha1!$B142="",[1]Planilha1!$B142="NÃO MAPEADO"),"",TRIM([1]Planilha1!$B142))</f>
        <v>SUDESTE</v>
      </c>
      <c r="W142" t="str">
        <f ca="1">IF([1]Planilha1!$C142="","",TRIM([1]Planilha1!$C142))</f>
        <v>MD 2</v>
      </c>
      <c r="X142" s="12" t="str">
        <f ca="1">IFERROR(VLOOKUP($C142,[1]Planilha2!$B:$H,7,FALSE),"")</f>
        <v>12700-001</v>
      </c>
    </row>
    <row r="143" spans="1:24" x14ac:dyDescent="0.35">
      <c r="A143" t="str">
        <f ca="1">IF(LEFT(TEXT([1]Planilha1!$L143,"0000000"),1)="5","MS","SP")</f>
        <v>SP</v>
      </c>
      <c r="B143" t="str">
        <f ca="1">IF(RIGHT([1]Planilha1!$A143,5)=" - MS",LEFT([1]Planilha1!$A143,LEN([1]Planilha1!$A143)-5),TRIM([1]Planilha1!$A143))</f>
        <v>CRUZEIRO</v>
      </c>
      <c r="C143" s="2">
        <f ca="1">[1]Planilha1!$L143</f>
        <v>3513405</v>
      </c>
      <c r="D143" t="str">
        <f>TRIM([1]Planilha1!$D143)</f>
        <v>Vivo</v>
      </c>
      <c r="E143" t="str">
        <f>IF(TRIM([1]Planilha1!$D143)="Claro","Claro","Concorrente")</f>
        <v>Concorrente</v>
      </c>
      <c r="F143" t="s">
        <v>25</v>
      </c>
      <c r="G143" t="str">
        <f t="shared" ca="1" si="0"/>
        <v>Banda Larga + Movel</v>
      </c>
      <c r="H143" t="s">
        <v>26</v>
      </c>
      <c r="I143" t="str">
        <f ca="1">IF([1]Planilha1!$F143="","",TRIM([1]Planilha1!$F143))</f>
        <v>Fibra</v>
      </c>
      <c r="J143" s="11" t="s">
        <v>27</v>
      </c>
      <c r="K143" s="4" cm="1">
        <f t="array" aca="1" ref="K143" ca="1">IFERROR(VALUE(_xlfn.REGEXEXTRACT([1]Planilha1!$E143,"\+\s*(\d+)GB",2)),"")</f>
        <v>70</v>
      </c>
      <c r="L143" s="5">
        <v>160</v>
      </c>
      <c r="M143" s="5" t="str">
        <f ca="1">IF([1]Planilha1!$I143="","",[1]Planilha1!$I143)</f>
        <v/>
      </c>
      <c r="N143" s="2" t="str" cm="1">
        <f t="array" aca="1" ref="N143" ca="1">IFERROR(VALUE(_xlfn.REGEXEXTRACT([1]Planilha1!$E143,"(\d+)\s*MESES",2)),IFERROR(VALUE(_xlfn.REGEXEXTRACT([1]Planilha1!$E143,"por\s*(\d+)\s*M",2)),IF(_xlfn.REGEXTEST([1]Planilha1!$E143,"1[ºª]"),1,"")))</f>
        <v/>
      </c>
      <c r="O143" s="6" t="str">
        <f t="shared" si="9"/>
        <v/>
      </c>
      <c r="P143" t="str">
        <f ca="1">IF([1]Planilha1!$J143="","",TRIM([1]Planilha1!$J143))</f>
        <v>0</v>
      </c>
      <c r="Q143" s="7">
        <f ca="1">IF($D143="Claro","",IFERROR($L143-VLOOKUP($B143&amp;"|Claro",[1]AUX_CLARO!$A:$C,2,FALSE),""))</f>
        <v>20.099999999999994</v>
      </c>
      <c r="R143" s="8" t="str">
        <f ca="1">IF($D143="Claro","",IFERROR($J143-VLOOKUP($B143&amp;"|Claro",[1]AUX_CLARO!$A:$C,3,FALSE),""))</f>
        <v/>
      </c>
      <c r="S143" t="str">
        <f t="shared" ca="1" si="10"/>
        <v>Claro mais barata</v>
      </c>
      <c r="T143" t="str">
        <f t="shared" ca="1" si="11"/>
        <v/>
      </c>
      <c r="U143" s="9">
        <f t="shared" si="12"/>
        <v>46174</v>
      </c>
      <c r="V143" t="str">
        <f ca="1">IF(OR([1]Planilha1!$B143="",[1]Planilha1!$B143="NÃO MAPEADO"),"",TRIM([1]Planilha1!$B143))</f>
        <v>SUDESTE</v>
      </c>
      <c r="W143" t="str">
        <f ca="1">IF([1]Planilha1!$C143="","",TRIM([1]Planilha1!$C143))</f>
        <v>MD 2</v>
      </c>
      <c r="X143" s="12" t="str">
        <f ca="1">IFERROR(VLOOKUP($C143,[1]Planilha2!$B:$H,7,FALSE),"")</f>
        <v>12700-001</v>
      </c>
    </row>
    <row r="144" spans="1:24" x14ac:dyDescent="0.35">
      <c r="A144" t="str">
        <f ca="1">IF(LEFT(TEXT([1]Planilha1!$L144,"0000000"),1)="5","MS","SP")</f>
        <v>SP</v>
      </c>
      <c r="B144" t="str">
        <f ca="1">IF(RIGHT([1]Planilha1!$A144,5)=" - MS",LEFT([1]Planilha1!$A144,LEN([1]Planilha1!$A144)-5),TRIM([1]Planilha1!$A144))</f>
        <v>CRUZEIRO</v>
      </c>
      <c r="C144" s="2">
        <f ca="1">[1]Planilha1!$L144</f>
        <v>3513405</v>
      </c>
      <c r="D144" t="str">
        <f>TRIM([1]Planilha1!$D144)</f>
        <v>Vero</v>
      </c>
      <c r="E144" t="str">
        <f>IF(TRIM([1]Planilha1!$D144)="Claro","Claro","Concorrente")</f>
        <v>Concorrente</v>
      </c>
      <c r="F144" t="s">
        <v>30</v>
      </c>
      <c r="G144" t="str">
        <f t="shared" ca="1" si="0"/>
        <v>Banda Larga + Movel</v>
      </c>
      <c r="H144" t="str">
        <f ca="1">TRIM([1]Planilha1!$E144)</f>
        <v>850M+60GB=R$149,99 (C/ GLOBOPLAY, HBO, DISNEY+)</v>
      </c>
      <c r="I144" t="str">
        <f ca="1">IF([1]Planilha1!$F144="","",TRIM([1]Planilha1!$F144))</f>
        <v>Fibra</v>
      </c>
      <c r="J144" s="3">
        <f ca="1">IF([1]Planilha1!$G144="","",[1]Planilha1!$G144)</f>
        <v>850</v>
      </c>
      <c r="K144" s="4" cm="1">
        <f t="array" aca="1" ref="K144" ca="1">IFERROR(VALUE(_xlfn.REGEXEXTRACT([1]Planilha1!$E144,"\+\s*(\d+)GB",2)),"")</f>
        <v>60</v>
      </c>
      <c r="L144" s="5">
        <f ca="1">IF([1]Planilha1!$H144="","",[1]Planilha1!$H144)</f>
        <v>149.99</v>
      </c>
      <c r="M144" s="5" t="str">
        <f ca="1">IF([1]Planilha1!$I144="","",[1]Planilha1!$I144)</f>
        <v/>
      </c>
      <c r="N144" s="2" t="str" cm="1">
        <f t="array" aca="1" ref="N144" ca="1">IFERROR(VALUE(_xlfn.REGEXEXTRACT([1]Planilha1!$E144,"(\d+)\s*MESES",2)),IFERROR(VALUE(_xlfn.REGEXEXTRACT([1]Planilha1!$E144,"por\s*(\d+)\s*M",2)),IF(_xlfn.REGEXTEST([1]Planilha1!$E144,"1[ºª]"),1,"")))</f>
        <v/>
      </c>
      <c r="O144" s="6">
        <f t="shared" ca="1" si="9"/>
        <v>0.17645882352941178</v>
      </c>
      <c r="P144" t="str">
        <f ca="1">IF([1]Planilha1!$J144="","",TRIM([1]Planilha1!$J144))</f>
        <v>GLOBOPLAY, HBO, DISNEY+</v>
      </c>
      <c r="Q144" s="7">
        <f ca="1">IF($D144="Claro","",IFERROR($L144-VLOOKUP($B144&amp;"|Claro",[1]AUX_CLARO!$A:$C,2,FALSE),""))</f>
        <v>10.090000000000003</v>
      </c>
      <c r="R144" s="8">
        <f ca="1">IF($D144="Claro","",IFERROR($J144-VLOOKUP($B144&amp;"|Claro",[1]AUX_CLARO!$A:$C,3,FALSE),""))</f>
        <v>250</v>
      </c>
      <c r="S144" t="str">
        <f t="shared" ca="1" si="10"/>
        <v>Claro mais barata</v>
      </c>
      <c r="T144" t="str">
        <f t="shared" ca="1" si="11"/>
        <v>Claro com menor velocidade</v>
      </c>
      <c r="U144" s="9">
        <f t="shared" si="12"/>
        <v>46174</v>
      </c>
      <c r="V144" t="str">
        <f ca="1">IF(OR([1]Planilha1!$B144="",[1]Planilha1!$B144="NÃO MAPEADO"),"",TRIM([1]Planilha1!$B144))</f>
        <v>SUDESTE</v>
      </c>
      <c r="W144" t="str">
        <f ca="1">IF([1]Planilha1!$C144="","",TRIM([1]Planilha1!$C144))</f>
        <v>MD 2</v>
      </c>
      <c r="X144" s="12" t="str">
        <f ca="1">IFERROR(VLOOKUP($C144,[1]Planilha2!$B:$H,7,FALSE),"")</f>
        <v>12700-001</v>
      </c>
    </row>
    <row r="145" spans="1:24" x14ac:dyDescent="0.35">
      <c r="A145" t="str">
        <f ca="1">IF(LEFT(TEXT([1]Planilha1!$L145,"0000000"),1)="5","MS","SP")</f>
        <v>SP</v>
      </c>
      <c r="B145" t="str">
        <f ca="1">IF(RIGHT([1]Planilha1!$A145,5)=" - MS",LEFT([1]Planilha1!$A145,LEN([1]Planilha1!$A145)-5),TRIM([1]Planilha1!$A145))</f>
        <v>CRUZEIRO</v>
      </c>
      <c r="C145" s="2">
        <f ca="1">[1]Planilha1!$L145</f>
        <v>3513405</v>
      </c>
      <c r="D145" t="str">
        <f>TRIM([1]Planilha1!$D145)</f>
        <v>Weclix</v>
      </c>
      <c r="E145" t="str">
        <f>IF(TRIM([1]Planilha1!$D145)="Claro","Claro","Concorrente")</f>
        <v>Concorrente</v>
      </c>
      <c r="F145" t="s">
        <v>34</v>
      </c>
      <c r="G145" t="str">
        <f t="shared" ca="1" si="0"/>
        <v>Banda Larga + Conteudo</v>
      </c>
      <c r="H145" t="str">
        <f ca="1">TRIM([1]Planilha1!$E145)</f>
        <v>1GB R$59,90 - 1ª MENSALIDADE, APÓS R$99,90</v>
      </c>
      <c r="I145" t="str">
        <f ca="1">IF([1]Planilha1!$F145="","",TRIM([1]Planilha1!$F145))</f>
        <v>Fibra</v>
      </c>
      <c r="J145" s="3">
        <f ca="1">IF([1]Planilha1!$G145="","",[1]Planilha1!$G145)</f>
        <v>1000</v>
      </c>
      <c r="K145" s="4" t="str" cm="1">
        <f t="array" aca="1" ref="K145" ca="1">IFERROR(VALUE(_xlfn.REGEXEXTRACT([1]Planilha1!$E145,"\+\s*(\d+)GB",2)),"")</f>
        <v/>
      </c>
      <c r="L145" s="5">
        <f ca="1">IF([1]Planilha1!$H145="","",[1]Planilha1!$H145)</f>
        <v>99.9</v>
      </c>
      <c r="M145" s="5">
        <f ca="1">IF([1]Planilha1!$I145="","",[1]Planilha1!$I145)</f>
        <v>59.9</v>
      </c>
      <c r="N145" s="2" cm="1">
        <f t="array" aca="1" ref="N145" ca="1">IFERROR(VALUE(_xlfn.REGEXEXTRACT([1]Planilha1!$E145,"(\d+)\s*MESES",2)),IFERROR(VALUE(_xlfn.REGEXEXTRACT([1]Planilha1!$E145,"por\s*(\d+)\s*M",2)),IF(_xlfn.REGEXTEST([1]Planilha1!$E145,"1[ºª]"),1,"")))</f>
        <v>1</v>
      </c>
      <c r="O145" s="6">
        <f t="shared" ca="1" si="9"/>
        <v>9.9900000000000003E-2</v>
      </c>
      <c r="P145" t="str">
        <f ca="1">IF([1]Planilha1!$J145="","",TRIM([1]Planilha1!$J145))</f>
        <v>0</v>
      </c>
      <c r="Q145" s="7">
        <f ca="1">IF($D145="Claro","",IFERROR($L145-VLOOKUP($B145&amp;"|Claro",[1]AUX_CLARO!$A:$C,2,FALSE),""))</f>
        <v>-40</v>
      </c>
      <c r="R145" s="8">
        <f ca="1">IF($D145="Claro","",IFERROR($J145-VLOOKUP($B145&amp;"|Claro",[1]AUX_CLARO!$A:$C,3,FALSE),""))</f>
        <v>400</v>
      </c>
      <c r="S145" t="str">
        <f t="shared" ca="1" si="10"/>
        <v>Claro mais cara</v>
      </c>
      <c r="T145" t="str">
        <f t="shared" ca="1" si="11"/>
        <v>Claro com menor velocidade</v>
      </c>
      <c r="U145" s="9">
        <f t="shared" si="12"/>
        <v>46174</v>
      </c>
      <c r="V145" t="str">
        <f ca="1">IF(OR([1]Planilha1!$B145="",[1]Planilha1!$B145="NÃO MAPEADO"),"",TRIM([1]Planilha1!$B145))</f>
        <v>SUDESTE</v>
      </c>
      <c r="W145" t="str">
        <f ca="1">IF([1]Planilha1!$C145="","",TRIM([1]Planilha1!$C145))</f>
        <v>MD 2</v>
      </c>
      <c r="X145" s="12" t="str">
        <f ca="1">IFERROR(VLOOKUP($C145,[1]Planilha2!$B:$H,7,FALSE),"")</f>
        <v>12700-001</v>
      </c>
    </row>
    <row r="146" spans="1:24" x14ac:dyDescent="0.35">
      <c r="A146" t="str">
        <f ca="1">IF(LEFT(TEXT([1]Planilha1!$L146,"0000000"),1)="5","MS","SP")</f>
        <v>SP</v>
      </c>
      <c r="B146" t="str">
        <f ca="1">IF(RIGHT([1]Planilha1!$A146,5)=" - MS",LEFT([1]Planilha1!$A146,LEN([1]Planilha1!$A146)-5),TRIM([1]Planilha1!$A146))</f>
        <v>CRUZEIRO</v>
      </c>
      <c r="C146" s="2">
        <f ca="1">[1]Planilha1!$L146</f>
        <v>3513405</v>
      </c>
      <c r="D146" t="str">
        <f>TRIM([1]Planilha1!$D146)</f>
        <v>ISP LOCAL</v>
      </c>
      <c r="E146" t="str">
        <f>IF(TRIM([1]Planilha1!$D146)="Claro","Claro","Concorrente")</f>
        <v>Concorrente</v>
      </c>
      <c r="F146" t="s">
        <v>55</v>
      </c>
      <c r="G146" t="str">
        <f t="shared" ca="1" si="0"/>
        <v>Banda Larga + Conteudo</v>
      </c>
      <c r="H146" t="str">
        <f ca="1">TRIM([1]Planilha1!$E146)</f>
        <v>DBNET - 600M R$99,90</v>
      </c>
      <c r="I146" t="str">
        <f ca="1">IF([1]Planilha1!$F146="","",TRIM([1]Planilha1!$F146))</f>
        <v>Fibra</v>
      </c>
      <c r="J146" s="3">
        <f ca="1">IF([1]Planilha1!$G146="","",[1]Planilha1!$G146)</f>
        <v>600</v>
      </c>
      <c r="K146" s="4" t="str" cm="1">
        <f t="array" aca="1" ref="K146" ca="1">IFERROR(VALUE(_xlfn.REGEXEXTRACT([1]Planilha1!$E146,"\+\s*(\d+)GB",2)),"")</f>
        <v/>
      </c>
      <c r="L146" s="5">
        <f ca="1">IF([1]Planilha1!$H146="","",[1]Planilha1!$H146)</f>
        <v>99.9</v>
      </c>
      <c r="M146" s="5" t="str">
        <f ca="1">IF([1]Planilha1!$I146="","",[1]Planilha1!$I146)</f>
        <v/>
      </c>
      <c r="N146" s="2" t="str" cm="1">
        <f t="array" aca="1" ref="N146" ca="1">IFERROR(VALUE(_xlfn.REGEXEXTRACT([1]Planilha1!$E146,"(\d+)\s*MESES",2)),IFERROR(VALUE(_xlfn.REGEXEXTRACT([1]Planilha1!$E146,"por\s*(\d+)\s*M",2)),IF(_xlfn.REGEXTEST([1]Planilha1!$E146,"1[ºª]"),1,"")))</f>
        <v/>
      </c>
      <c r="O146" s="6">
        <f t="shared" ca="1" si="9"/>
        <v>0.16650000000000001</v>
      </c>
      <c r="P146" t="str">
        <f ca="1">IF([1]Planilha1!$J146="","",TRIM([1]Planilha1!$J146))</f>
        <v>0</v>
      </c>
      <c r="Q146" s="7">
        <f ca="1">IF($D146="Claro","",IFERROR($L146-VLOOKUP($B146&amp;"|Claro",[1]AUX_CLARO!$A:$C,2,FALSE),""))</f>
        <v>-40</v>
      </c>
      <c r="R146" s="8">
        <f ca="1">IF($D146="Claro","",IFERROR($J146-VLOOKUP($B146&amp;"|Claro",[1]AUX_CLARO!$A:$C,3,FALSE),""))</f>
        <v>0</v>
      </c>
      <c r="S146" t="str">
        <f t="shared" ca="1" si="10"/>
        <v>Claro mais cara</v>
      </c>
      <c r="T146" t="str">
        <f t="shared" ca="1" si="11"/>
        <v>Mesma velocidade</v>
      </c>
      <c r="U146" s="9">
        <f t="shared" si="12"/>
        <v>46174</v>
      </c>
      <c r="V146" t="str">
        <f ca="1">IF(OR([1]Planilha1!$B146="",[1]Planilha1!$B146="NÃO MAPEADO"),"",TRIM([1]Planilha1!$B146))</f>
        <v>SUDESTE</v>
      </c>
      <c r="W146" t="str">
        <f ca="1">IF([1]Planilha1!$C146="","",TRIM([1]Planilha1!$C146))</f>
        <v>MD 2</v>
      </c>
      <c r="X146" s="12" t="str">
        <f ca="1">IFERROR(VLOOKUP($C146,[1]Planilha2!$B:$H,7,FALSE),"")</f>
        <v>12700-001</v>
      </c>
    </row>
    <row r="147" spans="1:24" x14ac:dyDescent="0.35">
      <c r="A147" t="str">
        <f ca="1">IF(LEFT(TEXT([1]Planilha1!$L147,"0000000"),1)="5","MS","SP")</f>
        <v>SP</v>
      </c>
      <c r="B147" t="str">
        <f ca="1">IF(RIGHT([1]Planilha1!$A147,5)=" - MS",LEFT([1]Planilha1!$A147,LEN([1]Planilha1!$A147)-5),TRIM([1]Planilha1!$A147))</f>
        <v>CUBATAO</v>
      </c>
      <c r="C147" s="2">
        <f ca="1">[1]Planilha1!$L147</f>
        <v>3513504</v>
      </c>
      <c r="D147" t="str">
        <f>TRIM([1]Planilha1!$D147)</f>
        <v>Claro</v>
      </c>
      <c r="E147" t="str">
        <f>IF(TRIM([1]Planilha1!$D147)="Claro","Claro","Concorrente")</f>
        <v>Claro</v>
      </c>
      <c r="F147" t="s">
        <v>24</v>
      </c>
      <c r="G147" t="str">
        <f t="shared" ca="1" si="0"/>
        <v>Banda Larga + Movel</v>
      </c>
      <c r="H147" t="str">
        <f ca="1">TRIM([1]Planilha1!$E147)</f>
        <v>600M+100GB=R$159,90</v>
      </c>
      <c r="I147" t="str">
        <f ca="1">IF([1]Planilha1!$F147="","",TRIM([1]Planilha1!$F147))</f>
        <v>Fibra</v>
      </c>
      <c r="J147" s="3">
        <f ca="1">IF([1]Planilha1!$G147="","",[1]Planilha1!$G147)</f>
        <v>600</v>
      </c>
      <c r="K147" s="4" cm="1">
        <f t="array" aca="1" ref="K147" ca="1">IFERROR(VALUE(_xlfn.REGEXEXTRACT([1]Planilha1!$E147,"\+\s*(\d+)GB",2)),"")</f>
        <v>100</v>
      </c>
      <c r="L147" s="5">
        <f ca="1">IF([1]Planilha1!$H147="","",[1]Planilha1!$H147)</f>
        <v>159.9</v>
      </c>
      <c r="M147" s="5" t="str">
        <f ca="1">IF([1]Planilha1!$I147="","",[1]Planilha1!$I147)</f>
        <v/>
      </c>
      <c r="N147" s="2" t="str" cm="1">
        <f t="array" aca="1" ref="N147" ca="1">IFERROR(VALUE(_xlfn.REGEXEXTRACT([1]Planilha1!$E147,"(\d+)\s*MESES",2)),IFERROR(VALUE(_xlfn.REGEXEXTRACT([1]Planilha1!$E147,"por\s*(\d+)\s*M",2)),IF(_xlfn.REGEXTEST([1]Planilha1!$E147,"1[ºª]"),1,"")))</f>
        <v/>
      </c>
      <c r="O147" s="6">
        <f t="shared" ca="1" si="9"/>
        <v>0.26650000000000001</v>
      </c>
      <c r="P147" t="str">
        <f ca="1">IF([1]Planilha1!$J147="","",TRIM([1]Planilha1!$J147))</f>
        <v>GLOBOPLAY</v>
      </c>
      <c r="Q147" s="7" t="str">
        <f>IF($D147="Claro","",IFERROR($L147-VLOOKUP($B147&amp;"|Claro",[1]AUX_CLARO!$A:$C,2,FALSE),""))</f>
        <v/>
      </c>
      <c r="R147" s="8" t="str">
        <f>IF($D147="Claro","",IFERROR($J147-VLOOKUP($B147&amp;"|Claro",[1]AUX_CLARO!$A:$C,3,FALSE),""))</f>
        <v/>
      </c>
      <c r="S147" t="str">
        <f t="shared" si="10"/>
        <v/>
      </c>
      <c r="T147" t="str">
        <f t="shared" si="11"/>
        <v/>
      </c>
      <c r="U147" s="9">
        <f t="shared" si="12"/>
        <v>46174</v>
      </c>
      <c r="V147" t="str">
        <f ca="1">IF(OR([1]Planilha1!$B147="",[1]Planilha1!$B147="NÃO MAPEADO"),"",TRIM([1]Planilha1!$B147))</f>
        <v>LITORAL</v>
      </c>
      <c r="W147" t="str">
        <f ca="1">IF([1]Planilha1!$C147="","",TRIM([1]Planilha1!$C147))</f>
        <v>PADRÃO</v>
      </c>
      <c r="X147" t="str">
        <f ca="1">IFERROR(VLOOKUP($C147,[1]Planilha2!$B:$H,7,FALSE),"")</f>
        <v>11500-001</v>
      </c>
    </row>
    <row r="148" spans="1:24" x14ac:dyDescent="0.35">
      <c r="A148" t="str">
        <f ca="1">IF(LEFT(TEXT([1]Planilha1!$L148,"0000000"),1)="5","MS","SP")</f>
        <v>SP</v>
      </c>
      <c r="B148" t="str">
        <f ca="1">IF(RIGHT([1]Planilha1!$A148,5)=" - MS",LEFT([1]Planilha1!$A148,LEN([1]Planilha1!$A148)-5),TRIM([1]Planilha1!$A148))</f>
        <v>CUBATAO</v>
      </c>
      <c r="C148" s="2">
        <f ca="1">[1]Planilha1!$L148</f>
        <v>3513504</v>
      </c>
      <c r="D148" t="str">
        <f>TRIM([1]Planilha1!$D148)</f>
        <v>Vivo</v>
      </c>
      <c r="E148" t="str">
        <f>IF(TRIM([1]Planilha1!$D148)="Claro","Claro","Concorrente")</f>
        <v>Concorrente</v>
      </c>
      <c r="F148" t="s">
        <v>25</v>
      </c>
      <c r="G148" t="str">
        <f t="shared" ca="1" si="0"/>
        <v>Banda Larga + Movel</v>
      </c>
      <c r="H148" t="s">
        <v>26</v>
      </c>
      <c r="I148" t="str">
        <f ca="1">IF([1]Planilha1!$F148="","",TRIM([1]Planilha1!$F148))</f>
        <v>Fibra</v>
      </c>
      <c r="J148" s="11" t="s">
        <v>27</v>
      </c>
      <c r="K148" s="4" cm="1">
        <f t="array" aca="1" ref="K148" ca="1">IFERROR(VALUE(_xlfn.REGEXEXTRACT([1]Planilha1!$E148,"\+\s*(\d+)GB",2)),"")</f>
        <v>70</v>
      </c>
      <c r="L148" s="5">
        <v>160</v>
      </c>
      <c r="M148" s="5" t="str">
        <f ca="1">IF([1]Planilha1!$I148="","",[1]Planilha1!$I148)</f>
        <v/>
      </c>
      <c r="N148" s="2" t="str" cm="1">
        <f t="array" aca="1" ref="N148" ca="1">IFERROR(VALUE(_xlfn.REGEXEXTRACT([1]Planilha1!$E148,"(\d+)\s*MESES",2)),IFERROR(VALUE(_xlfn.REGEXEXTRACT([1]Planilha1!$E148,"por\s*(\d+)\s*M",2)),IF(_xlfn.REGEXTEST([1]Planilha1!$E148,"1[ºª]"),1,"")))</f>
        <v/>
      </c>
      <c r="O148" s="6" t="str">
        <f t="shared" si="9"/>
        <v/>
      </c>
      <c r="P148" t="str">
        <f ca="1">IF([1]Planilha1!$J148="","",TRIM([1]Planilha1!$J148))</f>
        <v>0</v>
      </c>
      <c r="Q148" s="7">
        <f ca="1">IF($D148="Claro","",IFERROR($L148-VLOOKUP($B148&amp;"|Claro",[1]AUX_CLARO!$A:$C,2,FALSE),""))</f>
        <v>9.9999999999994316E-2</v>
      </c>
      <c r="R148" s="8" t="str">
        <f ca="1">IF($D148="Claro","",IFERROR($J148-VLOOKUP($B148&amp;"|Claro",[1]AUX_CLARO!$A:$C,3,FALSE),""))</f>
        <v/>
      </c>
      <c r="S148" t="str">
        <f t="shared" ca="1" si="10"/>
        <v>Claro mais barata</v>
      </c>
      <c r="T148" t="str">
        <f t="shared" ca="1" si="11"/>
        <v/>
      </c>
      <c r="U148" s="9">
        <f t="shared" si="12"/>
        <v>46174</v>
      </c>
      <c r="V148" t="str">
        <f ca="1">IF(OR([1]Planilha1!$B148="",[1]Planilha1!$B148="NÃO MAPEADO"),"",TRIM([1]Planilha1!$B148))</f>
        <v>LITORAL</v>
      </c>
      <c r="W148" t="str">
        <f ca="1">IF([1]Planilha1!$C148="","",TRIM([1]Planilha1!$C148))</f>
        <v>PADRÃO</v>
      </c>
      <c r="X148" t="str">
        <f ca="1">IFERROR(VLOOKUP($C148,[1]Planilha2!$B:$H,7,FALSE),"")</f>
        <v>11500-001</v>
      </c>
    </row>
    <row r="149" spans="1:24" x14ac:dyDescent="0.35">
      <c r="A149" t="str">
        <f ca="1">IF(LEFT(TEXT([1]Planilha1!$L149,"0000000"),1)="5","MS","SP")</f>
        <v>SP</v>
      </c>
      <c r="B149" t="str">
        <f ca="1">IF(RIGHT([1]Planilha1!$A149,5)=" - MS",LEFT([1]Planilha1!$A149,LEN([1]Planilha1!$A149)-5),TRIM([1]Planilha1!$A149))</f>
        <v>CUBATAO</v>
      </c>
      <c r="C149" s="2">
        <f ca="1">[1]Planilha1!$L149</f>
        <v>3513504</v>
      </c>
      <c r="D149" t="str">
        <f>TRIM([1]Planilha1!$D149)</f>
        <v>Desktop</v>
      </c>
      <c r="E149" t="str">
        <f>IF(TRIM([1]Planilha1!$D149)="Claro","Claro","Concorrente")</f>
        <v>Concorrente</v>
      </c>
      <c r="F149" t="s">
        <v>29</v>
      </c>
      <c r="G149" t="str">
        <f t="shared" ca="1" si="0"/>
        <v>Banda Larga + Movel</v>
      </c>
      <c r="H149" t="str">
        <f ca="1">TRIM([1]Planilha1!$E149)</f>
        <v>600M+15GB=R$129,99 - 6 MESES, APÓS R$139,99</v>
      </c>
      <c r="I149" t="str">
        <f ca="1">IF([1]Planilha1!$F149="","",TRIM([1]Planilha1!$F149))</f>
        <v>Fibra</v>
      </c>
      <c r="J149" s="3">
        <f ca="1">IF([1]Planilha1!$G149="","",[1]Planilha1!$G149)</f>
        <v>600</v>
      </c>
      <c r="K149" s="4" cm="1">
        <f t="array" aca="1" ref="K149" ca="1">IFERROR(VALUE(_xlfn.REGEXEXTRACT([1]Planilha1!$E149,"\+\s*(\d+)GB",2)),"")</f>
        <v>15</v>
      </c>
      <c r="L149" s="5">
        <f ca="1">IF([1]Planilha1!$H149="","",[1]Planilha1!$H149)</f>
        <v>139.99</v>
      </c>
      <c r="M149" s="5">
        <f ca="1">IF([1]Planilha1!$I149="","",[1]Planilha1!$I149)</f>
        <v>129.99</v>
      </c>
      <c r="N149" s="2" cm="1">
        <f t="array" aca="1" ref="N149" ca="1">IFERROR(VALUE(_xlfn.REGEXEXTRACT([1]Planilha1!$E149,"(\d+)\s*MESES",2)),IFERROR(VALUE(_xlfn.REGEXEXTRACT([1]Planilha1!$E149,"por\s*(\d+)\s*M",2)),IF(_xlfn.REGEXTEST([1]Planilha1!$E149,"1[ºª]"),1,"")))</f>
        <v>6</v>
      </c>
      <c r="O149" s="6">
        <f t="shared" ca="1" si="9"/>
        <v>0.23331666666666667</v>
      </c>
      <c r="P149" t="str">
        <f ca="1">IF([1]Planilha1!$J149="","",TRIM([1]Planilha1!$J149))</f>
        <v>0</v>
      </c>
      <c r="Q149" s="7">
        <f ca="1">IF($D149="Claro","",IFERROR($L149-VLOOKUP($B149&amp;"|Claro",[1]AUX_CLARO!$A:$C,2,FALSE),""))</f>
        <v>-19.909999999999997</v>
      </c>
      <c r="R149" s="8">
        <f ca="1">IF($D149="Claro","",IFERROR($J149-VLOOKUP($B149&amp;"|Claro",[1]AUX_CLARO!$A:$C,3,FALSE),""))</f>
        <v>0</v>
      </c>
      <c r="S149" t="str">
        <f t="shared" ca="1" si="10"/>
        <v>Claro mais cara</v>
      </c>
      <c r="T149" t="str">
        <f t="shared" ca="1" si="11"/>
        <v>Mesma velocidade</v>
      </c>
      <c r="U149" s="9">
        <f t="shared" si="12"/>
        <v>46174</v>
      </c>
      <c r="V149" t="str">
        <f ca="1">IF(OR([1]Planilha1!$B149="",[1]Planilha1!$B149="NÃO MAPEADO"),"",TRIM([1]Planilha1!$B149))</f>
        <v>LITORAL</v>
      </c>
      <c r="W149" t="str">
        <f ca="1">IF([1]Planilha1!$C149="","",TRIM([1]Planilha1!$C149))</f>
        <v>PADRÃO</v>
      </c>
      <c r="X149" t="str">
        <f ca="1">IFERROR(VLOOKUP($C149,[1]Planilha2!$B:$H,7,FALSE),"")</f>
        <v>11500-001</v>
      </c>
    </row>
    <row r="150" spans="1:24" x14ac:dyDescent="0.35">
      <c r="A150" t="str">
        <f ca="1">IF(LEFT(TEXT([1]Planilha1!$L150,"0000000"),1)="5","MS","SP")</f>
        <v>SP</v>
      </c>
      <c r="B150" t="str">
        <f ca="1">IF(RIGHT([1]Planilha1!$A150,5)=" - MS",LEFT([1]Planilha1!$A150,LEN([1]Planilha1!$A150)-5),TRIM([1]Planilha1!$A150))</f>
        <v>CUBATAO</v>
      </c>
      <c r="C150" s="2">
        <f ca="1">[1]Planilha1!$L150</f>
        <v>3513504</v>
      </c>
      <c r="D150" t="str">
        <f>TRIM([1]Planilha1!$D150)</f>
        <v>ISP LOCAL</v>
      </c>
      <c r="E150" t="str">
        <f>IF(TRIM([1]Planilha1!$D150)="Claro","Claro","Concorrente")</f>
        <v>Concorrente</v>
      </c>
      <c r="F150" t="s">
        <v>56</v>
      </c>
      <c r="G150" t="str">
        <f t="shared" ca="1" si="0"/>
        <v>Banda Larga + Conteudo</v>
      </c>
      <c r="H150" t="str">
        <f ca="1">TRIM([1]Planilha1!$E150)</f>
        <v>UPDOWN - 600M R$99,90</v>
      </c>
      <c r="I150" t="str">
        <f ca="1">IF([1]Planilha1!$F150="","",TRIM([1]Planilha1!$F150))</f>
        <v>Fibra</v>
      </c>
      <c r="J150" s="3">
        <f ca="1">IF([1]Planilha1!$G150="","",[1]Planilha1!$G150)</f>
        <v>600</v>
      </c>
      <c r="K150" s="4" t="str" cm="1">
        <f t="array" aca="1" ref="K150" ca="1">IFERROR(VALUE(_xlfn.REGEXEXTRACT([1]Planilha1!$E150,"\+\s*(\d+)GB",2)),"")</f>
        <v/>
      </c>
      <c r="L150" s="5">
        <f ca="1">IF([1]Planilha1!$H150="","",[1]Planilha1!$H150)</f>
        <v>99.9</v>
      </c>
      <c r="M150" s="5" t="str">
        <f ca="1">IF([1]Planilha1!$I150="","",[1]Planilha1!$I150)</f>
        <v/>
      </c>
      <c r="N150" s="2" t="str" cm="1">
        <f t="array" aca="1" ref="N150" ca="1">IFERROR(VALUE(_xlfn.REGEXEXTRACT([1]Planilha1!$E150,"(\d+)\s*MESES",2)),IFERROR(VALUE(_xlfn.REGEXEXTRACT([1]Planilha1!$E150,"por\s*(\d+)\s*M",2)),IF(_xlfn.REGEXTEST([1]Planilha1!$E150,"1[ºª]"),1,"")))</f>
        <v/>
      </c>
      <c r="O150" s="6">
        <f t="shared" ca="1" si="9"/>
        <v>0.16650000000000001</v>
      </c>
      <c r="P150" t="str">
        <f ca="1">IF([1]Planilha1!$J150="","",TRIM([1]Planilha1!$J150))</f>
        <v>0</v>
      </c>
      <c r="Q150" s="7">
        <f ca="1">IF($D150="Claro","",IFERROR($L150-VLOOKUP($B150&amp;"|Claro",[1]AUX_CLARO!$A:$C,2,FALSE),""))</f>
        <v>-60</v>
      </c>
      <c r="R150" s="8">
        <f ca="1">IF($D150="Claro","",IFERROR($J150-VLOOKUP($B150&amp;"|Claro",[1]AUX_CLARO!$A:$C,3,FALSE),""))</f>
        <v>0</v>
      </c>
      <c r="S150" t="str">
        <f t="shared" ca="1" si="10"/>
        <v>Claro mais cara</v>
      </c>
      <c r="T150" t="str">
        <f t="shared" ca="1" si="11"/>
        <v>Mesma velocidade</v>
      </c>
      <c r="U150" s="9">
        <f t="shared" si="12"/>
        <v>46174</v>
      </c>
      <c r="V150" t="str">
        <f ca="1">IF(OR([1]Planilha1!$B150="",[1]Planilha1!$B150="NÃO MAPEADO"),"",TRIM([1]Planilha1!$B150))</f>
        <v>LITORAL</v>
      </c>
      <c r="W150" t="str">
        <f ca="1">IF([1]Planilha1!$C150="","",TRIM([1]Planilha1!$C150))</f>
        <v>PADRÃO</v>
      </c>
      <c r="X150" t="str">
        <f ca="1">IFERROR(VLOOKUP($C150,[1]Planilha2!$B:$H,7,FALSE),"")</f>
        <v>11500-001</v>
      </c>
    </row>
    <row r="151" spans="1:24" x14ac:dyDescent="0.35">
      <c r="A151" t="str">
        <f ca="1">IF(LEFT(TEXT([1]Planilha1!$L151,"0000000"),1)="5","MS","SP")</f>
        <v>SP</v>
      </c>
      <c r="B151" t="str">
        <f ca="1">IF(RIGHT([1]Planilha1!$A151,5)=" - MS",LEFT([1]Planilha1!$A151,LEN([1]Planilha1!$A151)-5),TRIM([1]Planilha1!$A151))</f>
        <v>DESCALVADO</v>
      </c>
      <c r="C151" s="2">
        <f ca="1">[1]Planilha1!$L151</f>
        <v>3513702</v>
      </c>
      <c r="D151" t="str">
        <f>TRIM([1]Planilha1!$D151)</f>
        <v>Claro</v>
      </c>
      <c r="E151" t="str">
        <f>IF(TRIM([1]Planilha1!$D151)="Claro","Claro","Concorrente")</f>
        <v>Claro</v>
      </c>
      <c r="F151" t="s">
        <v>24</v>
      </c>
      <c r="G151" t="str">
        <f t="shared" ca="1" si="0"/>
        <v>Banda Larga + Movel</v>
      </c>
      <c r="H151" t="str">
        <f ca="1">TRIM([1]Planilha1!$E151)</f>
        <v>600M+100GB=R$109,90 por 6M, após R$139,90</v>
      </c>
      <c r="I151" t="str">
        <f ca="1">IF([1]Planilha1!$F151="","",TRIM([1]Planilha1!$F151))</f>
        <v>Fibra</v>
      </c>
      <c r="J151" s="3">
        <f ca="1">IF([1]Planilha1!$G151="","",[1]Planilha1!$G151)</f>
        <v>600</v>
      </c>
      <c r="K151" s="4" cm="1">
        <f t="array" aca="1" ref="K151" ca="1">IFERROR(VALUE(_xlfn.REGEXEXTRACT([1]Planilha1!$E151,"\+\s*(\d+)GB",2)),"")</f>
        <v>100</v>
      </c>
      <c r="L151" s="5">
        <f ca="1">IF([1]Planilha1!$H151="","",[1]Planilha1!$H151)</f>
        <v>139.9</v>
      </c>
      <c r="M151" s="5">
        <f ca="1">IF([1]Planilha1!$I151="","",[1]Planilha1!$I151)</f>
        <v>109.9</v>
      </c>
      <c r="N151" s="2" cm="1">
        <f t="array" aca="1" ref="N151" ca="1">IFERROR(VALUE(_xlfn.REGEXEXTRACT([1]Planilha1!$E151,"(\d+)\s*MESES",2)),IFERROR(VALUE(_xlfn.REGEXEXTRACT([1]Planilha1!$E151,"por\s*(\d+)\s*M",2)),IF(_xlfn.REGEXTEST([1]Planilha1!$E151,"1[ºª]"),1,"")))</f>
        <v>6</v>
      </c>
      <c r="O151" s="6">
        <f t="shared" ca="1" si="9"/>
        <v>0.23316666666666669</v>
      </c>
      <c r="P151" t="str">
        <f ca="1">IF([1]Planilha1!$J151="","",TRIM([1]Planilha1!$J151))</f>
        <v>GLOBOPLAY</v>
      </c>
      <c r="Q151" s="7" t="str">
        <f>IF($D151="Claro","",IFERROR($L151-VLOOKUP($B151&amp;"|Claro",[1]AUX_CLARO!$A:$C,2,FALSE),""))</f>
        <v/>
      </c>
      <c r="R151" s="8" t="str">
        <f>IF($D151="Claro","",IFERROR($J151-VLOOKUP($B151&amp;"|Claro",[1]AUX_CLARO!$A:$C,3,FALSE),""))</f>
        <v/>
      </c>
      <c r="S151" t="str">
        <f t="shared" si="10"/>
        <v/>
      </c>
      <c r="T151" t="str">
        <f t="shared" si="11"/>
        <v/>
      </c>
      <c r="U151" s="9">
        <f t="shared" si="12"/>
        <v>46174</v>
      </c>
      <c r="V151" t="str">
        <f ca="1">IF(OR([1]Planilha1!$B151="",[1]Planilha1!$B151="NÃO MAPEADO"),"",TRIM([1]Planilha1!$B151))</f>
        <v>SUDESTE</v>
      </c>
      <c r="W151" t="str">
        <f ca="1">IF([1]Planilha1!$C151="","",TRIM([1]Planilha1!$C151))</f>
        <v>MD 2</v>
      </c>
      <c r="X151" s="12" t="str">
        <f ca="1">IFERROR(VLOOKUP($C151,[1]Planilha2!$B:$H,7,FALSE),"")</f>
        <v>13690-001</v>
      </c>
    </row>
    <row r="152" spans="1:24" x14ac:dyDescent="0.35">
      <c r="A152" t="str">
        <f ca="1">IF(LEFT(TEXT([1]Planilha1!$L152,"0000000"),1)="5","MS","SP")</f>
        <v>SP</v>
      </c>
      <c r="B152" t="str">
        <f ca="1">IF(RIGHT([1]Planilha1!$A152,5)=" - MS",LEFT([1]Planilha1!$A152,LEN([1]Planilha1!$A152)-5),TRIM([1]Planilha1!$A152))</f>
        <v>DESCALVADO</v>
      </c>
      <c r="C152" s="2">
        <f ca="1">[1]Planilha1!$L152</f>
        <v>3513702</v>
      </c>
      <c r="D152" t="str">
        <f>TRIM([1]Planilha1!$D152)</f>
        <v>Vivo</v>
      </c>
      <c r="E152" t="str">
        <f>IF(TRIM([1]Planilha1!$D152)="Claro","Claro","Concorrente")</f>
        <v>Concorrente</v>
      </c>
      <c r="F152" t="s">
        <v>25</v>
      </c>
      <c r="G152" t="str">
        <f t="shared" ca="1" si="0"/>
        <v>Banda Larga + Movel</v>
      </c>
      <c r="H152" t="s">
        <v>26</v>
      </c>
      <c r="I152" t="str">
        <f ca="1">IF([1]Planilha1!$F152="","",TRIM([1]Planilha1!$F152))</f>
        <v>Fibra</v>
      </c>
      <c r="J152" s="11" t="s">
        <v>27</v>
      </c>
      <c r="K152" s="4" cm="1">
        <f t="array" aca="1" ref="K152" ca="1">IFERROR(VALUE(_xlfn.REGEXEXTRACT([1]Planilha1!$E152,"\+\s*(\d+)GB",2)),"")</f>
        <v>70</v>
      </c>
      <c r="L152" s="5">
        <v>160</v>
      </c>
      <c r="M152" s="5" t="str">
        <f ca="1">IF([1]Planilha1!$I152="","",[1]Planilha1!$I152)</f>
        <v/>
      </c>
      <c r="N152" s="2" t="str" cm="1">
        <f t="array" aca="1" ref="N152" ca="1">IFERROR(VALUE(_xlfn.REGEXEXTRACT([1]Planilha1!$E152,"(\d+)\s*MESES",2)),IFERROR(VALUE(_xlfn.REGEXEXTRACT([1]Planilha1!$E152,"por\s*(\d+)\s*M",2)),IF(_xlfn.REGEXTEST([1]Planilha1!$E152,"1[ºª]"),1,"")))</f>
        <v/>
      </c>
      <c r="O152" s="6" t="str">
        <f t="shared" si="9"/>
        <v/>
      </c>
      <c r="P152" t="str">
        <f ca="1">IF([1]Planilha1!$J152="","",TRIM([1]Planilha1!$J152))</f>
        <v>0</v>
      </c>
      <c r="Q152" s="7">
        <f ca="1">IF($D152="Claro","",IFERROR($L152-VLOOKUP($B152&amp;"|Claro",[1]AUX_CLARO!$A:$C,2,FALSE),""))</f>
        <v>20.099999999999994</v>
      </c>
      <c r="R152" s="8" t="str">
        <f ca="1">IF($D152="Claro","",IFERROR($J152-VLOOKUP($B152&amp;"|Claro",[1]AUX_CLARO!$A:$C,3,FALSE),""))</f>
        <v/>
      </c>
      <c r="S152" t="str">
        <f t="shared" ca="1" si="10"/>
        <v>Claro mais barata</v>
      </c>
      <c r="T152" t="str">
        <f t="shared" ca="1" si="11"/>
        <v/>
      </c>
      <c r="U152" s="9">
        <f t="shared" si="12"/>
        <v>46174</v>
      </c>
      <c r="V152" t="str">
        <f ca="1">IF(OR([1]Planilha1!$B152="",[1]Planilha1!$B152="NÃO MAPEADO"),"",TRIM([1]Planilha1!$B152))</f>
        <v>SUDESTE</v>
      </c>
      <c r="W152" t="str">
        <f ca="1">IF([1]Planilha1!$C152="","",TRIM([1]Planilha1!$C152))</f>
        <v>MD 2</v>
      </c>
      <c r="X152" s="12" t="str">
        <f ca="1">IFERROR(VLOOKUP($C152,[1]Planilha2!$B:$H,7,FALSE),"")</f>
        <v>13690-001</v>
      </c>
    </row>
    <row r="153" spans="1:24" x14ac:dyDescent="0.35">
      <c r="A153" t="str">
        <f ca="1">IF(LEFT(TEXT([1]Planilha1!$L153,"0000000"),1)="5","MS","SP")</f>
        <v>SP</v>
      </c>
      <c r="B153" t="str">
        <f ca="1">IF(RIGHT([1]Planilha1!$A153,5)=" - MS",LEFT([1]Planilha1!$A153,LEN([1]Planilha1!$A153)-5),TRIM([1]Planilha1!$A153))</f>
        <v>DESCALVADO</v>
      </c>
      <c r="C153" s="2">
        <f ca="1">[1]Planilha1!$L153</f>
        <v>3513702</v>
      </c>
      <c r="D153" t="str">
        <f>TRIM([1]Planilha1!$D153)</f>
        <v>Desktop</v>
      </c>
      <c r="E153" t="str">
        <f>IF(TRIM([1]Planilha1!$D153)="Claro","Claro","Concorrente")</f>
        <v>Concorrente</v>
      </c>
      <c r="F153" t="s">
        <v>29</v>
      </c>
      <c r="G153" t="str">
        <f t="shared" ca="1" si="0"/>
        <v>Banda Larga + Movel</v>
      </c>
      <c r="H153" t="str">
        <f ca="1">TRIM([1]Planilha1!$E153)</f>
        <v>600M+15GB=R$129,99 - 6 MESES, APÓS R$139,99</v>
      </c>
      <c r="I153" t="str">
        <f ca="1">IF([1]Planilha1!$F153="","",TRIM([1]Planilha1!$F153))</f>
        <v>Fibra</v>
      </c>
      <c r="J153" s="3">
        <f ca="1">IF([1]Planilha1!$G153="","",[1]Planilha1!$G153)</f>
        <v>600</v>
      </c>
      <c r="K153" s="4" cm="1">
        <f t="array" aca="1" ref="K153" ca="1">IFERROR(VALUE(_xlfn.REGEXEXTRACT([1]Planilha1!$E153,"\+\s*(\d+)GB",2)),"")</f>
        <v>15</v>
      </c>
      <c r="L153" s="5">
        <f ca="1">IF([1]Planilha1!$H153="","",[1]Planilha1!$H153)</f>
        <v>139.99</v>
      </c>
      <c r="M153" s="5">
        <f ca="1">IF([1]Planilha1!$I153="","",[1]Planilha1!$I153)</f>
        <v>129.99</v>
      </c>
      <c r="N153" s="2" cm="1">
        <f t="array" aca="1" ref="N153" ca="1">IFERROR(VALUE(_xlfn.REGEXEXTRACT([1]Planilha1!$E153,"(\d+)\s*MESES",2)),IFERROR(VALUE(_xlfn.REGEXEXTRACT([1]Planilha1!$E153,"por\s*(\d+)\s*M",2)),IF(_xlfn.REGEXTEST([1]Planilha1!$E153,"1[ºª]"),1,"")))</f>
        <v>6</v>
      </c>
      <c r="O153" s="6">
        <f t="shared" ca="1" si="9"/>
        <v>0.23331666666666667</v>
      </c>
      <c r="P153" t="str">
        <f ca="1">IF([1]Planilha1!$J153="","",TRIM([1]Planilha1!$J153))</f>
        <v>0</v>
      </c>
      <c r="Q153" s="7">
        <f ca="1">IF($D153="Claro","",IFERROR($L153-VLOOKUP($B153&amp;"|Claro",[1]AUX_CLARO!$A:$C,2,FALSE),""))</f>
        <v>9.0000000000003411E-2</v>
      </c>
      <c r="R153" s="8">
        <f ca="1">IF($D153="Claro","",IFERROR($J153-VLOOKUP($B153&amp;"|Claro",[1]AUX_CLARO!$A:$C,3,FALSE),""))</f>
        <v>0</v>
      </c>
      <c r="S153" t="str">
        <f t="shared" ca="1" si="10"/>
        <v>Claro mais barata</v>
      </c>
      <c r="T153" t="str">
        <f t="shared" ca="1" si="11"/>
        <v>Mesma velocidade</v>
      </c>
      <c r="U153" s="9">
        <f t="shared" si="12"/>
        <v>46174</v>
      </c>
      <c r="V153" t="str">
        <f ca="1">IF(OR([1]Planilha1!$B153="",[1]Planilha1!$B153="NÃO MAPEADO"),"",TRIM([1]Planilha1!$B153))</f>
        <v>SUDESTE</v>
      </c>
      <c r="W153" t="str">
        <f ca="1">IF([1]Planilha1!$C153="","",TRIM([1]Planilha1!$C153))</f>
        <v>MD 2</v>
      </c>
      <c r="X153" s="12" t="str">
        <f ca="1">IFERROR(VLOOKUP($C153,[1]Planilha2!$B:$H,7,FALSE),"")</f>
        <v>13690-001</v>
      </c>
    </row>
    <row r="154" spans="1:24" x14ac:dyDescent="0.35">
      <c r="A154" t="str">
        <f ca="1">IF(LEFT(TEXT([1]Planilha1!$L154,"0000000"),1)="5","MS","SP")</f>
        <v>SP</v>
      </c>
      <c r="B154" t="str">
        <f ca="1">IF(RIGHT([1]Planilha1!$A154,5)=" - MS",LEFT([1]Planilha1!$A154,LEN([1]Planilha1!$A154)-5),TRIM([1]Planilha1!$A154))</f>
        <v>DESCALVADO</v>
      </c>
      <c r="C154" s="2">
        <f ca="1">[1]Planilha1!$L154</f>
        <v>3513702</v>
      </c>
      <c r="D154" t="str">
        <f>TRIM([1]Planilha1!$D154)</f>
        <v>ISP LOCAL</v>
      </c>
      <c r="E154" t="str">
        <f>IF(TRIM([1]Planilha1!$D154)="Claro","Claro","Concorrente")</f>
        <v>Concorrente</v>
      </c>
      <c r="F154" t="s">
        <v>57</v>
      </c>
      <c r="G154" t="str">
        <f t="shared" ca="1" si="0"/>
        <v>Banda Larga + Conteudo</v>
      </c>
      <c r="H154" t="str">
        <f ca="1">TRIM([1]Planilha1!$E154)</f>
        <v>DESCALNET - 650M R$99,90</v>
      </c>
      <c r="I154" t="str">
        <f ca="1">IF([1]Planilha1!$F154="","",TRIM([1]Planilha1!$F154))</f>
        <v>Fibra</v>
      </c>
      <c r="J154" s="3">
        <f ca="1">IF([1]Planilha1!$G154="","",[1]Planilha1!$G154)</f>
        <v>650</v>
      </c>
      <c r="K154" s="4" t="str" cm="1">
        <f t="array" aca="1" ref="K154" ca="1">IFERROR(VALUE(_xlfn.REGEXEXTRACT([1]Planilha1!$E154,"\+\s*(\d+)GB",2)),"")</f>
        <v/>
      </c>
      <c r="L154" s="5">
        <f ca="1">IF([1]Planilha1!$H154="","",[1]Planilha1!$H154)</f>
        <v>99.9</v>
      </c>
      <c r="M154" s="5" t="str">
        <f ca="1">IF([1]Planilha1!$I154="","",[1]Planilha1!$I154)</f>
        <v/>
      </c>
      <c r="N154" s="2" t="str" cm="1">
        <f t="array" aca="1" ref="N154" ca="1">IFERROR(VALUE(_xlfn.REGEXEXTRACT([1]Planilha1!$E154,"(\d+)\s*MESES",2)),IFERROR(VALUE(_xlfn.REGEXEXTRACT([1]Planilha1!$E154,"por\s*(\d+)\s*M",2)),IF(_xlfn.REGEXTEST([1]Planilha1!$E154,"1[ºª]"),1,"")))</f>
        <v/>
      </c>
      <c r="O154" s="6">
        <f t="shared" ca="1" si="9"/>
        <v>0.15369230769230771</v>
      </c>
      <c r="P154" t="str">
        <f ca="1">IF([1]Planilha1!$J154="","",TRIM([1]Planilha1!$J154))</f>
        <v>0</v>
      </c>
      <c r="Q154" s="7">
        <f ca="1">IF($D154="Claro","",IFERROR($L154-VLOOKUP($B154&amp;"|Claro",[1]AUX_CLARO!$A:$C,2,FALSE),""))</f>
        <v>-40</v>
      </c>
      <c r="R154" s="8">
        <f ca="1">IF($D154="Claro","",IFERROR($J154-VLOOKUP($B154&amp;"|Claro",[1]AUX_CLARO!$A:$C,3,FALSE),""))</f>
        <v>50</v>
      </c>
      <c r="S154" t="str">
        <f t="shared" ca="1" si="10"/>
        <v>Claro mais cara</v>
      </c>
      <c r="T154" t="str">
        <f t="shared" ca="1" si="11"/>
        <v>Claro com menor velocidade</v>
      </c>
      <c r="U154" s="9">
        <f t="shared" si="12"/>
        <v>46174</v>
      </c>
      <c r="V154" t="str">
        <f ca="1">IF(OR([1]Planilha1!$B154="",[1]Planilha1!$B154="NÃO MAPEADO"),"",TRIM([1]Planilha1!$B154))</f>
        <v>SUDESTE</v>
      </c>
      <c r="W154" t="str">
        <f ca="1">IF([1]Planilha1!$C154="","",TRIM([1]Planilha1!$C154))</f>
        <v>MD 2</v>
      </c>
      <c r="X154" s="12" t="str">
        <f ca="1">IFERROR(VLOOKUP($C154,[1]Planilha2!$B:$H,7,FALSE),"")</f>
        <v>13690-001</v>
      </c>
    </row>
    <row r="155" spans="1:24" x14ac:dyDescent="0.35">
      <c r="A155" t="str">
        <f ca="1">IF(LEFT(TEXT([1]Planilha1!$L155,"0000000"),1)="5","MS","SP")</f>
        <v>SP</v>
      </c>
      <c r="B155" t="str">
        <f ca="1">IF(RIGHT([1]Planilha1!$A155,5)=" - MS",LEFT([1]Planilha1!$A155,LEN([1]Planilha1!$A155)-5),TRIM([1]Planilha1!$A155))</f>
        <v>DRACENA</v>
      </c>
      <c r="C155" s="2">
        <f ca="1">[1]Planilha1!$L155</f>
        <v>3514403</v>
      </c>
      <c r="D155" t="str">
        <f>TRIM([1]Planilha1!$D155)</f>
        <v>Claro</v>
      </c>
      <c r="E155" t="str">
        <f>IF(TRIM([1]Planilha1!$D155)="Claro","Claro","Concorrente")</f>
        <v>Claro</v>
      </c>
      <c r="F155" t="s">
        <v>24</v>
      </c>
      <c r="G155" t="str">
        <f t="shared" ca="1" si="0"/>
        <v>Banda Larga + Movel</v>
      </c>
      <c r="H155" t="str">
        <f ca="1">TRIM([1]Planilha1!$E155)</f>
        <v>600M+100GB=R$109,90 por 6M, após R$139,90</v>
      </c>
      <c r="I155" t="str">
        <f ca="1">IF([1]Planilha1!$F155="","",TRIM([1]Planilha1!$F155))</f>
        <v>Fibra</v>
      </c>
      <c r="J155" s="3">
        <f ca="1">IF([1]Planilha1!$G155="","",[1]Planilha1!$G155)</f>
        <v>600</v>
      </c>
      <c r="K155" s="4" cm="1">
        <f t="array" aca="1" ref="K155" ca="1">IFERROR(VALUE(_xlfn.REGEXEXTRACT([1]Planilha1!$E155,"\+\s*(\d+)GB",2)),"")</f>
        <v>100</v>
      </c>
      <c r="L155" s="5">
        <f ca="1">IF([1]Planilha1!$H155="","",[1]Planilha1!$H155)</f>
        <v>139.9</v>
      </c>
      <c r="M155" s="5">
        <f ca="1">IF([1]Planilha1!$I155="","",[1]Planilha1!$I155)</f>
        <v>109.9</v>
      </c>
      <c r="N155" s="2" cm="1">
        <f t="array" aca="1" ref="N155" ca="1">IFERROR(VALUE(_xlfn.REGEXEXTRACT([1]Planilha1!$E155,"(\d+)\s*MESES",2)),IFERROR(VALUE(_xlfn.REGEXEXTRACT([1]Planilha1!$E155,"por\s*(\d+)\s*M",2)),IF(_xlfn.REGEXTEST([1]Planilha1!$E155,"1[ºª]"),1,"")))</f>
        <v>6</v>
      </c>
      <c r="O155" s="6">
        <f t="shared" ca="1" si="9"/>
        <v>0.23316666666666669</v>
      </c>
      <c r="P155" t="str">
        <f ca="1">IF([1]Planilha1!$J155="","",TRIM([1]Planilha1!$J155))</f>
        <v>GLOBOPLAY</v>
      </c>
      <c r="Q155" s="7" t="str">
        <f>IF($D155="Claro","",IFERROR($L155-VLOOKUP($B155&amp;"|Claro",[1]AUX_CLARO!$A:$C,2,FALSE),""))</f>
        <v/>
      </c>
      <c r="R155" s="8" t="str">
        <f>IF($D155="Claro","",IFERROR($J155-VLOOKUP($B155&amp;"|Claro",[1]AUX_CLARO!$A:$C,3,FALSE),""))</f>
        <v/>
      </c>
      <c r="S155" t="str">
        <f t="shared" si="10"/>
        <v/>
      </c>
      <c r="T155" t="str">
        <f t="shared" si="11"/>
        <v/>
      </c>
      <c r="U155" s="9">
        <f t="shared" si="12"/>
        <v>46174</v>
      </c>
      <c r="V155" t="str">
        <f ca="1">IF(OR([1]Planilha1!$B155="",[1]Planilha1!$B155="NÃO MAPEADO"),"",TRIM([1]Planilha1!$B155))</f>
        <v>NOROESTE</v>
      </c>
      <c r="W155" t="str">
        <f ca="1">IF([1]Planilha1!$C155="","",TRIM([1]Planilha1!$C155))</f>
        <v>MD 2</v>
      </c>
      <c r="X155" t="str">
        <f ca="1">IFERROR(VLOOKUP($C155,[1]Planilha2!$B:$H,7,FALSE),"")</f>
        <v>17900-001</v>
      </c>
    </row>
    <row r="156" spans="1:24" x14ac:dyDescent="0.35">
      <c r="A156" t="str">
        <f ca="1">IF(LEFT(TEXT([1]Planilha1!$L156,"0000000"),1)="5","MS","SP")</f>
        <v>SP</v>
      </c>
      <c r="B156" t="str">
        <f ca="1">IF(RIGHT([1]Planilha1!$A156,5)=" - MS",LEFT([1]Planilha1!$A156,LEN([1]Planilha1!$A156)-5),TRIM([1]Planilha1!$A156))</f>
        <v>DRACENA</v>
      </c>
      <c r="C156" s="2">
        <f ca="1">[1]Planilha1!$L156</f>
        <v>3514403</v>
      </c>
      <c r="D156" t="str">
        <f>TRIM([1]Planilha1!$D156)</f>
        <v>Vivo</v>
      </c>
      <c r="E156" t="str">
        <f>IF(TRIM([1]Planilha1!$D156)="Claro","Claro","Concorrente")</f>
        <v>Concorrente</v>
      </c>
      <c r="F156" t="s">
        <v>25</v>
      </c>
      <c r="G156" t="str">
        <f t="shared" ca="1" si="0"/>
        <v>Banda Larga + Movel</v>
      </c>
      <c r="H156" t="s">
        <v>26</v>
      </c>
      <c r="I156" t="str">
        <f ca="1">IF([1]Planilha1!$F156="","",TRIM([1]Planilha1!$F156))</f>
        <v>Fibra</v>
      </c>
      <c r="J156" s="11" t="s">
        <v>27</v>
      </c>
      <c r="K156" s="4" cm="1">
        <f t="array" aca="1" ref="K156" ca="1">IFERROR(VALUE(_xlfn.REGEXEXTRACT([1]Planilha1!$E156,"\+\s*(\d+)GB",2)),"")</f>
        <v>70</v>
      </c>
      <c r="L156" s="5">
        <v>160</v>
      </c>
      <c r="M156" s="5" t="str">
        <f ca="1">IF([1]Planilha1!$I156="","",[1]Planilha1!$I156)</f>
        <v/>
      </c>
      <c r="N156" s="2" t="str" cm="1">
        <f t="array" aca="1" ref="N156" ca="1">IFERROR(VALUE(_xlfn.REGEXEXTRACT([1]Planilha1!$E156,"(\d+)\s*MESES",2)),IFERROR(VALUE(_xlfn.REGEXEXTRACT([1]Planilha1!$E156,"por\s*(\d+)\s*M",2)),IF(_xlfn.REGEXTEST([1]Planilha1!$E156,"1[ºª]"),1,"")))</f>
        <v/>
      </c>
      <c r="O156" s="6" t="str">
        <f t="shared" si="9"/>
        <v/>
      </c>
      <c r="P156" t="str">
        <f ca="1">IF([1]Planilha1!$J156="","",TRIM([1]Planilha1!$J156))</f>
        <v>0</v>
      </c>
      <c r="Q156" s="7">
        <f ca="1">IF($D156="Claro","",IFERROR($L156-VLOOKUP($B156&amp;"|Claro",[1]AUX_CLARO!$A:$C,2,FALSE),""))</f>
        <v>20.099999999999994</v>
      </c>
      <c r="R156" s="8" t="str">
        <f ca="1">IF($D156="Claro","",IFERROR($J156-VLOOKUP($B156&amp;"|Claro",[1]AUX_CLARO!$A:$C,3,FALSE),""))</f>
        <v/>
      </c>
      <c r="S156" t="str">
        <f t="shared" ca="1" si="10"/>
        <v>Claro mais barata</v>
      </c>
      <c r="T156" t="str">
        <f t="shared" ca="1" si="11"/>
        <v/>
      </c>
      <c r="U156" s="9">
        <f t="shared" si="12"/>
        <v>46174</v>
      </c>
      <c r="V156" t="str">
        <f ca="1">IF(OR([1]Planilha1!$B156="",[1]Planilha1!$B156="NÃO MAPEADO"),"",TRIM([1]Planilha1!$B156))</f>
        <v>NOROESTE</v>
      </c>
      <c r="W156" t="str">
        <f ca="1">IF([1]Planilha1!$C156="","",TRIM([1]Planilha1!$C156))</f>
        <v>MD 2</v>
      </c>
      <c r="X156" t="str">
        <f ca="1">IFERROR(VLOOKUP($C156,[1]Planilha2!$B:$H,7,FALSE),"")</f>
        <v>17900-001</v>
      </c>
    </row>
    <row r="157" spans="1:24" x14ac:dyDescent="0.35">
      <c r="A157" t="str">
        <f ca="1">IF(LEFT(TEXT([1]Planilha1!$L157,"0000000"),1)="5","MS","SP")</f>
        <v>SP</v>
      </c>
      <c r="B157" t="str">
        <f ca="1">IF(RIGHT([1]Planilha1!$A157,5)=" - MS",LEFT([1]Planilha1!$A157,LEN([1]Planilha1!$A157)-5),TRIM([1]Planilha1!$A157))</f>
        <v>DRACENA</v>
      </c>
      <c r="C157" s="2">
        <f ca="1">[1]Planilha1!$L157</f>
        <v>3514403</v>
      </c>
      <c r="D157" t="str">
        <f>TRIM([1]Planilha1!$D157)</f>
        <v>ISP LOCAL</v>
      </c>
      <c r="E157" t="str">
        <f>IF(TRIM([1]Planilha1!$D157)="Claro","Claro","Concorrente")</f>
        <v>Concorrente</v>
      </c>
      <c r="F157" t="s">
        <v>36</v>
      </c>
      <c r="G157" t="str">
        <f t="shared" ca="1" si="0"/>
        <v>Banda Larga + Conteudo</v>
      </c>
      <c r="H157" t="str">
        <f ca="1">TRIM([1]Planilha1!$E157)</f>
        <v>CONNECTA - 600M R$99,90</v>
      </c>
      <c r="I157" t="str">
        <f ca="1">IF([1]Planilha1!$F157="","",TRIM([1]Planilha1!$F157))</f>
        <v>Fibra</v>
      </c>
      <c r="J157" s="3">
        <f ca="1">IF([1]Planilha1!$G157="","",[1]Planilha1!$G157)</f>
        <v>600</v>
      </c>
      <c r="K157" s="4" t="str" cm="1">
        <f t="array" aca="1" ref="K157" ca="1">IFERROR(VALUE(_xlfn.REGEXEXTRACT([1]Planilha1!$E157,"\+\s*(\d+)GB",2)),"")</f>
        <v/>
      </c>
      <c r="L157" s="5">
        <f ca="1">IF([1]Planilha1!$H157="","",[1]Planilha1!$H157)</f>
        <v>99.9</v>
      </c>
      <c r="M157" s="5" t="str">
        <f ca="1">IF([1]Planilha1!$I157="","",[1]Planilha1!$I157)</f>
        <v/>
      </c>
      <c r="N157" s="2" t="str" cm="1">
        <f t="array" aca="1" ref="N157" ca="1">IFERROR(VALUE(_xlfn.REGEXEXTRACT([1]Planilha1!$E157,"(\d+)\s*MESES",2)),IFERROR(VALUE(_xlfn.REGEXEXTRACT([1]Planilha1!$E157,"por\s*(\d+)\s*M",2)),IF(_xlfn.REGEXTEST([1]Planilha1!$E157,"1[ºª]"),1,"")))</f>
        <v/>
      </c>
      <c r="O157" s="6">
        <f t="shared" ca="1" si="9"/>
        <v>0.16650000000000001</v>
      </c>
      <c r="P157" t="str">
        <f ca="1">IF([1]Planilha1!$J157="","",TRIM([1]Planilha1!$J157))</f>
        <v>0</v>
      </c>
      <c r="Q157" s="7">
        <f ca="1">IF($D157="Claro","",IFERROR($L157-VLOOKUP($B157&amp;"|Claro",[1]AUX_CLARO!$A:$C,2,FALSE),""))</f>
        <v>-40</v>
      </c>
      <c r="R157" s="8">
        <f ca="1">IF($D157="Claro","",IFERROR($J157-VLOOKUP($B157&amp;"|Claro",[1]AUX_CLARO!$A:$C,3,FALSE),""))</f>
        <v>0</v>
      </c>
      <c r="S157" t="str">
        <f t="shared" ca="1" si="10"/>
        <v>Claro mais cara</v>
      </c>
      <c r="T157" t="str">
        <f t="shared" ca="1" si="11"/>
        <v>Mesma velocidade</v>
      </c>
      <c r="U157" s="9">
        <f t="shared" si="12"/>
        <v>46174</v>
      </c>
      <c r="V157" t="str">
        <f ca="1">IF(OR([1]Planilha1!$B157="",[1]Planilha1!$B157="NÃO MAPEADO"),"",TRIM([1]Planilha1!$B157))</f>
        <v>NOROESTE</v>
      </c>
      <c r="W157" t="str">
        <f ca="1">IF([1]Planilha1!$C157="","",TRIM([1]Planilha1!$C157))</f>
        <v>MD 2</v>
      </c>
      <c r="X157" t="str">
        <f ca="1">IFERROR(VLOOKUP($C157,[1]Planilha2!$B:$H,7,FALSE),"")</f>
        <v>17900-001</v>
      </c>
    </row>
    <row r="158" spans="1:24" x14ac:dyDescent="0.35">
      <c r="A158" t="str">
        <f ca="1">IF(LEFT(TEXT([1]Planilha1!$L158,"0000000"),1)="5","MS","SP")</f>
        <v>SP</v>
      </c>
      <c r="B158" t="str">
        <f ca="1">IF(RIGHT([1]Planilha1!$A158,5)=" - MS",LEFT([1]Planilha1!$A158,LEN([1]Planilha1!$A158)-5),TRIM([1]Planilha1!$A158))</f>
        <v>ELIAS FAUSTO</v>
      </c>
      <c r="C158" s="2">
        <f ca="1">[1]Planilha1!$L158</f>
        <v>3514908</v>
      </c>
      <c r="D158" t="str">
        <f>TRIM([1]Planilha1!$D158)</f>
        <v>Claro</v>
      </c>
      <c r="E158" t="str">
        <f>IF(TRIM([1]Planilha1!$D158)="Claro","Claro","Concorrente")</f>
        <v>Claro</v>
      </c>
      <c r="F158" t="s">
        <v>24</v>
      </c>
      <c r="G158" t="str">
        <f t="shared" ca="1" si="0"/>
        <v>Banda Larga + Movel</v>
      </c>
      <c r="H158" t="str">
        <f ca="1">TRIM([1]Planilha1!$E158)</f>
        <v>600M+100GB=R$159,90</v>
      </c>
      <c r="I158" t="str">
        <f ca="1">IF([1]Planilha1!$F158="","",TRIM([1]Planilha1!$F158))</f>
        <v>Fibra</v>
      </c>
      <c r="J158" s="3">
        <f ca="1">IF([1]Planilha1!$G158="","",[1]Planilha1!$G158)</f>
        <v>600</v>
      </c>
      <c r="K158" s="4" cm="1">
        <f t="array" aca="1" ref="K158" ca="1">IFERROR(VALUE(_xlfn.REGEXEXTRACT([1]Planilha1!$E158,"\+\s*(\d+)GB",2)),"")</f>
        <v>100</v>
      </c>
      <c r="L158" s="5">
        <f ca="1">IF([1]Planilha1!$H158="","",[1]Planilha1!$H158)</f>
        <v>159.9</v>
      </c>
      <c r="M158" s="5" t="str">
        <f ca="1">IF([1]Planilha1!$I158="","",[1]Planilha1!$I158)</f>
        <v/>
      </c>
      <c r="N158" s="2" t="str" cm="1">
        <f t="array" aca="1" ref="N158" ca="1">IFERROR(VALUE(_xlfn.REGEXEXTRACT([1]Planilha1!$E158,"(\d+)\s*MESES",2)),IFERROR(VALUE(_xlfn.REGEXEXTRACT([1]Planilha1!$E158,"por\s*(\d+)\s*M",2)),IF(_xlfn.REGEXTEST([1]Planilha1!$E158,"1[ºª]"),1,"")))</f>
        <v/>
      </c>
      <c r="O158" s="6">
        <f t="shared" ca="1" si="9"/>
        <v>0.26650000000000001</v>
      </c>
      <c r="P158" t="str">
        <f ca="1">IF([1]Planilha1!$J158="","",TRIM([1]Planilha1!$J158))</f>
        <v>GLOBOPLAY</v>
      </c>
      <c r="Q158" s="7" t="str">
        <f>IF($D158="Claro","",IFERROR($L158-VLOOKUP($B158&amp;"|Claro",[1]AUX_CLARO!$A:$C,2,FALSE),""))</f>
        <v/>
      </c>
      <c r="R158" s="8" t="str">
        <f>IF($D158="Claro","",IFERROR($J158-VLOOKUP($B158&amp;"|Claro",[1]AUX_CLARO!$A:$C,3,FALSE),""))</f>
        <v/>
      </c>
      <c r="S158" t="str">
        <f t="shared" si="10"/>
        <v/>
      </c>
      <c r="T158" t="str">
        <f t="shared" si="11"/>
        <v/>
      </c>
      <c r="U158" s="9">
        <f t="shared" si="12"/>
        <v>46174</v>
      </c>
      <c r="V158" t="str">
        <f ca="1">IF(OR([1]Planilha1!$B158="",[1]Planilha1!$B158="NÃO MAPEADO"),"",TRIM([1]Planilha1!$B158))</f>
        <v>CENTRAL</v>
      </c>
      <c r="W158" t="str">
        <f ca="1">IF([1]Planilha1!$C158="","",TRIM([1]Planilha1!$C158))</f>
        <v>PADRÃO</v>
      </c>
      <c r="X158" t="str">
        <f ca="1">IFERROR(VLOOKUP($C158,[1]Planilha2!$B:$H,7,FALSE),"")</f>
        <v>13350-001</v>
      </c>
    </row>
    <row r="159" spans="1:24" x14ac:dyDescent="0.35">
      <c r="A159" t="str">
        <f ca="1">IF(LEFT(TEXT([1]Planilha1!$L159,"0000000"),1)="5","MS","SP")</f>
        <v>SP</v>
      </c>
      <c r="B159" t="str">
        <f ca="1">IF(RIGHT([1]Planilha1!$A159,5)=" - MS",LEFT([1]Planilha1!$A159,LEN([1]Planilha1!$A159)-5),TRIM([1]Planilha1!$A159))</f>
        <v>ELIAS FAUSTO</v>
      </c>
      <c r="C159" s="2">
        <f ca="1">[1]Planilha1!$L159</f>
        <v>3514908</v>
      </c>
      <c r="D159" t="str">
        <f>TRIM([1]Planilha1!$D159)</f>
        <v>Desktop</v>
      </c>
      <c r="E159" t="str">
        <f>IF(TRIM([1]Planilha1!$D159)="Claro","Claro","Concorrente")</f>
        <v>Concorrente</v>
      </c>
      <c r="F159" t="s">
        <v>29</v>
      </c>
      <c r="G159" t="str">
        <f t="shared" ca="1" si="0"/>
        <v>Banda Larga + Movel</v>
      </c>
      <c r="H159" t="str">
        <f ca="1">TRIM([1]Planilha1!$E159)</f>
        <v>600M+15GB=R$129,99 - 6 MESES, APÓS R$139,99</v>
      </c>
      <c r="I159" t="str">
        <f ca="1">IF([1]Planilha1!$F159="","",TRIM([1]Planilha1!$F159))</f>
        <v>Fibra</v>
      </c>
      <c r="J159" s="3">
        <f ca="1">IF([1]Planilha1!$G159="","",[1]Planilha1!$G159)</f>
        <v>600</v>
      </c>
      <c r="K159" s="4" cm="1">
        <f t="array" aca="1" ref="K159" ca="1">IFERROR(VALUE(_xlfn.REGEXEXTRACT([1]Planilha1!$E159,"\+\s*(\d+)GB",2)),"")</f>
        <v>15</v>
      </c>
      <c r="L159" s="5">
        <f ca="1">IF([1]Planilha1!$H159="","",[1]Planilha1!$H159)</f>
        <v>139.99</v>
      </c>
      <c r="M159" s="5">
        <f ca="1">IF([1]Planilha1!$I159="","",[1]Planilha1!$I159)</f>
        <v>129.99</v>
      </c>
      <c r="N159" s="2" cm="1">
        <f t="array" aca="1" ref="N159" ca="1">IFERROR(VALUE(_xlfn.REGEXEXTRACT([1]Planilha1!$E159,"(\d+)\s*MESES",2)),IFERROR(VALUE(_xlfn.REGEXEXTRACT([1]Planilha1!$E159,"por\s*(\d+)\s*M",2)),IF(_xlfn.REGEXTEST([1]Planilha1!$E159,"1[ºª]"),1,"")))</f>
        <v>6</v>
      </c>
      <c r="O159" s="6">
        <f t="shared" ca="1" si="9"/>
        <v>0.23331666666666667</v>
      </c>
      <c r="P159" t="str">
        <f ca="1">IF([1]Planilha1!$J159="","",TRIM([1]Planilha1!$J159))</f>
        <v>0</v>
      </c>
      <c r="Q159" s="7">
        <f ca="1">IF($D159="Claro","",IFERROR($L159-VLOOKUP($B159&amp;"|Claro",[1]AUX_CLARO!$A:$C,2,FALSE),""))</f>
        <v>-19.909999999999997</v>
      </c>
      <c r="R159" s="8">
        <f ca="1">IF($D159="Claro","",IFERROR($J159-VLOOKUP($B159&amp;"|Claro",[1]AUX_CLARO!$A:$C,3,FALSE),""))</f>
        <v>0</v>
      </c>
      <c r="S159" t="str">
        <f t="shared" ca="1" si="10"/>
        <v>Claro mais cara</v>
      </c>
      <c r="T159" t="str">
        <f t="shared" ca="1" si="11"/>
        <v>Mesma velocidade</v>
      </c>
      <c r="U159" s="9">
        <f t="shared" si="12"/>
        <v>46174</v>
      </c>
      <c r="V159" t="str">
        <f ca="1">IF(OR([1]Planilha1!$B159="",[1]Planilha1!$B159="NÃO MAPEADO"),"",TRIM([1]Planilha1!$B159))</f>
        <v>CENTRAL</v>
      </c>
      <c r="W159" t="str">
        <f ca="1">IF([1]Planilha1!$C159="","",TRIM([1]Planilha1!$C159))</f>
        <v>PADRÃO</v>
      </c>
      <c r="X159" t="str">
        <f ca="1">IFERROR(VLOOKUP($C159,[1]Planilha2!$B:$H,7,FALSE),"")</f>
        <v>13350-001</v>
      </c>
    </row>
    <row r="160" spans="1:24" x14ac:dyDescent="0.35">
      <c r="A160" t="str">
        <f ca="1">IF(LEFT(TEXT([1]Planilha1!$L160,"0000000"),1)="5","MS","SP")</f>
        <v>SP</v>
      </c>
      <c r="B160" t="str">
        <f ca="1">IF(RIGHT([1]Planilha1!$A160,5)=" - MS",LEFT([1]Planilha1!$A160,LEN([1]Planilha1!$A160)-5),TRIM([1]Planilha1!$A160))</f>
        <v>ELIAS FAUSTO</v>
      </c>
      <c r="C160" s="2">
        <f ca="1">[1]Planilha1!$L160</f>
        <v>3514908</v>
      </c>
      <c r="D160" t="str">
        <f>TRIM([1]Planilha1!$D160)</f>
        <v>Alares</v>
      </c>
      <c r="E160" t="str">
        <f>IF(TRIM([1]Planilha1!$D160)="Claro","Claro","Concorrente")</f>
        <v>Concorrente</v>
      </c>
      <c r="F160" t="s">
        <v>32</v>
      </c>
      <c r="G160" t="str">
        <f t="shared" ca="1" si="0"/>
        <v>Banda Larga + Conteudo</v>
      </c>
      <c r="H160" t="str">
        <f ca="1">TRIM([1]Planilha1!$E160)</f>
        <v>1GB + GLOBOPLAY R$99,90</v>
      </c>
      <c r="I160" t="str">
        <f ca="1">IF([1]Planilha1!$F160="","",TRIM([1]Planilha1!$F160))</f>
        <v>Fibra</v>
      </c>
      <c r="J160" s="3">
        <f ca="1">IF([1]Planilha1!$G160="","",[1]Planilha1!$G160)</f>
        <v>1000</v>
      </c>
      <c r="K160" s="4" t="str" cm="1">
        <f t="array" aca="1" ref="K160" ca="1">IFERROR(VALUE(_xlfn.REGEXEXTRACT([1]Planilha1!$E160,"\+\s*(\d+)GB",2)),"")</f>
        <v/>
      </c>
      <c r="L160" s="5">
        <f ca="1">IF([1]Planilha1!$H160="","",[1]Planilha1!$H160)</f>
        <v>99.9</v>
      </c>
      <c r="M160" s="5" t="str">
        <f ca="1">IF([1]Planilha1!$I160="","",[1]Planilha1!$I160)</f>
        <v/>
      </c>
      <c r="N160" s="2" t="str" cm="1">
        <f t="array" aca="1" ref="N160" ca="1">IFERROR(VALUE(_xlfn.REGEXEXTRACT([1]Planilha1!$E160,"(\d+)\s*MESES",2)),IFERROR(VALUE(_xlfn.REGEXEXTRACT([1]Planilha1!$E160,"por\s*(\d+)\s*M",2)),IF(_xlfn.REGEXTEST([1]Planilha1!$E160,"1[ºª]"),1,"")))</f>
        <v/>
      </c>
      <c r="O160" s="6">
        <f t="shared" ca="1" si="9"/>
        <v>9.9900000000000003E-2</v>
      </c>
      <c r="P160" t="str">
        <f ca="1">IF([1]Planilha1!$J160="","",TRIM([1]Planilha1!$J160))</f>
        <v>GLOBOPLAY</v>
      </c>
      <c r="Q160" s="7">
        <f ca="1">IF($D160="Claro","",IFERROR($L160-VLOOKUP($B160&amp;"|Claro",[1]AUX_CLARO!$A:$C,2,FALSE),""))</f>
        <v>-60</v>
      </c>
      <c r="R160" s="8">
        <f ca="1">IF($D160="Claro","",IFERROR($J160-VLOOKUP($B160&amp;"|Claro",[1]AUX_CLARO!$A:$C,3,FALSE),""))</f>
        <v>400</v>
      </c>
      <c r="S160" t="str">
        <f t="shared" ca="1" si="10"/>
        <v>Claro mais cara</v>
      </c>
      <c r="T160" t="str">
        <f t="shared" ca="1" si="11"/>
        <v>Claro com menor velocidade</v>
      </c>
      <c r="U160" s="9">
        <f t="shared" si="12"/>
        <v>46174</v>
      </c>
      <c r="V160" t="str">
        <f ca="1">IF(OR([1]Planilha1!$B160="",[1]Planilha1!$B160="NÃO MAPEADO"),"",TRIM([1]Planilha1!$B160))</f>
        <v>CENTRAL</v>
      </c>
      <c r="W160" t="str">
        <f ca="1">IF([1]Planilha1!$C160="","",TRIM([1]Planilha1!$C160))</f>
        <v>PADRÃO</v>
      </c>
      <c r="X160" t="str">
        <f ca="1">IFERROR(VLOOKUP($C160,[1]Planilha2!$B:$H,7,FALSE),"")</f>
        <v>13350-001</v>
      </c>
    </row>
    <row r="161" spans="1:24" x14ac:dyDescent="0.35">
      <c r="A161" t="str">
        <f ca="1">IF(LEFT(TEXT([1]Planilha1!$L161,"0000000"),1)="5","MS","SP")</f>
        <v>SP</v>
      </c>
      <c r="B161" t="str">
        <f ca="1">IF(RIGHT([1]Planilha1!$A161,5)=" - MS",LEFT([1]Planilha1!$A161,LEN([1]Planilha1!$A161)-5),TRIM([1]Planilha1!$A161))</f>
        <v>ESPIRITO SANTO DO PINHAL</v>
      </c>
      <c r="C161" s="2">
        <f ca="1">[1]Planilha1!$L161</f>
        <v>3515186</v>
      </c>
      <c r="D161" t="str">
        <f>TRIM([1]Planilha1!$D161)</f>
        <v>Claro</v>
      </c>
      <c r="E161" t="str">
        <f>IF(TRIM([1]Planilha1!$D161)="Claro","Claro","Concorrente")</f>
        <v>Claro</v>
      </c>
      <c r="F161" t="s">
        <v>24</v>
      </c>
      <c r="G161" t="str">
        <f t="shared" ca="1" si="0"/>
        <v>Banda Larga + Movel</v>
      </c>
      <c r="H161" t="str">
        <f ca="1">TRIM([1]Planilha1!$E161)</f>
        <v>600M+100GB=R$109,90 por 6M, após R$139,90</v>
      </c>
      <c r="I161" t="str">
        <f ca="1">IF([1]Planilha1!$F161="","",TRIM([1]Planilha1!$F161))</f>
        <v>Fibra</v>
      </c>
      <c r="J161" s="3">
        <f ca="1">IF([1]Planilha1!$G161="","",[1]Planilha1!$G161)</f>
        <v>600</v>
      </c>
      <c r="K161" s="4" cm="1">
        <f t="array" aca="1" ref="K161" ca="1">IFERROR(VALUE(_xlfn.REGEXEXTRACT([1]Planilha1!$E161,"\+\s*(\d+)GB",2)),"")</f>
        <v>100</v>
      </c>
      <c r="L161" s="5">
        <f ca="1">IF([1]Planilha1!$H161="","",[1]Planilha1!$H161)</f>
        <v>139.9</v>
      </c>
      <c r="M161" s="5">
        <f ca="1">IF([1]Planilha1!$I161="","",[1]Planilha1!$I161)</f>
        <v>109.9</v>
      </c>
      <c r="N161" s="2" cm="1">
        <f t="array" aca="1" ref="N161" ca="1">IFERROR(VALUE(_xlfn.REGEXEXTRACT([1]Planilha1!$E161,"(\d+)\s*MESES",2)),IFERROR(VALUE(_xlfn.REGEXEXTRACT([1]Planilha1!$E161,"por\s*(\d+)\s*M",2)),IF(_xlfn.REGEXTEST([1]Planilha1!$E161,"1[ºª]"),1,"")))</f>
        <v>6</v>
      </c>
      <c r="O161" s="6">
        <f t="shared" ca="1" si="9"/>
        <v>0.23316666666666669</v>
      </c>
      <c r="P161" t="str">
        <f ca="1">IF([1]Planilha1!$J161="","",TRIM([1]Planilha1!$J161))</f>
        <v>GLOBOPLAY</v>
      </c>
      <c r="Q161" s="7" t="str">
        <f>IF($D161="Claro","",IFERROR($L161-VLOOKUP($B161&amp;"|Claro",[1]AUX_CLARO!$A:$C,2,FALSE),""))</f>
        <v/>
      </c>
      <c r="R161" s="8" t="str">
        <f>IF($D161="Claro","",IFERROR($J161-VLOOKUP($B161&amp;"|Claro",[1]AUX_CLARO!$A:$C,3,FALSE),""))</f>
        <v/>
      </c>
      <c r="S161" t="str">
        <f t="shared" si="10"/>
        <v/>
      </c>
      <c r="T161" t="str">
        <f t="shared" si="11"/>
        <v/>
      </c>
      <c r="U161" s="9">
        <f t="shared" si="12"/>
        <v>46174</v>
      </c>
      <c r="V161" t="str">
        <f ca="1">IF(OR([1]Planilha1!$B161="",[1]Planilha1!$B161="NÃO MAPEADO"),"",TRIM([1]Planilha1!$B161))</f>
        <v>SUDESTE</v>
      </c>
      <c r="W161" t="str">
        <f ca="1">IF([1]Planilha1!$C161="","",TRIM([1]Planilha1!$C161))</f>
        <v>MD 2</v>
      </c>
      <c r="X161" s="12" t="str">
        <f ca="1">IFERROR(VLOOKUP($C161,[1]Planilha2!$B:$H,7,FALSE),"")</f>
        <v>13990-001</v>
      </c>
    </row>
    <row r="162" spans="1:24" x14ac:dyDescent="0.35">
      <c r="A162" t="str">
        <f ca="1">IF(LEFT(TEXT([1]Planilha1!$L162,"0000000"),1)="5","MS","SP")</f>
        <v>SP</v>
      </c>
      <c r="B162" t="str">
        <f ca="1">IF(RIGHT([1]Planilha1!$A162,5)=" - MS",LEFT([1]Planilha1!$A162,LEN([1]Planilha1!$A162)-5),TRIM([1]Planilha1!$A162))</f>
        <v>ESPIRITO SANTO DO PINHAL</v>
      </c>
      <c r="C162" s="2">
        <f ca="1">[1]Planilha1!$L162</f>
        <v>3515186</v>
      </c>
      <c r="D162" t="str">
        <f>TRIM([1]Planilha1!$D162)</f>
        <v>Vivo</v>
      </c>
      <c r="E162" t="str">
        <f>IF(TRIM([1]Planilha1!$D162)="Claro","Claro","Concorrente")</f>
        <v>Concorrente</v>
      </c>
      <c r="F162" t="s">
        <v>25</v>
      </c>
      <c r="G162" t="str">
        <f t="shared" ca="1" si="0"/>
        <v>Banda Larga + Movel</v>
      </c>
      <c r="H162" t="s">
        <v>26</v>
      </c>
      <c r="I162" t="str">
        <f ca="1">IF([1]Planilha1!$F162="","",TRIM([1]Planilha1!$F162))</f>
        <v>Fibra</v>
      </c>
      <c r="J162" s="11" t="s">
        <v>27</v>
      </c>
      <c r="K162" s="4" cm="1">
        <f t="array" aca="1" ref="K162" ca="1">IFERROR(VALUE(_xlfn.REGEXEXTRACT([1]Planilha1!$E162,"\+\s*(\d+)GB",2)),"")</f>
        <v>70</v>
      </c>
      <c r="L162" s="5">
        <v>160</v>
      </c>
      <c r="M162" s="5" t="str">
        <f ca="1">IF([1]Planilha1!$I162="","",[1]Planilha1!$I162)</f>
        <v/>
      </c>
      <c r="N162" s="2" t="str" cm="1">
        <f t="array" aca="1" ref="N162" ca="1">IFERROR(VALUE(_xlfn.REGEXEXTRACT([1]Planilha1!$E162,"(\d+)\s*MESES",2)),IFERROR(VALUE(_xlfn.REGEXEXTRACT([1]Planilha1!$E162,"por\s*(\d+)\s*M",2)),IF(_xlfn.REGEXTEST([1]Planilha1!$E162,"1[ºª]"),1,"")))</f>
        <v/>
      </c>
      <c r="O162" s="6" t="str">
        <f t="shared" si="9"/>
        <v/>
      </c>
      <c r="P162" t="str">
        <f ca="1">IF([1]Planilha1!$J162="","",TRIM([1]Planilha1!$J162))</f>
        <v>0</v>
      </c>
      <c r="Q162" s="7">
        <f ca="1">IF($D162="Claro","",IFERROR($L162-VLOOKUP($B162&amp;"|Claro",[1]AUX_CLARO!$A:$C,2,FALSE),""))</f>
        <v>20.099999999999994</v>
      </c>
      <c r="R162" s="8" t="str">
        <f ca="1">IF($D162="Claro","",IFERROR($J162-VLOOKUP($B162&amp;"|Claro",[1]AUX_CLARO!$A:$C,3,FALSE),""))</f>
        <v/>
      </c>
      <c r="S162" t="str">
        <f t="shared" ca="1" si="10"/>
        <v>Claro mais barata</v>
      </c>
      <c r="T162" t="str">
        <f t="shared" ca="1" si="11"/>
        <v/>
      </c>
      <c r="U162" s="9">
        <f t="shared" si="12"/>
        <v>46174</v>
      </c>
      <c r="V162" t="str">
        <f ca="1">IF(OR([1]Planilha1!$B162="",[1]Planilha1!$B162="NÃO MAPEADO"),"",TRIM([1]Planilha1!$B162))</f>
        <v>SUDESTE</v>
      </c>
      <c r="W162" t="str">
        <f ca="1">IF([1]Planilha1!$C162="","",TRIM([1]Planilha1!$C162))</f>
        <v>MD 2</v>
      </c>
      <c r="X162" s="12" t="str">
        <f ca="1">IFERROR(VLOOKUP($C162,[1]Planilha2!$B:$H,7,FALSE),"")</f>
        <v>13990-001</v>
      </c>
    </row>
    <row r="163" spans="1:24" x14ac:dyDescent="0.35">
      <c r="A163" t="str">
        <f ca="1">IF(LEFT(TEXT([1]Planilha1!$L163,"0000000"),1)="5","MS","SP")</f>
        <v>SP</v>
      </c>
      <c r="B163" t="str">
        <f ca="1">IF(RIGHT([1]Planilha1!$A163,5)=" - MS",LEFT([1]Planilha1!$A163,LEN([1]Planilha1!$A163)-5),TRIM([1]Planilha1!$A163))</f>
        <v>ESPIRITO SANTO DO PINHAL</v>
      </c>
      <c r="C163" s="2">
        <f ca="1">[1]Planilha1!$L163</f>
        <v>3515186</v>
      </c>
      <c r="D163" t="str">
        <f>TRIM([1]Planilha1!$D163)</f>
        <v>Alares</v>
      </c>
      <c r="E163" t="str">
        <f>IF(TRIM([1]Planilha1!$D163)="Claro","Claro","Concorrente")</f>
        <v>Concorrente</v>
      </c>
      <c r="F163" t="s">
        <v>32</v>
      </c>
      <c r="G163" t="str">
        <f t="shared" ca="1" si="0"/>
        <v>Banda Larga + Conteudo</v>
      </c>
      <c r="H163" t="str">
        <f ca="1">TRIM([1]Planilha1!$E163)</f>
        <v>1GB + GLOBOPLAY R$99,90</v>
      </c>
      <c r="I163" t="str">
        <f ca="1">IF([1]Planilha1!$F163="","",TRIM([1]Planilha1!$F163))</f>
        <v>Fibra</v>
      </c>
      <c r="J163" s="3">
        <f ca="1">IF([1]Planilha1!$G163="","",[1]Planilha1!$G163)</f>
        <v>1000</v>
      </c>
      <c r="K163" s="4" t="str" cm="1">
        <f t="array" aca="1" ref="K163" ca="1">IFERROR(VALUE(_xlfn.REGEXEXTRACT([1]Planilha1!$E163,"\+\s*(\d+)GB",2)),"")</f>
        <v/>
      </c>
      <c r="L163" s="5">
        <f ca="1">IF([1]Planilha1!$H163="","",[1]Planilha1!$H163)</f>
        <v>99.9</v>
      </c>
      <c r="M163" s="5" t="str">
        <f ca="1">IF([1]Planilha1!$I163="","",[1]Planilha1!$I163)</f>
        <v/>
      </c>
      <c r="N163" s="2" t="str" cm="1">
        <f t="array" aca="1" ref="N163" ca="1">IFERROR(VALUE(_xlfn.REGEXEXTRACT([1]Planilha1!$E163,"(\d+)\s*MESES",2)),IFERROR(VALUE(_xlfn.REGEXEXTRACT([1]Planilha1!$E163,"por\s*(\d+)\s*M",2)),IF(_xlfn.REGEXTEST([1]Planilha1!$E163,"1[ºª]"),1,"")))</f>
        <v/>
      </c>
      <c r="O163" s="6">
        <f t="shared" ca="1" si="9"/>
        <v>9.9900000000000003E-2</v>
      </c>
      <c r="P163" t="str">
        <f ca="1">IF([1]Planilha1!$J163="","",TRIM([1]Planilha1!$J163))</f>
        <v>GLOBOPLAY</v>
      </c>
      <c r="Q163" s="7">
        <f ca="1">IF($D163="Claro","",IFERROR($L163-VLOOKUP($B163&amp;"|Claro",[1]AUX_CLARO!$A:$C,2,FALSE),""))</f>
        <v>-40</v>
      </c>
      <c r="R163" s="8">
        <f ca="1">IF($D163="Claro","",IFERROR($J163-VLOOKUP($B163&amp;"|Claro",[1]AUX_CLARO!$A:$C,3,FALSE),""))</f>
        <v>400</v>
      </c>
      <c r="S163" t="str">
        <f t="shared" ca="1" si="10"/>
        <v>Claro mais cara</v>
      </c>
      <c r="T163" t="str">
        <f t="shared" ca="1" si="11"/>
        <v>Claro com menor velocidade</v>
      </c>
      <c r="U163" s="9">
        <f t="shared" si="12"/>
        <v>46174</v>
      </c>
      <c r="V163" t="str">
        <f ca="1">IF(OR([1]Planilha1!$B163="",[1]Planilha1!$B163="NÃO MAPEADO"),"",TRIM([1]Planilha1!$B163))</f>
        <v>SUDESTE</v>
      </c>
      <c r="W163" t="str">
        <f ca="1">IF([1]Planilha1!$C163="","",TRIM([1]Planilha1!$C163))</f>
        <v>MD 2</v>
      </c>
      <c r="X163" s="12" t="str">
        <f ca="1">IFERROR(VLOOKUP($C163,[1]Planilha2!$B:$H,7,FALSE),"")</f>
        <v>13990-001</v>
      </c>
    </row>
    <row r="164" spans="1:24" x14ac:dyDescent="0.35">
      <c r="A164" t="str">
        <f ca="1">IF(LEFT(TEXT([1]Planilha1!$L164,"0000000"),1)="5","MS","SP")</f>
        <v>SP</v>
      </c>
      <c r="B164" t="str">
        <f ca="1">IF(RIGHT([1]Planilha1!$A164,5)=" - MS",LEFT([1]Planilha1!$A164,LEN([1]Planilha1!$A164)-5),TRIM([1]Planilha1!$A164))</f>
        <v>ESPIRITO SANTO DO PINHAL</v>
      </c>
      <c r="C164" s="2">
        <f ca="1">[1]Planilha1!$L164</f>
        <v>3515186</v>
      </c>
      <c r="D164" t="str">
        <f>TRIM([1]Planilha1!$D164)</f>
        <v>ISP LOCAL</v>
      </c>
      <c r="E164" t="str">
        <f>IF(TRIM([1]Planilha1!$D164)="Claro","Claro","Concorrente")</f>
        <v>Concorrente</v>
      </c>
      <c r="F164" t="s">
        <v>58</v>
      </c>
      <c r="G164" t="str">
        <f t="shared" ca="1" si="0"/>
        <v>Banda Larga + Conteudo</v>
      </c>
      <c r="H164" t="str">
        <f ca="1">TRIM([1]Planilha1!$E164)</f>
        <v>TELEMÍDIA - 800M R$109,90</v>
      </c>
      <c r="I164" t="str">
        <f ca="1">IF([1]Planilha1!$F164="","",TRIM([1]Planilha1!$F164))</f>
        <v>Fibra</v>
      </c>
      <c r="J164" s="3">
        <f ca="1">IF([1]Planilha1!$G164="","",[1]Planilha1!$G164)</f>
        <v>800</v>
      </c>
      <c r="K164" s="4" t="str" cm="1">
        <f t="array" aca="1" ref="K164" ca="1">IFERROR(VALUE(_xlfn.REGEXEXTRACT([1]Planilha1!$E164,"\+\s*(\d+)GB",2)),"")</f>
        <v/>
      </c>
      <c r="L164" s="5">
        <f ca="1">IF([1]Planilha1!$H164="","",[1]Planilha1!$H164)</f>
        <v>109.9</v>
      </c>
      <c r="M164" s="5" t="str">
        <f ca="1">IF([1]Planilha1!$I164="","",[1]Planilha1!$I164)</f>
        <v/>
      </c>
      <c r="N164" s="2" t="str" cm="1">
        <f t="array" aca="1" ref="N164" ca="1">IFERROR(VALUE(_xlfn.REGEXEXTRACT([1]Planilha1!$E164,"(\d+)\s*MESES",2)),IFERROR(VALUE(_xlfn.REGEXEXTRACT([1]Planilha1!$E164,"por\s*(\d+)\s*M",2)),IF(_xlfn.REGEXTEST([1]Planilha1!$E164,"1[ºª]"),1,"")))</f>
        <v/>
      </c>
      <c r="O164" s="6">
        <f t="shared" ca="1" si="9"/>
        <v>0.137375</v>
      </c>
      <c r="P164" t="str">
        <f ca="1">IF([1]Planilha1!$J164="","",TRIM([1]Planilha1!$J164))</f>
        <v>0</v>
      </c>
      <c r="Q164" s="7">
        <f ca="1">IF($D164="Claro","",IFERROR($L164-VLOOKUP($B164&amp;"|Claro",[1]AUX_CLARO!$A:$C,2,FALSE),""))</f>
        <v>-30</v>
      </c>
      <c r="R164" s="8">
        <f ca="1">IF($D164="Claro","",IFERROR($J164-VLOOKUP($B164&amp;"|Claro",[1]AUX_CLARO!$A:$C,3,FALSE),""))</f>
        <v>200</v>
      </c>
      <c r="S164" t="str">
        <f t="shared" ca="1" si="10"/>
        <v>Claro mais cara</v>
      </c>
      <c r="T164" t="str">
        <f t="shared" ca="1" si="11"/>
        <v>Claro com menor velocidade</v>
      </c>
      <c r="U164" s="9">
        <f t="shared" si="12"/>
        <v>46174</v>
      </c>
      <c r="V164" t="str">
        <f ca="1">IF(OR([1]Planilha1!$B164="",[1]Planilha1!$B164="NÃO MAPEADO"),"",TRIM([1]Planilha1!$B164))</f>
        <v>SUDESTE</v>
      </c>
      <c r="W164" t="str">
        <f ca="1">IF([1]Planilha1!$C164="","",TRIM([1]Planilha1!$C164))</f>
        <v>MD 2</v>
      </c>
      <c r="X164" s="12" t="str">
        <f ca="1">IFERROR(VLOOKUP($C164,[1]Planilha2!$B:$H,7,FALSE),"")</f>
        <v>13990-001</v>
      </c>
    </row>
    <row r="165" spans="1:24" x14ac:dyDescent="0.35">
      <c r="A165" t="str">
        <f ca="1">IF(LEFT(TEXT([1]Planilha1!$L165,"0000000"),1)="5","MS","SP")</f>
        <v>SP</v>
      </c>
      <c r="B165" t="str">
        <f ca="1">IF(RIGHT([1]Planilha1!$A165,5)=" - MS",LEFT([1]Planilha1!$A165,LEN([1]Planilha1!$A165)-5),TRIM([1]Planilha1!$A165))</f>
        <v>FERNANDOPOLIS</v>
      </c>
      <c r="C165" s="2">
        <f ca="1">[1]Planilha1!$L165</f>
        <v>3515509</v>
      </c>
      <c r="D165" t="str">
        <f>TRIM([1]Planilha1!$D165)</f>
        <v>Claro</v>
      </c>
      <c r="E165" t="str">
        <f>IF(TRIM([1]Planilha1!$D165)="Claro","Claro","Concorrente")</f>
        <v>Claro</v>
      </c>
      <c r="F165" t="s">
        <v>24</v>
      </c>
      <c r="G165" t="str">
        <f t="shared" ca="1" si="0"/>
        <v>Banda Larga + Movel</v>
      </c>
      <c r="H165" t="str">
        <f ca="1">TRIM([1]Planilha1!$E165)</f>
        <v>600M+100GB=R$109,90 por 6M, após R$139,90</v>
      </c>
      <c r="I165" t="str">
        <f ca="1">IF([1]Planilha1!$F165="","",TRIM([1]Planilha1!$F165))</f>
        <v>Fibra</v>
      </c>
      <c r="J165" s="3">
        <f ca="1">IF([1]Planilha1!$G165="","",[1]Planilha1!$G165)</f>
        <v>600</v>
      </c>
      <c r="K165" s="4" cm="1">
        <f t="array" aca="1" ref="K165" ca="1">IFERROR(VALUE(_xlfn.REGEXEXTRACT([1]Planilha1!$E165,"\+\s*(\d+)GB",2)),"")</f>
        <v>100</v>
      </c>
      <c r="L165" s="5">
        <f ca="1">IF([1]Planilha1!$H165="","",[1]Planilha1!$H165)</f>
        <v>139.9</v>
      </c>
      <c r="M165" s="5">
        <f ca="1">IF([1]Planilha1!$I165="","",[1]Planilha1!$I165)</f>
        <v>109.9</v>
      </c>
      <c r="N165" s="2" cm="1">
        <f t="array" aca="1" ref="N165" ca="1">IFERROR(VALUE(_xlfn.REGEXEXTRACT([1]Planilha1!$E165,"(\d+)\s*MESES",2)),IFERROR(VALUE(_xlfn.REGEXEXTRACT([1]Planilha1!$E165,"por\s*(\d+)\s*M",2)),IF(_xlfn.REGEXTEST([1]Planilha1!$E165,"1[ºª]"),1,"")))</f>
        <v>6</v>
      </c>
      <c r="O165" s="6">
        <f t="shared" ca="1" si="9"/>
        <v>0.23316666666666669</v>
      </c>
      <c r="P165" t="str">
        <f ca="1">IF([1]Planilha1!$J165="","",TRIM([1]Planilha1!$J165))</f>
        <v>GLOBOPLAY</v>
      </c>
      <c r="Q165" s="7" t="str">
        <f>IF($D165="Claro","",IFERROR($L165-VLOOKUP($B165&amp;"|Claro",[1]AUX_CLARO!$A:$C,2,FALSE),""))</f>
        <v/>
      </c>
      <c r="R165" s="8" t="str">
        <f>IF($D165="Claro","",IFERROR($J165-VLOOKUP($B165&amp;"|Claro",[1]AUX_CLARO!$A:$C,3,FALSE),""))</f>
        <v/>
      </c>
      <c r="S165" t="str">
        <f t="shared" si="10"/>
        <v/>
      </c>
      <c r="T165" t="str">
        <f t="shared" si="11"/>
        <v/>
      </c>
      <c r="U165" s="9">
        <f t="shared" si="12"/>
        <v>46174</v>
      </c>
      <c r="V165" t="str">
        <f ca="1">IF(OR([1]Planilha1!$B165="",[1]Planilha1!$B165="NÃO MAPEADO"),"",TRIM([1]Planilha1!$B165))</f>
        <v>NOROESTE</v>
      </c>
      <c r="W165" t="str">
        <f ca="1">IF([1]Planilha1!$C165="","",TRIM([1]Planilha1!$C165))</f>
        <v>MD 2</v>
      </c>
      <c r="X165" t="str">
        <f ca="1">IFERROR(VLOOKUP($C165,[1]Planilha2!$B:$H,7,FALSE),"")</f>
        <v>15600-001</v>
      </c>
    </row>
    <row r="166" spans="1:24" x14ac:dyDescent="0.35">
      <c r="A166" t="str">
        <f ca="1">IF(LEFT(TEXT([1]Planilha1!$L166,"0000000"),1)="5","MS","SP")</f>
        <v>SP</v>
      </c>
      <c r="B166" t="str">
        <f ca="1">IF(RIGHT([1]Planilha1!$A166,5)=" - MS",LEFT([1]Planilha1!$A166,LEN([1]Planilha1!$A166)-5),TRIM([1]Planilha1!$A166))</f>
        <v>FERNANDOPOLIS</v>
      </c>
      <c r="C166" s="2">
        <f ca="1">[1]Planilha1!$L166</f>
        <v>3515509</v>
      </c>
      <c r="D166" t="str">
        <f>TRIM([1]Planilha1!$D166)</f>
        <v>Vivo</v>
      </c>
      <c r="E166" t="str">
        <f>IF(TRIM([1]Planilha1!$D166)="Claro","Claro","Concorrente")</f>
        <v>Concorrente</v>
      </c>
      <c r="F166" t="s">
        <v>25</v>
      </c>
      <c r="G166" t="str">
        <f t="shared" ca="1" si="0"/>
        <v>Banda Larga + Movel</v>
      </c>
      <c r="H166" t="s">
        <v>26</v>
      </c>
      <c r="I166" t="str">
        <f ca="1">IF([1]Planilha1!$F166="","",TRIM([1]Planilha1!$F166))</f>
        <v>Fibra</v>
      </c>
      <c r="J166" s="11" t="s">
        <v>27</v>
      </c>
      <c r="K166" s="4" cm="1">
        <f t="array" aca="1" ref="K166" ca="1">IFERROR(VALUE(_xlfn.REGEXEXTRACT([1]Planilha1!$E166,"\+\s*(\d+)GB",2)),"")</f>
        <v>70</v>
      </c>
      <c r="L166" s="5">
        <v>160</v>
      </c>
      <c r="M166" s="5" t="str">
        <f ca="1">IF([1]Planilha1!$I166="","",[1]Planilha1!$I166)</f>
        <v/>
      </c>
      <c r="N166" s="2" t="str" cm="1">
        <f t="array" aca="1" ref="N166" ca="1">IFERROR(VALUE(_xlfn.REGEXEXTRACT([1]Planilha1!$E166,"(\d+)\s*MESES",2)),IFERROR(VALUE(_xlfn.REGEXEXTRACT([1]Planilha1!$E166,"por\s*(\d+)\s*M",2)),IF(_xlfn.REGEXTEST([1]Planilha1!$E166,"1[ºª]"),1,"")))</f>
        <v/>
      </c>
      <c r="O166" s="6" t="str">
        <f t="shared" si="9"/>
        <v/>
      </c>
      <c r="P166" t="str">
        <f ca="1">IF([1]Planilha1!$J166="","",TRIM([1]Planilha1!$J166))</f>
        <v>0</v>
      </c>
      <c r="Q166" s="7">
        <f ca="1">IF($D166="Claro","",IFERROR($L166-VLOOKUP($B166&amp;"|Claro",[1]AUX_CLARO!$A:$C,2,FALSE),""))</f>
        <v>20.099999999999994</v>
      </c>
      <c r="R166" s="8" t="str">
        <f ca="1">IF($D166="Claro","",IFERROR($J166-VLOOKUP($B166&amp;"|Claro",[1]AUX_CLARO!$A:$C,3,FALSE),""))</f>
        <v/>
      </c>
      <c r="S166" t="str">
        <f t="shared" ca="1" si="10"/>
        <v>Claro mais barata</v>
      </c>
      <c r="T166" t="str">
        <f t="shared" ca="1" si="11"/>
        <v/>
      </c>
      <c r="U166" s="9">
        <f t="shared" si="12"/>
        <v>46174</v>
      </c>
      <c r="V166" t="str">
        <f ca="1">IF(OR([1]Planilha1!$B166="",[1]Planilha1!$B166="NÃO MAPEADO"),"",TRIM([1]Planilha1!$B166))</f>
        <v>NOROESTE</v>
      </c>
      <c r="W166" t="str">
        <f ca="1">IF([1]Planilha1!$C166="","",TRIM([1]Planilha1!$C166))</f>
        <v>MD 2</v>
      </c>
      <c r="X166" t="str">
        <f ca="1">IFERROR(VLOOKUP($C166,[1]Planilha2!$B:$H,7,FALSE),"")</f>
        <v>15600-001</v>
      </c>
    </row>
    <row r="167" spans="1:24" x14ac:dyDescent="0.35">
      <c r="A167" t="str">
        <f ca="1">IF(LEFT(TEXT([1]Planilha1!$L167,"0000000"),1)="5","MS","SP")</f>
        <v>SP</v>
      </c>
      <c r="B167" t="str">
        <f ca="1">IF(RIGHT([1]Planilha1!$A167,5)=" - MS",LEFT([1]Planilha1!$A167,LEN([1]Planilha1!$A167)-5),TRIM([1]Planilha1!$A167))</f>
        <v>FERNANDOPOLIS</v>
      </c>
      <c r="C167" s="2">
        <f ca="1">[1]Planilha1!$L167</f>
        <v>3515509</v>
      </c>
      <c r="D167" t="str">
        <f>TRIM([1]Planilha1!$D167)</f>
        <v>Vero</v>
      </c>
      <c r="E167" t="str">
        <f>IF(TRIM([1]Planilha1!$D167)="Claro","Claro","Concorrente")</f>
        <v>Concorrente</v>
      </c>
      <c r="F167" t="s">
        <v>30</v>
      </c>
      <c r="G167" t="str">
        <f t="shared" ca="1" si="0"/>
        <v>Banda Larga + Movel</v>
      </c>
      <c r="H167" t="str">
        <f ca="1">TRIM([1]Planilha1!$E167)</f>
        <v>850M+60GB=R$149,99 (C/ GLOBOPLAY, HBO, DISNEY+)</v>
      </c>
      <c r="I167" t="str">
        <f ca="1">IF([1]Planilha1!$F167="","",TRIM([1]Planilha1!$F167))</f>
        <v>Fibra</v>
      </c>
      <c r="J167" s="3">
        <f ca="1">IF([1]Planilha1!$G167="","",[1]Planilha1!$G167)</f>
        <v>850</v>
      </c>
      <c r="K167" s="4" cm="1">
        <f t="array" aca="1" ref="K167" ca="1">IFERROR(VALUE(_xlfn.REGEXEXTRACT([1]Planilha1!$E167,"\+\s*(\d+)GB",2)),"")</f>
        <v>60</v>
      </c>
      <c r="L167" s="5">
        <f ca="1">IF([1]Planilha1!$H167="","",[1]Planilha1!$H167)</f>
        <v>149.99</v>
      </c>
      <c r="M167" s="5" t="str">
        <f ca="1">IF([1]Planilha1!$I167="","",[1]Planilha1!$I167)</f>
        <v/>
      </c>
      <c r="N167" s="2" t="str" cm="1">
        <f t="array" aca="1" ref="N167" ca="1">IFERROR(VALUE(_xlfn.REGEXEXTRACT([1]Planilha1!$E167,"(\d+)\s*MESES",2)),IFERROR(VALUE(_xlfn.REGEXEXTRACT([1]Planilha1!$E167,"por\s*(\d+)\s*M",2)),IF(_xlfn.REGEXTEST([1]Planilha1!$E167,"1[ºª]"),1,"")))</f>
        <v/>
      </c>
      <c r="O167" s="6">
        <f t="shared" ca="1" si="9"/>
        <v>0.17645882352941178</v>
      </c>
      <c r="P167" t="str">
        <f ca="1">IF([1]Planilha1!$J167="","",TRIM([1]Planilha1!$J167))</f>
        <v>GLOBOPLAY, HBO, DISNEY+</v>
      </c>
      <c r="Q167" s="7">
        <f ca="1">IF($D167="Claro","",IFERROR($L167-VLOOKUP($B167&amp;"|Claro",[1]AUX_CLARO!$A:$C,2,FALSE),""))</f>
        <v>10.090000000000003</v>
      </c>
      <c r="R167" s="8">
        <f ca="1">IF($D167="Claro","",IFERROR($J167-VLOOKUP($B167&amp;"|Claro",[1]AUX_CLARO!$A:$C,3,FALSE),""))</f>
        <v>250</v>
      </c>
      <c r="S167" t="str">
        <f t="shared" ca="1" si="10"/>
        <v>Claro mais barata</v>
      </c>
      <c r="T167" t="str">
        <f t="shared" ca="1" si="11"/>
        <v>Claro com menor velocidade</v>
      </c>
      <c r="U167" s="9">
        <f t="shared" si="12"/>
        <v>46174</v>
      </c>
      <c r="V167" t="str">
        <f ca="1">IF(OR([1]Planilha1!$B167="",[1]Planilha1!$B167="NÃO MAPEADO"),"",TRIM([1]Planilha1!$B167))</f>
        <v>NOROESTE</v>
      </c>
      <c r="W167" t="str">
        <f ca="1">IF([1]Planilha1!$C167="","",TRIM([1]Planilha1!$C167))</f>
        <v>MD 2</v>
      </c>
      <c r="X167" t="str">
        <f ca="1">IFERROR(VLOOKUP($C167,[1]Planilha2!$B:$H,7,FALSE),"")</f>
        <v>15600-001</v>
      </c>
    </row>
    <row r="168" spans="1:24" x14ac:dyDescent="0.35">
      <c r="A168" t="str">
        <f ca="1">IF(LEFT(TEXT([1]Planilha1!$L168,"0000000"),1)="5","MS","SP")</f>
        <v>SP</v>
      </c>
      <c r="B168" t="str">
        <f ca="1">IF(RIGHT([1]Planilha1!$A168,5)=" - MS",LEFT([1]Planilha1!$A168,LEN([1]Planilha1!$A168)-5),TRIM([1]Planilha1!$A168))</f>
        <v>FERNANDOPOLIS</v>
      </c>
      <c r="C168" s="2">
        <f ca="1">[1]Planilha1!$L168</f>
        <v>3515509</v>
      </c>
      <c r="D168" t="str">
        <f>TRIM([1]Planilha1!$D168)</f>
        <v>Weclix</v>
      </c>
      <c r="E168" t="str">
        <f>IF(TRIM([1]Planilha1!$D168)="Claro","Claro","Concorrente")</f>
        <v>Concorrente</v>
      </c>
      <c r="F168" t="s">
        <v>34</v>
      </c>
      <c r="G168" t="str">
        <f t="shared" ca="1" si="0"/>
        <v>Banda Larga + Conteudo</v>
      </c>
      <c r="H168" t="str">
        <f ca="1">TRIM([1]Planilha1!$E168)</f>
        <v>1GB R$59,90 - 1ª MENSALIDADE, APÓS R$99,90</v>
      </c>
      <c r="I168" t="str">
        <f ca="1">IF([1]Planilha1!$F168="","",TRIM([1]Planilha1!$F168))</f>
        <v>Fibra</v>
      </c>
      <c r="J168" s="3">
        <f ca="1">IF([1]Planilha1!$G168="","",[1]Planilha1!$G168)</f>
        <v>1000</v>
      </c>
      <c r="K168" s="4" t="str" cm="1">
        <f t="array" aca="1" ref="K168" ca="1">IFERROR(VALUE(_xlfn.REGEXEXTRACT([1]Planilha1!$E168,"\+\s*(\d+)GB",2)),"")</f>
        <v/>
      </c>
      <c r="L168" s="5">
        <f ca="1">IF([1]Planilha1!$H168="","",[1]Planilha1!$H168)</f>
        <v>99.9</v>
      </c>
      <c r="M168" s="5">
        <f ca="1">IF([1]Planilha1!$I168="","",[1]Planilha1!$I168)</f>
        <v>59.9</v>
      </c>
      <c r="N168" s="2" cm="1">
        <f t="array" aca="1" ref="N168" ca="1">IFERROR(VALUE(_xlfn.REGEXEXTRACT([1]Planilha1!$E168,"(\d+)\s*MESES",2)),IFERROR(VALUE(_xlfn.REGEXEXTRACT([1]Planilha1!$E168,"por\s*(\d+)\s*M",2)),IF(_xlfn.REGEXTEST([1]Planilha1!$E168,"1[ºª]"),1,"")))</f>
        <v>1</v>
      </c>
      <c r="O168" s="6">
        <f t="shared" ca="1" si="9"/>
        <v>9.9900000000000003E-2</v>
      </c>
      <c r="P168" t="str">
        <f ca="1">IF([1]Planilha1!$J168="","",TRIM([1]Planilha1!$J168))</f>
        <v>0</v>
      </c>
      <c r="Q168" s="7">
        <f ca="1">IF($D168="Claro","",IFERROR($L168-VLOOKUP($B168&amp;"|Claro",[1]AUX_CLARO!$A:$C,2,FALSE),""))</f>
        <v>-40</v>
      </c>
      <c r="R168" s="8">
        <f ca="1">IF($D168="Claro","",IFERROR($J168-VLOOKUP($B168&amp;"|Claro",[1]AUX_CLARO!$A:$C,3,FALSE),""))</f>
        <v>400</v>
      </c>
      <c r="S168" t="str">
        <f t="shared" ca="1" si="10"/>
        <v>Claro mais cara</v>
      </c>
      <c r="T168" t="str">
        <f t="shared" ca="1" si="11"/>
        <v>Claro com menor velocidade</v>
      </c>
      <c r="U168" s="9">
        <f t="shared" si="12"/>
        <v>46174</v>
      </c>
      <c r="V168" t="str">
        <f ca="1">IF(OR([1]Planilha1!$B168="",[1]Planilha1!$B168="NÃO MAPEADO"),"",TRIM([1]Planilha1!$B168))</f>
        <v>NOROESTE</v>
      </c>
      <c r="W168" t="str">
        <f ca="1">IF([1]Planilha1!$C168="","",TRIM([1]Planilha1!$C168))</f>
        <v>MD 2</v>
      </c>
      <c r="X168" t="str">
        <f ca="1">IFERROR(VLOOKUP($C168,[1]Planilha2!$B:$H,7,FALSE),"")</f>
        <v>15600-001</v>
      </c>
    </row>
    <row r="169" spans="1:24" x14ac:dyDescent="0.35">
      <c r="A169" t="str">
        <f ca="1">IF(LEFT(TEXT([1]Planilha1!$L169,"0000000"),1)="5","MS","SP")</f>
        <v>SP</v>
      </c>
      <c r="B169" t="str">
        <f ca="1">IF(RIGHT([1]Planilha1!$A169,5)=" - MS",LEFT([1]Planilha1!$A169,LEN([1]Planilha1!$A169)-5),TRIM([1]Planilha1!$A169))</f>
        <v>FERNANDOPOLIS</v>
      </c>
      <c r="C169" s="2">
        <f ca="1">[1]Planilha1!$L169</f>
        <v>3515509</v>
      </c>
      <c r="D169" t="str">
        <f>TRIM([1]Planilha1!$D169)</f>
        <v>ISP LOCAL</v>
      </c>
      <c r="E169" t="str">
        <f>IF(TRIM([1]Planilha1!$D169)="Claro","Claro","Concorrente")</f>
        <v>Concorrente</v>
      </c>
      <c r="F169" t="s">
        <v>59</v>
      </c>
      <c r="G169" t="str">
        <f t="shared" ca="1" si="0"/>
        <v>Banda Larga + Conteudo</v>
      </c>
      <c r="H169" t="str">
        <f ca="1">TRIM([1]Planilha1!$E169)</f>
        <v>FLASH - 600M R$89,90 - 3 MESES, APÓS R$130,00</v>
      </c>
      <c r="I169" t="str">
        <f ca="1">IF([1]Planilha1!$F169="","",TRIM([1]Planilha1!$F169))</f>
        <v>Fibra</v>
      </c>
      <c r="J169" s="3">
        <f ca="1">IF([1]Planilha1!$G169="","",[1]Planilha1!$G169)</f>
        <v>600</v>
      </c>
      <c r="K169" s="4" t="str" cm="1">
        <f t="array" aca="1" ref="K169" ca="1">IFERROR(VALUE(_xlfn.REGEXEXTRACT([1]Planilha1!$E169,"\+\s*(\d+)GB",2)),"")</f>
        <v/>
      </c>
      <c r="L169" s="5">
        <f ca="1">IF([1]Planilha1!$H169="","",[1]Planilha1!$H169)</f>
        <v>130</v>
      </c>
      <c r="M169" s="5">
        <f ca="1">IF([1]Planilha1!$I169="","",[1]Planilha1!$I169)</f>
        <v>89.9</v>
      </c>
      <c r="N169" s="2" cm="1">
        <f t="array" aca="1" ref="N169" ca="1">IFERROR(VALUE(_xlfn.REGEXEXTRACT([1]Planilha1!$E169,"(\d+)\s*MESES",2)),IFERROR(VALUE(_xlfn.REGEXEXTRACT([1]Planilha1!$E169,"por\s*(\d+)\s*M",2)),IF(_xlfn.REGEXTEST([1]Planilha1!$E169,"1[ºª]"),1,"")))</f>
        <v>3</v>
      </c>
      <c r="O169" s="6">
        <f t="shared" ca="1" si="9"/>
        <v>0.21666666666666667</v>
      </c>
      <c r="P169" t="str">
        <f ca="1">IF([1]Planilha1!$J169="","",TRIM([1]Planilha1!$J169))</f>
        <v>0</v>
      </c>
      <c r="Q169" s="7">
        <f ca="1">IF($D169="Claro","",IFERROR($L169-VLOOKUP($B169&amp;"|Claro",[1]AUX_CLARO!$A:$C,2,FALSE),""))</f>
        <v>-9.9000000000000057</v>
      </c>
      <c r="R169" s="8">
        <f ca="1">IF($D169="Claro","",IFERROR($J169-VLOOKUP($B169&amp;"|Claro",[1]AUX_CLARO!$A:$C,3,FALSE),""))</f>
        <v>0</v>
      </c>
      <c r="S169" t="str">
        <f t="shared" ca="1" si="10"/>
        <v>Claro mais cara</v>
      </c>
      <c r="T169" t="str">
        <f t="shared" ca="1" si="11"/>
        <v>Mesma velocidade</v>
      </c>
      <c r="U169" s="9">
        <f t="shared" si="12"/>
        <v>46174</v>
      </c>
      <c r="V169" t="str">
        <f ca="1">IF(OR([1]Planilha1!$B169="",[1]Planilha1!$B169="NÃO MAPEADO"),"",TRIM([1]Planilha1!$B169))</f>
        <v>NOROESTE</v>
      </c>
      <c r="W169" t="str">
        <f ca="1">IF([1]Planilha1!$C169="","",TRIM([1]Planilha1!$C169))</f>
        <v>MD 2</v>
      </c>
      <c r="X169" t="str">
        <f ca="1">IFERROR(VLOOKUP($C169,[1]Planilha2!$B:$H,7,FALSE),"")</f>
        <v>15600-001</v>
      </c>
    </row>
    <row r="170" spans="1:24" x14ac:dyDescent="0.35">
      <c r="A170" t="str">
        <f ca="1">IF(LEFT(TEXT([1]Planilha1!$L170,"0000000"),1)="5","MS","SP")</f>
        <v>SP</v>
      </c>
      <c r="B170" t="str">
        <f ca="1">IF(RIGHT([1]Planilha1!$A170,5)=" - MS",LEFT([1]Planilha1!$A170,LEN([1]Planilha1!$A170)-5),TRIM([1]Planilha1!$A170))</f>
        <v>FRANCA</v>
      </c>
      <c r="C170" s="2">
        <f ca="1">[1]Planilha1!$L170</f>
        <v>3516200</v>
      </c>
      <c r="D170" t="str">
        <f>TRIM([1]Planilha1!$D170)</f>
        <v>Claro</v>
      </c>
      <c r="E170" t="str">
        <f>IF(TRIM([1]Planilha1!$D170)="Claro","Claro","Concorrente")</f>
        <v>Claro</v>
      </c>
      <c r="F170" t="s">
        <v>24</v>
      </c>
      <c r="G170" t="str">
        <f t="shared" ca="1" si="0"/>
        <v>Banda Larga + Movel</v>
      </c>
      <c r="H170" t="str">
        <f ca="1">TRIM([1]Planilha1!$E170)</f>
        <v>600M+100GB=R$159,90</v>
      </c>
      <c r="I170" t="str">
        <f ca="1">IF([1]Planilha1!$F170="","",TRIM([1]Planilha1!$F170))</f>
        <v>Fibra</v>
      </c>
      <c r="J170" s="3">
        <f ca="1">IF([1]Planilha1!$G170="","",[1]Planilha1!$G170)</f>
        <v>600</v>
      </c>
      <c r="K170" s="4" cm="1">
        <f t="array" aca="1" ref="K170" ca="1">IFERROR(VALUE(_xlfn.REGEXEXTRACT([1]Planilha1!$E170,"\+\s*(\d+)GB",2)),"")</f>
        <v>100</v>
      </c>
      <c r="L170" s="5">
        <f ca="1">IF([1]Planilha1!$H170="","",[1]Planilha1!$H170)</f>
        <v>159.9</v>
      </c>
      <c r="M170" s="5" t="str">
        <f ca="1">IF([1]Planilha1!$I170="","",[1]Planilha1!$I170)</f>
        <v/>
      </c>
      <c r="N170" s="2" t="str" cm="1">
        <f t="array" aca="1" ref="N170" ca="1">IFERROR(VALUE(_xlfn.REGEXEXTRACT([1]Planilha1!$E170,"(\d+)\s*MESES",2)),IFERROR(VALUE(_xlfn.REGEXEXTRACT([1]Planilha1!$E170,"por\s*(\d+)\s*M",2)),IF(_xlfn.REGEXTEST([1]Planilha1!$E170,"1[ºª]"),1,"")))</f>
        <v/>
      </c>
      <c r="O170" s="6">
        <f t="shared" ca="1" si="9"/>
        <v>0.26650000000000001</v>
      </c>
      <c r="P170" t="str">
        <f ca="1">IF([1]Planilha1!$J170="","",TRIM([1]Planilha1!$J170))</f>
        <v>GLOBOPLAY</v>
      </c>
      <c r="Q170" s="7" t="str">
        <f>IF($D170="Claro","",IFERROR($L170-VLOOKUP($B170&amp;"|Claro",[1]AUX_CLARO!$A:$C,2,FALSE),""))</f>
        <v/>
      </c>
      <c r="R170" s="8" t="str">
        <f>IF($D170="Claro","",IFERROR($J170-VLOOKUP($B170&amp;"|Claro",[1]AUX_CLARO!$A:$C,3,FALSE),""))</f>
        <v/>
      </c>
      <c r="S170" t="str">
        <f t="shared" si="10"/>
        <v/>
      </c>
      <c r="T170" t="str">
        <f t="shared" si="11"/>
        <v/>
      </c>
      <c r="U170" s="9">
        <f t="shared" si="12"/>
        <v>46174</v>
      </c>
      <c r="V170" t="str">
        <f ca="1">IF(OR([1]Planilha1!$B170="",[1]Planilha1!$B170="NÃO MAPEADO"),"",TRIM([1]Planilha1!$B170))</f>
        <v>OESTE</v>
      </c>
      <c r="W170" t="str">
        <f ca="1">IF([1]Planilha1!$C170="","",TRIM([1]Planilha1!$C170))</f>
        <v>PADRÃO</v>
      </c>
      <c r="X170" t="str">
        <f ca="1">IFERROR(VLOOKUP($C170,[1]Planilha2!$B:$H,7,FALSE),"")</f>
        <v>14400-001</v>
      </c>
    </row>
    <row r="171" spans="1:24" x14ac:dyDescent="0.35">
      <c r="A171" t="str">
        <f ca="1">IF(LEFT(TEXT([1]Planilha1!$L171,"0000000"),1)="5","MS","SP")</f>
        <v>SP</v>
      </c>
      <c r="B171" t="str">
        <f ca="1">IF(RIGHT([1]Planilha1!$A171,5)=" - MS",LEFT([1]Planilha1!$A171,LEN([1]Planilha1!$A171)-5),TRIM([1]Planilha1!$A171))</f>
        <v>FRANCA</v>
      </c>
      <c r="C171" s="2">
        <f ca="1">[1]Planilha1!$L171</f>
        <v>3516200</v>
      </c>
      <c r="D171" t="str">
        <f>TRIM([1]Planilha1!$D171)</f>
        <v>Vivo</v>
      </c>
      <c r="E171" t="str">
        <f>IF(TRIM([1]Planilha1!$D171)="Claro","Claro","Concorrente")</f>
        <v>Concorrente</v>
      </c>
      <c r="F171" t="s">
        <v>25</v>
      </c>
      <c r="G171" t="str">
        <f t="shared" ca="1" si="0"/>
        <v>Banda Larga + Movel</v>
      </c>
      <c r="H171" t="s">
        <v>26</v>
      </c>
      <c r="I171" t="str">
        <f ca="1">IF([1]Planilha1!$F171="","",TRIM([1]Planilha1!$F171))</f>
        <v>Fibra</v>
      </c>
      <c r="J171" s="11" t="s">
        <v>27</v>
      </c>
      <c r="K171" s="4" cm="1">
        <f t="array" aca="1" ref="K171" ca="1">IFERROR(VALUE(_xlfn.REGEXEXTRACT([1]Planilha1!$E171,"\+\s*(\d+)GB",2)),"")</f>
        <v>70</v>
      </c>
      <c r="L171" s="5">
        <v>160</v>
      </c>
      <c r="M171" s="5" t="str">
        <f ca="1">IF([1]Planilha1!$I171="","",[1]Planilha1!$I171)</f>
        <v/>
      </c>
      <c r="N171" s="2" t="str" cm="1">
        <f t="array" aca="1" ref="N171" ca="1">IFERROR(VALUE(_xlfn.REGEXEXTRACT([1]Planilha1!$E171,"(\d+)\s*MESES",2)),IFERROR(VALUE(_xlfn.REGEXEXTRACT([1]Planilha1!$E171,"por\s*(\d+)\s*M",2)),IF(_xlfn.REGEXTEST([1]Planilha1!$E171,"1[ºª]"),1,"")))</f>
        <v/>
      </c>
      <c r="O171" s="6" t="str">
        <f t="shared" si="9"/>
        <v/>
      </c>
      <c r="P171" t="str">
        <f ca="1">IF([1]Planilha1!$J171="","",TRIM([1]Planilha1!$J171))</f>
        <v>0</v>
      </c>
      <c r="Q171" s="7">
        <f ca="1">IF($D171="Claro","",IFERROR($L171-VLOOKUP($B171&amp;"|Claro",[1]AUX_CLARO!$A:$C,2,FALSE),""))</f>
        <v>9.9999999999994316E-2</v>
      </c>
      <c r="R171" s="8" t="str">
        <f ca="1">IF($D171="Claro","",IFERROR($J171-VLOOKUP($B171&amp;"|Claro",[1]AUX_CLARO!$A:$C,3,FALSE),""))</f>
        <v/>
      </c>
      <c r="S171" t="str">
        <f t="shared" ca="1" si="10"/>
        <v>Claro mais barata</v>
      </c>
      <c r="T171" t="str">
        <f t="shared" ca="1" si="11"/>
        <v/>
      </c>
      <c r="U171" s="9">
        <f t="shared" si="12"/>
        <v>46174</v>
      </c>
      <c r="V171" t="str">
        <f ca="1">IF(OR([1]Planilha1!$B171="",[1]Planilha1!$B171="NÃO MAPEADO"),"",TRIM([1]Planilha1!$B171))</f>
        <v>OESTE</v>
      </c>
      <c r="W171" t="str">
        <f ca="1">IF([1]Planilha1!$C171="","",TRIM([1]Planilha1!$C171))</f>
        <v>PADRÃO</v>
      </c>
      <c r="X171" t="str">
        <f ca="1">IFERROR(VLOOKUP($C171,[1]Planilha2!$B:$H,7,FALSE),"")</f>
        <v>14400-001</v>
      </c>
    </row>
    <row r="172" spans="1:24" x14ac:dyDescent="0.35">
      <c r="A172" t="str">
        <f ca="1">IF(LEFT(TEXT([1]Planilha1!$L172,"0000000"),1)="5","MS","SP")</f>
        <v>SP</v>
      </c>
      <c r="B172" t="str">
        <f ca="1">IF(RIGHT([1]Planilha1!$A172,5)=" - MS",LEFT([1]Planilha1!$A172,LEN([1]Planilha1!$A172)-5),TRIM([1]Planilha1!$A172))</f>
        <v>FRANCA</v>
      </c>
      <c r="C172" s="2">
        <f ca="1">[1]Planilha1!$L172</f>
        <v>3516200</v>
      </c>
      <c r="D172" t="str">
        <f>TRIM([1]Planilha1!$D172)</f>
        <v>Desktop</v>
      </c>
      <c r="E172" t="str">
        <f>IF(TRIM([1]Planilha1!$D172)="Claro","Claro","Concorrente")</f>
        <v>Concorrente</v>
      </c>
      <c r="F172" t="s">
        <v>29</v>
      </c>
      <c r="G172" t="str">
        <f t="shared" ca="1" si="0"/>
        <v>Banda Larga + Movel</v>
      </c>
      <c r="H172" t="str">
        <f ca="1">TRIM([1]Planilha1!$E172)</f>
        <v>600M+15GB=R$129,99 - 6 MESES, APÓS R$139,99</v>
      </c>
      <c r="I172" t="str">
        <f ca="1">IF([1]Planilha1!$F172="","",TRIM([1]Planilha1!$F172))</f>
        <v>Fibra</v>
      </c>
      <c r="J172" s="3">
        <f ca="1">IF([1]Planilha1!$G172="","",[1]Planilha1!$G172)</f>
        <v>600</v>
      </c>
      <c r="K172" s="4" cm="1">
        <f t="array" aca="1" ref="K172" ca="1">IFERROR(VALUE(_xlfn.REGEXEXTRACT([1]Planilha1!$E172,"\+\s*(\d+)GB",2)),"")</f>
        <v>15</v>
      </c>
      <c r="L172" s="5">
        <f ca="1">IF([1]Planilha1!$H172="","",[1]Planilha1!$H172)</f>
        <v>139.99</v>
      </c>
      <c r="M172" s="5">
        <f ca="1">IF([1]Planilha1!$I172="","",[1]Planilha1!$I172)</f>
        <v>129.99</v>
      </c>
      <c r="N172" s="2" cm="1">
        <f t="array" aca="1" ref="N172" ca="1">IFERROR(VALUE(_xlfn.REGEXEXTRACT([1]Planilha1!$E172,"(\d+)\s*MESES",2)),IFERROR(VALUE(_xlfn.REGEXEXTRACT([1]Planilha1!$E172,"por\s*(\d+)\s*M",2)),IF(_xlfn.REGEXTEST([1]Planilha1!$E172,"1[ºª]"),1,"")))</f>
        <v>6</v>
      </c>
      <c r="O172" s="6">
        <f t="shared" ca="1" si="9"/>
        <v>0.23331666666666667</v>
      </c>
      <c r="P172" t="str">
        <f ca="1">IF([1]Planilha1!$J172="","",TRIM([1]Planilha1!$J172))</f>
        <v>0</v>
      </c>
      <c r="Q172" s="7">
        <f ca="1">IF($D172="Claro","",IFERROR($L172-VLOOKUP($B172&amp;"|Claro",[1]AUX_CLARO!$A:$C,2,FALSE),""))</f>
        <v>-19.909999999999997</v>
      </c>
      <c r="R172" s="8">
        <f ca="1">IF($D172="Claro","",IFERROR($J172-VLOOKUP($B172&amp;"|Claro",[1]AUX_CLARO!$A:$C,3,FALSE),""))</f>
        <v>0</v>
      </c>
      <c r="S172" t="str">
        <f t="shared" ca="1" si="10"/>
        <v>Claro mais cara</v>
      </c>
      <c r="T172" t="str">
        <f t="shared" ca="1" si="11"/>
        <v>Mesma velocidade</v>
      </c>
      <c r="U172" s="9">
        <f t="shared" si="12"/>
        <v>46174</v>
      </c>
      <c r="V172" t="str">
        <f ca="1">IF(OR([1]Planilha1!$B172="",[1]Planilha1!$B172="NÃO MAPEADO"),"",TRIM([1]Planilha1!$B172))</f>
        <v>OESTE</v>
      </c>
      <c r="W172" t="str">
        <f ca="1">IF([1]Planilha1!$C172="","",TRIM([1]Planilha1!$C172))</f>
        <v>PADRÃO</v>
      </c>
      <c r="X172" t="str">
        <f ca="1">IFERROR(VLOOKUP($C172,[1]Planilha2!$B:$H,7,FALSE),"")</f>
        <v>14400-001</v>
      </c>
    </row>
    <row r="173" spans="1:24" x14ac:dyDescent="0.35">
      <c r="A173" t="str">
        <f ca="1">IF(LEFT(TEXT([1]Planilha1!$L173,"0000000"),1)="5","MS","SP")</f>
        <v>SP</v>
      </c>
      <c r="B173" t="str">
        <f ca="1">IF(RIGHT([1]Planilha1!$A173,5)=" - MS",LEFT([1]Planilha1!$A173,LEN([1]Planilha1!$A173)-5),TRIM([1]Planilha1!$A173))</f>
        <v>FRANCA</v>
      </c>
      <c r="C173" s="2">
        <f ca="1">[1]Planilha1!$L173</f>
        <v>3516200</v>
      </c>
      <c r="D173" t="str">
        <f>TRIM([1]Planilha1!$D173)</f>
        <v>Algar</v>
      </c>
      <c r="E173" t="str">
        <f>IF(TRIM([1]Planilha1!$D173)="Claro","Claro","Concorrente")</f>
        <v>Concorrente</v>
      </c>
      <c r="F173" t="s">
        <v>38</v>
      </c>
      <c r="G173" t="str">
        <f t="shared" ca="1" si="0"/>
        <v>Banda Larga + Conteudo</v>
      </c>
      <c r="H173" t="str">
        <f ca="1">TRIM([1]Planilha1!$E173)</f>
        <v>800M R$99,90</v>
      </c>
      <c r="I173" t="str">
        <f ca="1">IF([1]Planilha1!$F173="","",TRIM([1]Planilha1!$F173))</f>
        <v>Fibra</v>
      </c>
      <c r="J173" s="3">
        <f ca="1">IF([1]Planilha1!$G173="","",[1]Planilha1!$G173)</f>
        <v>800</v>
      </c>
      <c r="K173" s="4" t="str" cm="1">
        <f t="array" aca="1" ref="K173" ca="1">IFERROR(VALUE(_xlfn.REGEXEXTRACT([1]Planilha1!$E173,"\+\s*(\d+)GB",2)),"")</f>
        <v/>
      </c>
      <c r="L173" s="5">
        <f ca="1">IF([1]Planilha1!$H173="","",[1]Planilha1!$H173)</f>
        <v>99.9</v>
      </c>
      <c r="M173" s="5" t="str">
        <f ca="1">IF([1]Planilha1!$I173="","",[1]Planilha1!$I173)</f>
        <v/>
      </c>
      <c r="N173" s="2" t="str" cm="1">
        <f t="array" aca="1" ref="N173" ca="1">IFERROR(VALUE(_xlfn.REGEXEXTRACT([1]Planilha1!$E173,"(\d+)\s*MESES",2)),IFERROR(VALUE(_xlfn.REGEXEXTRACT([1]Planilha1!$E173,"por\s*(\d+)\s*M",2)),IF(_xlfn.REGEXTEST([1]Planilha1!$E173,"1[ºª]"),1,"")))</f>
        <v/>
      </c>
      <c r="O173" s="6">
        <f t="shared" ca="1" si="9"/>
        <v>0.12487500000000001</v>
      </c>
      <c r="P173" t="str">
        <f ca="1">IF([1]Planilha1!$J173="","",TRIM([1]Planilha1!$J173))</f>
        <v>0</v>
      </c>
      <c r="Q173" s="7">
        <f ca="1">IF($D173="Claro","",IFERROR($L173-VLOOKUP($B173&amp;"|Claro",[1]AUX_CLARO!$A:$C,2,FALSE),""))</f>
        <v>-60</v>
      </c>
      <c r="R173" s="8">
        <f ca="1">IF($D173="Claro","",IFERROR($J173-VLOOKUP($B173&amp;"|Claro",[1]AUX_CLARO!$A:$C,3,FALSE),""))</f>
        <v>200</v>
      </c>
      <c r="S173" t="str">
        <f t="shared" ca="1" si="10"/>
        <v>Claro mais cara</v>
      </c>
      <c r="T173" t="str">
        <f t="shared" ca="1" si="11"/>
        <v>Claro com menor velocidade</v>
      </c>
      <c r="U173" s="9">
        <f t="shared" si="12"/>
        <v>46174</v>
      </c>
      <c r="V173" t="str">
        <f ca="1">IF(OR([1]Planilha1!$B173="",[1]Planilha1!$B173="NÃO MAPEADO"),"",TRIM([1]Planilha1!$B173))</f>
        <v>OESTE</v>
      </c>
      <c r="W173" t="str">
        <f ca="1">IF([1]Planilha1!$C173="","",TRIM([1]Planilha1!$C173))</f>
        <v>PADRÃO</v>
      </c>
      <c r="X173" t="str">
        <f ca="1">IFERROR(VLOOKUP($C173,[1]Planilha2!$B:$H,7,FALSE),"")</f>
        <v>14400-001</v>
      </c>
    </row>
    <row r="174" spans="1:24" x14ac:dyDescent="0.35">
      <c r="A174" t="str">
        <f ca="1">IF(LEFT(TEXT([1]Planilha1!$L174,"0000000"),1)="5","MS","SP")</f>
        <v>SP</v>
      </c>
      <c r="B174" t="str">
        <f ca="1">IF(RIGHT([1]Planilha1!$A174,5)=" - MS",LEFT([1]Planilha1!$A174,LEN([1]Planilha1!$A174)-5),TRIM([1]Planilha1!$A174))</f>
        <v>FRANCA</v>
      </c>
      <c r="C174" s="2">
        <f ca="1">[1]Planilha1!$L174</f>
        <v>3516200</v>
      </c>
      <c r="D174" t="str">
        <f>TRIM([1]Planilha1!$D174)</f>
        <v>Weclix</v>
      </c>
      <c r="E174" t="str">
        <f>IF(TRIM([1]Planilha1!$D174)="Claro","Claro","Concorrente")</f>
        <v>Concorrente</v>
      </c>
      <c r="F174" t="s">
        <v>34</v>
      </c>
      <c r="G174" t="str">
        <f t="shared" ca="1" si="0"/>
        <v>Banda Larga + Conteudo</v>
      </c>
      <c r="H174" t="str">
        <f ca="1">TRIM([1]Planilha1!$E174)</f>
        <v>1GB R$59,90 - 1ª MENSALIDADE, APÓS R$99,90</v>
      </c>
      <c r="I174" t="str">
        <f ca="1">IF([1]Planilha1!$F174="","",TRIM([1]Planilha1!$F174))</f>
        <v>Fibra</v>
      </c>
      <c r="J174" s="3">
        <f ca="1">IF([1]Planilha1!$G174="","",[1]Planilha1!$G174)</f>
        <v>1000</v>
      </c>
      <c r="K174" s="4" t="str" cm="1">
        <f t="array" aca="1" ref="K174" ca="1">IFERROR(VALUE(_xlfn.REGEXEXTRACT([1]Planilha1!$E174,"\+\s*(\d+)GB",2)),"")</f>
        <v/>
      </c>
      <c r="L174" s="5">
        <f ca="1">IF([1]Planilha1!$H174="","",[1]Planilha1!$H174)</f>
        <v>99.9</v>
      </c>
      <c r="M174" s="5">
        <f ca="1">IF([1]Planilha1!$I174="","",[1]Planilha1!$I174)</f>
        <v>59.9</v>
      </c>
      <c r="N174" s="2" cm="1">
        <f t="array" aca="1" ref="N174" ca="1">IFERROR(VALUE(_xlfn.REGEXEXTRACT([1]Planilha1!$E174,"(\d+)\s*MESES",2)),IFERROR(VALUE(_xlfn.REGEXEXTRACT([1]Planilha1!$E174,"por\s*(\d+)\s*M",2)),IF(_xlfn.REGEXTEST([1]Planilha1!$E174,"1[ºª]"),1,"")))</f>
        <v>1</v>
      </c>
      <c r="O174" s="6">
        <f t="shared" ca="1" si="9"/>
        <v>9.9900000000000003E-2</v>
      </c>
      <c r="P174" t="str">
        <f ca="1">IF([1]Planilha1!$J174="","",TRIM([1]Planilha1!$J174))</f>
        <v>0</v>
      </c>
      <c r="Q174" s="7">
        <f ca="1">IF($D174="Claro","",IFERROR($L174-VLOOKUP($B174&amp;"|Claro",[1]AUX_CLARO!$A:$C,2,FALSE),""))</f>
        <v>-60</v>
      </c>
      <c r="R174" s="8">
        <f ca="1">IF($D174="Claro","",IFERROR($J174-VLOOKUP($B174&amp;"|Claro",[1]AUX_CLARO!$A:$C,3,FALSE),""))</f>
        <v>400</v>
      </c>
      <c r="S174" t="str">
        <f t="shared" ca="1" si="10"/>
        <v>Claro mais cara</v>
      </c>
      <c r="T174" t="str">
        <f t="shared" ca="1" si="11"/>
        <v>Claro com menor velocidade</v>
      </c>
      <c r="U174" s="9">
        <f t="shared" si="12"/>
        <v>46174</v>
      </c>
      <c r="V174" t="str">
        <f ca="1">IF(OR([1]Planilha1!$B174="",[1]Planilha1!$B174="NÃO MAPEADO"),"",TRIM([1]Planilha1!$B174))</f>
        <v>OESTE</v>
      </c>
      <c r="W174" t="str">
        <f ca="1">IF([1]Planilha1!$C174="","",TRIM([1]Planilha1!$C174))</f>
        <v>PADRÃO</v>
      </c>
      <c r="X174" t="str">
        <f ca="1">IFERROR(VLOOKUP($C174,[1]Planilha2!$B:$H,7,FALSE),"")</f>
        <v>14400-001</v>
      </c>
    </row>
    <row r="175" spans="1:24" x14ac:dyDescent="0.35">
      <c r="A175" t="str">
        <f ca="1">IF(LEFT(TEXT([1]Planilha1!$L175,"0000000"),1)="5","MS","SP")</f>
        <v>SP</v>
      </c>
      <c r="B175" t="str">
        <f ca="1">IF(RIGHT([1]Planilha1!$A175,5)=" - MS",LEFT([1]Planilha1!$A175,LEN([1]Planilha1!$A175)-5),TRIM([1]Planilha1!$A175))</f>
        <v>FRANCA</v>
      </c>
      <c r="C175" s="2">
        <f ca="1">[1]Planilha1!$L175</f>
        <v>3516200</v>
      </c>
      <c r="D175" t="str">
        <f>TRIM([1]Planilha1!$D175)</f>
        <v>ISP LOCAL</v>
      </c>
      <c r="E175" t="str">
        <f>IF(TRIM([1]Planilha1!$D175)="Claro","Claro","Concorrente")</f>
        <v>Concorrente</v>
      </c>
      <c r="F175" t="s">
        <v>47</v>
      </c>
      <c r="G175" t="str">
        <f t="shared" ca="1" si="0"/>
        <v>Banda Larga + Conteudo</v>
      </c>
      <c r="H175" t="str">
        <f ca="1">TRIM([1]Planilha1!$E175)</f>
        <v>ALLOHA - 600M + GLOBOPLAY R$109,99</v>
      </c>
      <c r="I175" t="str">
        <f ca="1">IF([1]Planilha1!$F175="","",TRIM([1]Planilha1!$F175))</f>
        <v>Fibra</v>
      </c>
      <c r="J175" s="3">
        <f ca="1">IF([1]Planilha1!$G175="","",[1]Planilha1!$G175)</f>
        <v>600</v>
      </c>
      <c r="K175" s="4" t="str" cm="1">
        <f t="array" aca="1" ref="K175" ca="1">IFERROR(VALUE(_xlfn.REGEXEXTRACT([1]Planilha1!$E175,"\+\s*(\d+)GB",2)),"")</f>
        <v/>
      </c>
      <c r="L175" s="5">
        <f ca="1">IF([1]Planilha1!$H175="","",[1]Planilha1!$H175)</f>
        <v>109.99</v>
      </c>
      <c r="M175" s="5" t="str">
        <f ca="1">IF([1]Planilha1!$I175="","",[1]Planilha1!$I175)</f>
        <v/>
      </c>
      <c r="N175" s="2" t="str" cm="1">
        <f t="array" aca="1" ref="N175" ca="1">IFERROR(VALUE(_xlfn.REGEXEXTRACT([1]Planilha1!$E175,"(\d+)\s*MESES",2)),IFERROR(VALUE(_xlfn.REGEXEXTRACT([1]Planilha1!$E175,"por\s*(\d+)\s*M",2)),IF(_xlfn.REGEXTEST([1]Planilha1!$E175,"1[ºª]"),1,"")))</f>
        <v/>
      </c>
      <c r="O175" s="6">
        <f t="shared" ca="1" si="9"/>
        <v>0.18331666666666666</v>
      </c>
      <c r="P175" t="str">
        <f ca="1">IF([1]Planilha1!$J175="","",TRIM([1]Planilha1!$J175))</f>
        <v>GLOBOPLAY</v>
      </c>
      <c r="Q175" s="7">
        <f ca="1">IF($D175="Claro","",IFERROR($L175-VLOOKUP($B175&amp;"|Claro",[1]AUX_CLARO!$A:$C,2,FALSE),""))</f>
        <v>-49.910000000000011</v>
      </c>
      <c r="R175" s="8">
        <f ca="1">IF($D175="Claro","",IFERROR($J175-VLOOKUP($B175&amp;"|Claro",[1]AUX_CLARO!$A:$C,3,FALSE),""))</f>
        <v>0</v>
      </c>
      <c r="S175" t="str">
        <f t="shared" ca="1" si="10"/>
        <v>Claro mais cara</v>
      </c>
      <c r="T175" t="str">
        <f t="shared" ca="1" si="11"/>
        <v>Mesma velocidade</v>
      </c>
      <c r="U175" s="9">
        <f t="shared" si="12"/>
        <v>46174</v>
      </c>
      <c r="V175" t="str">
        <f ca="1">IF(OR([1]Planilha1!$B175="",[1]Planilha1!$B175="NÃO MAPEADO"),"",TRIM([1]Planilha1!$B175))</f>
        <v>OESTE</v>
      </c>
      <c r="W175" t="str">
        <f ca="1">IF([1]Planilha1!$C175="","",TRIM([1]Planilha1!$C175))</f>
        <v>PADRÃO</v>
      </c>
      <c r="X175" t="str">
        <f ca="1">IFERROR(VLOOKUP($C175,[1]Planilha2!$B:$H,7,FALSE),"")</f>
        <v>14400-001</v>
      </c>
    </row>
    <row r="176" spans="1:24" x14ac:dyDescent="0.35">
      <c r="A176" t="str">
        <f ca="1">IF(LEFT(TEXT([1]Planilha1!$L176,"0000000"),1)="5","MS","SP")</f>
        <v>SP</v>
      </c>
      <c r="B176" t="str">
        <f ca="1">IF(RIGHT([1]Planilha1!$A176,5)=" - MS",LEFT([1]Planilha1!$A176,LEN([1]Planilha1!$A176)-5),TRIM([1]Planilha1!$A176))</f>
        <v>GARCA</v>
      </c>
      <c r="C176" s="2">
        <f ca="1">[1]Planilha1!$L176</f>
        <v>3516705</v>
      </c>
      <c r="D176" t="str">
        <f>TRIM([1]Planilha1!$D176)</f>
        <v>Claro</v>
      </c>
      <c r="E176" t="str">
        <f>IF(TRIM([1]Planilha1!$D176)="Claro","Claro","Concorrente")</f>
        <v>Claro</v>
      </c>
      <c r="F176" t="s">
        <v>24</v>
      </c>
      <c r="G176" t="str">
        <f t="shared" ca="1" si="0"/>
        <v>Banda Larga + Movel</v>
      </c>
      <c r="H176" t="str">
        <f ca="1">TRIM([1]Planilha1!$E176)</f>
        <v>600M+100GB=R$109,90 por 6M, após R$139,90</v>
      </c>
      <c r="I176" t="str">
        <f ca="1">IF([1]Planilha1!$F176="","",TRIM([1]Planilha1!$F176))</f>
        <v>Fibra</v>
      </c>
      <c r="J176" s="3">
        <f ca="1">IF([1]Planilha1!$G176="","",[1]Planilha1!$G176)</f>
        <v>600</v>
      </c>
      <c r="K176" s="4" cm="1">
        <f t="array" aca="1" ref="K176" ca="1">IFERROR(VALUE(_xlfn.REGEXEXTRACT([1]Planilha1!$E176,"\+\s*(\d+)GB",2)),"")</f>
        <v>100</v>
      </c>
      <c r="L176" s="5">
        <f ca="1">IF([1]Planilha1!$H176="","",[1]Planilha1!$H176)</f>
        <v>139.9</v>
      </c>
      <c r="M176" s="5">
        <f ca="1">IF([1]Planilha1!$I176="","",[1]Planilha1!$I176)</f>
        <v>109.9</v>
      </c>
      <c r="N176" s="2" cm="1">
        <f t="array" aca="1" ref="N176" ca="1">IFERROR(VALUE(_xlfn.REGEXEXTRACT([1]Planilha1!$E176,"(\d+)\s*MESES",2)),IFERROR(VALUE(_xlfn.REGEXEXTRACT([1]Planilha1!$E176,"por\s*(\d+)\s*M",2)),IF(_xlfn.REGEXTEST([1]Planilha1!$E176,"1[ºª]"),1,"")))</f>
        <v>6</v>
      </c>
      <c r="O176" s="6">
        <f t="shared" ca="1" si="9"/>
        <v>0.23316666666666669</v>
      </c>
      <c r="P176" t="str">
        <f ca="1">IF([1]Planilha1!$J176="","",TRIM([1]Planilha1!$J176))</f>
        <v>GLOBOPLAY</v>
      </c>
      <c r="Q176" s="7" t="str">
        <f>IF($D176="Claro","",IFERROR($L176-VLOOKUP($B176&amp;"|Claro",[1]AUX_CLARO!$A:$C,2,FALSE),""))</f>
        <v/>
      </c>
      <c r="R176" s="8" t="str">
        <f>IF($D176="Claro","",IFERROR($J176-VLOOKUP($B176&amp;"|Claro",[1]AUX_CLARO!$A:$C,3,FALSE),""))</f>
        <v/>
      </c>
      <c r="S176" t="str">
        <f t="shared" si="10"/>
        <v/>
      </c>
      <c r="T176" t="str">
        <f t="shared" si="11"/>
        <v/>
      </c>
      <c r="U176" s="9">
        <f t="shared" si="12"/>
        <v>46174</v>
      </c>
      <c r="V176" t="str">
        <f ca="1">IF(OR([1]Planilha1!$B176="",[1]Planilha1!$B176="NÃO MAPEADO"),"",TRIM([1]Planilha1!$B176))</f>
        <v>NOROESTE</v>
      </c>
      <c r="W176" t="str">
        <f ca="1">IF([1]Planilha1!$C176="","",TRIM([1]Planilha1!$C176))</f>
        <v>MD 2</v>
      </c>
      <c r="X176" t="str">
        <f ca="1">IFERROR(VLOOKUP($C176,[1]Planilha2!$B:$H,7,FALSE),"")</f>
        <v>17400-001</v>
      </c>
    </row>
    <row r="177" spans="1:24" x14ac:dyDescent="0.35">
      <c r="A177" t="str">
        <f ca="1">IF(LEFT(TEXT([1]Planilha1!$L177,"0000000"),1)="5","MS","SP")</f>
        <v>SP</v>
      </c>
      <c r="B177" t="str">
        <f ca="1">IF(RIGHT([1]Planilha1!$A177,5)=" - MS",LEFT([1]Planilha1!$A177,LEN([1]Planilha1!$A177)-5),TRIM([1]Planilha1!$A177))</f>
        <v>GARCA</v>
      </c>
      <c r="C177" s="2">
        <f ca="1">[1]Planilha1!$L177</f>
        <v>3516705</v>
      </c>
      <c r="D177" t="str">
        <f>TRIM([1]Planilha1!$D177)</f>
        <v>Vivo</v>
      </c>
      <c r="E177" t="str">
        <f>IF(TRIM([1]Planilha1!$D177)="Claro","Claro","Concorrente")</f>
        <v>Concorrente</v>
      </c>
      <c r="F177" t="s">
        <v>25</v>
      </c>
      <c r="G177" t="str">
        <f t="shared" ca="1" si="0"/>
        <v>Banda Larga + Movel</v>
      </c>
      <c r="H177" t="s">
        <v>26</v>
      </c>
      <c r="I177" t="str">
        <f ca="1">IF([1]Planilha1!$F177="","",TRIM([1]Planilha1!$F177))</f>
        <v>Fibra</v>
      </c>
      <c r="J177" s="11" t="s">
        <v>27</v>
      </c>
      <c r="K177" s="4" cm="1">
        <f t="array" aca="1" ref="K177" ca="1">IFERROR(VALUE(_xlfn.REGEXEXTRACT([1]Planilha1!$E177,"\+\s*(\d+)GB",2)),"")</f>
        <v>70</v>
      </c>
      <c r="L177" s="5">
        <v>160</v>
      </c>
      <c r="M177" s="5" t="str">
        <f ca="1">IF([1]Planilha1!$I177="","",[1]Planilha1!$I177)</f>
        <v/>
      </c>
      <c r="N177" s="2" t="str" cm="1">
        <f t="array" aca="1" ref="N177" ca="1">IFERROR(VALUE(_xlfn.REGEXEXTRACT([1]Planilha1!$E177,"(\d+)\s*MESES",2)),IFERROR(VALUE(_xlfn.REGEXEXTRACT([1]Planilha1!$E177,"por\s*(\d+)\s*M",2)),IF(_xlfn.REGEXTEST([1]Planilha1!$E177,"1[ºª]"),1,"")))</f>
        <v/>
      </c>
      <c r="O177" s="6" t="str">
        <f t="shared" si="9"/>
        <v/>
      </c>
      <c r="P177" t="str">
        <f ca="1">IF([1]Planilha1!$J177="","",TRIM([1]Planilha1!$J177))</f>
        <v>0</v>
      </c>
      <c r="Q177" s="7">
        <f ca="1">IF($D177="Claro","",IFERROR($L177-VLOOKUP($B177&amp;"|Claro",[1]AUX_CLARO!$A:$C,2,FALSE),""))</f>
        <v>20.099999999999994</v>
      </c>
      <c r="R177" s="8" t="str">
        <f ca="1">IF($D177="Claro","",IFERROR($J177-VLOOKUP($B177&amp;"|Claro",[1]AUX_CLARO!$A:$C,3,FALSE),""))</f>
        <v/>
      </c>
      <c r="S177" t="str">
        <f t="shared" ca="1" si="10"/>
        <v>Claro mais barata</v>
      </c>
      <c r="T177" t="str">
        <f t="shared" ca="1" si="11"/>
        <v/>
      </c>
      <c r="U177" s="9">
        <f t="shared" si="12"/>
        <v>46174</v>
      </c>
      <c r="V177" t="str">
        <f ca="1">IF(OR([1]Planilha1!$B177="",[1]Planilha1!$B177="NÃO MAPEADO"),"",TRIM([1]Planilha1!$B177))</f>
        <v>NOROESTE</v>
      </c>
      <c r="W177" t="str">
        <f ca="1">IF([1]Planilha1!$C177="","",TRIM([1]Planilha1!$C177))</f>
        <v>MD 2</v>
      </c>
      <c r="X177" t="str">
        <f ca="1">IFERROR(VLOOKUP($C177,[1]Planilha2!$B:$H,7,FALSE),"")</f>
        <v>17400-001</v>
      </c>
    </row>
    <row r="178" spans="1:24" x14ac:dyDescent="0.35">
      <c r="A178" t="str">
        <f ca="1">IF(LEFT(TEXT([1]Planilha1!$L178,"0000000"),1)="5","MS","SP")</f>
        <v>SP</v>
      </c>
      <c r="B178" t="str">
        <f ca="1">IF(RIGHT([1]Planilha1!$A178,5)=" - MS",LEFT([1]Planilha1!$A178,LEN([1]Planilha1!$A178)-5),TRIM([1]Planilha1!$A178))</f>
        <v>GARCA</v>
      </c>
      <c r="C178" s="2">
        <f ca="1">[1]Planilha1!$L178</f>
        <v>3516705</v>
      </c>
      <c r="D178" t="str">
        <f>TRIM([1]Planilha1!$D178)</f>
        <v>ISP LOCAL</v>
      </c>
      <c r="E178" t="str">
        <f>IF(TRIM([1]Planilha1!$D178)="Claro","Claro","Concorrente")</f>
        <v>Concorrente</v>
      </c>
      <c r="F178" t="s">
        <v>60</v>
      </c>
      <c r="G178" t="str">
        <f t="shared" ca="1" si="0"/>
        <v>Banda Larga + Conteudo</v>
      </c>
      <c r="H178" t="str">
        <f ca="1">TRIM([1]Planilha1!$E178)</f>
        <v>LIFE - 600M R$99,90</v>
      </c>
      <c r="I178" t="str">
        <f ca="1">IF([1]Planilha1!$F178="","",TRIM([1]Planilha1!$F178))</f>
        <v>Fibra</v>
      </c>
      <c r="J178" s="3">
        <f ca="1">IF([1]Planilha1!$G178="","",[1]Planilha1!$G178)</f>
        <v>600</v>
      </c>
      <c r="K178" s="4" t="str" cm="1">
        <f t="array" aca="1" ref="K178" ca="1">IFERROR(VALUE(_xlfn.REGEXEXTRACT([1]Planilha1!$E178,"\+\s*(\d+)GB",2)),"")</f>
        <v/>
      </c>
      <c r="L178" s="5">
        <f ca="1">IF([1]Planilha1!$H178="","",[1]Planilha1!$H178)</f>
        <v>99.9</v>
      </c>
      <c r="M178" s="5" t="str">
        <f ca="1">IF([1]Planilha1!$I178="","",[1]Planilha1!$I178)</f>
        <v/>
      </c>
      <c r="N178" s="2" t="str" cm="1">
        <f t="array" aca="1" ref="N178" ca="1">IFERROR(VALUE(_xlfn.REGEXEXTRACT([1]Planilha1!$E178,"(\d+)\s*MESES",2)),IFERROR(VALUE(_xlfn.REGEXEXTRACT([1]Planilha1!$E178,"por\s*(\d+)\s*M",2)),IF(_xlfn.REGEXTEST([1]Planilha1!$E178,"1[ºª]"),1,"")))</f>
        <v/>
      </c>
      <c r="O178" s="6">
        <f t="shared" ca="1" si="9"/>
        <v>0.16650000000000001</v>
      </c>
      <c r="P178" t="str">
        <f ca="1">IF([1]Planilha1!$J178="","",TRIM([1]Planilha1!$J178))</f>
        <v>0</v>
      </c>
      <c r="Q178" s="7">
        <f ca="1">IF($D178="Claro","",IFERROR($L178-VLOOKUP($B178&amp;"|Claro",[1]AUX_CLARO!$A:$C,2,FALSE),""))</f>
        <v>-40</v>
      </c>
      <c r="R178" s="8">
        <f ca="1">IF($D178="Claro","",IFERROR($J178-VLOOKUP($B178&amp;"|Claro",[1]AUX_CLARO!$A:$C,3,FALSE),""))</f>
        <v>0</v>
      </c>
      <c r="S178" t="str">
        <f t="shared" ca="1" si="10"/>
        <v>Claro mais cara</v>
      </c>
      <c r="T178" t="str">
        <f t="shared" ca="1" si="11"/>
        <v>Mesma velocidade</v>
      </c>
      <c r="U178" s="9">
        <f t="shared" si="12"/>
        <v>46174</v>
      </c>
      <c r="V178" t="str">
        <f ca="1">IF(OR([1]Planilha1!$B178="",[1]Planilha1!$B178="NÃO MAPEADO"),"",TRIM([1]Planilha1!$B178))</f>
        <v>NOROESTE</v>
      </c>
      <c r="W178" t="str">
        <f ca="1">IF([1]Planilha1!$C178="","",TRIM([1]Planilha1!$C178))</f>
        <v>MD 2</v>
      </c>
      <c r="X178" t="str">
        <f ca="1">IFERROR(VLOOKUP($C178,[1]Planilha2!$B:$H,7,FALSE),"")</f>
        <v>17400-001</v>
      </c>
    </row>
    <row r="179" spans="1:24" x14ac:dyDescent="0.35">
      <c r="A179" t="str">
        <f ca="1">IF(LEFT(TEXT([1]Planilha1!$L179,"0000000"),1)="5","MS","SP")</f>
        <v>SP</v>
      </c>
      <c r="B179" t="str">
        <f ca="1">IF(RIGHT([1]Planilha1!$A179,5)=" - MS",LEFT([1]Planilha1!$A179,LEN([1]Planilha1!$A179)-5),TRIM([1]Planilha1!$A179))</f>
        <v>GUAIRA</v>
      </c>
      <c r="C179" s="2">
        <f ca="1">[1]Planilha1!$L179</f>
        <v>3517406</v>
      </c>
      <c r="D179" t="str">
        <f>TRIM([1]Planilha1!$D179)</f>
        <v>Claro</v>
      </c>
      <c r="E179" t="str">
        <f>IF(TRIM([1]Planilha1!$D179)="Claro","Claro","Concorrente")</f>
        <v>Claro</v>
      </c>
      <c r="F179" t="s">
        <v>24</v>
      </c>
      <c r="G179" t="str">
        <f t="shared" ca="1" si="0"/>
        <v>Banda Larga + Movel</v>
      </c>
      <c r="H179" t="str">
        <f ca="1">TRIM([1]Planilha1!$E179)</f>
        <v>600M+100GB=R$119,90 por 6M, após R$139,90</v>
      </c>
      <c r="I179" t="str">
        <f ca="1">IF([1]Planilha1!$F179="","",TRIM([1]Planilha1!$F179))</f>
        <v>Fibra</v>
      </c>
      <c r="J179" s="3">
        <f ca="1">IF([1]Planilha1!$G179="","",[1]Planilha1!$G179)</f>
        <v>600</v>
      </c>
      <c r="K179" s="4" cm="1">
        <f t="array" aca="1" ref="K179" ca="1">IFERROR(VALUE(_xlfn.REGEXEXTRACT([1]Planilha1!$E179,"\+\s*(\d+)GB",2)),"")</f>
        <v>100</v>
      </c>
      <c r="L179" s="5">
        <f ca="1">IF([1]Planilha1!$H179="","",[1]Planilha1!$H179)</f>
        <v>139.9</v>
      </c>
      <c r="M179" s="5">
        <f ca="1">IF([1]Planilha1!$I179="","",[1]Planilha1!$I179)</f>
        <v>119.9</v>
      </c>
      <c r="N179" s="2" cm="1">
        <f t="array" aca="1" ref="N179" ca="1">IFERROR(VALUE(_xlfn.REGEXEXTRACT([1]Planilha1!$E179,"(\d+)\s*MESES",2)),IFERROR(VALUE(_xlfn.REGEXEXTRACT([1]Planilha1!$E179,"por\s*(\d+)\s*M",2)),IF(_xlfn.REGEXTEST([1]Planilha1!$E179,"1[ºª]"),1,"")))</f>
        <v>6</v>
      </c>
      <c r="O179" s="6">
        <f t="shared" ca="1" si="9"/>
        <v>0.23316666666666669</v>
      </c>
      <c r="P179" t="str">
        <f ca="1">IF([1]Planilha1!$J179="","",TRIM([1]Planilha1!$J179))</f>
        <v>GLOBOPLAY</v>
      </c>
      <c r="Q179" s="7" t="str">
        <f>IF($D179="Claro","",IFERROR($L179-VLOOKUP($B179&amp;"|Claro",[1]AUX_CLARO!$A:$C,2,FALSE),""))</f>
        <v/>
      </c>
      <c r="R179" s="8" t="str">
        <f>IF($D179="Claro","",IFERROR($J179-VLOOKUP($B179&amp;"|Claro",[1]AUX_CLARO!$A:$C,3,FALSE),""))</f>
        <v/>
      </c>
      <c r="S179" t="str">
        <f t="shared" si="10"/>
        <v/>
      </c>
      <c r="T179" t="str">
        <f t="shared" si="11"/>
        <v/>
      </c>
      <c r="U179" s="9">
        <f t="shared" si="12"/>
        <v>46174</v>
      </c>
      <c r="V179" t="str">
        <f ca="1">IF(OR([1]Planilha1!$B179="",[1]Planilha1!$B179="NÃO MAPEADO"),"",TRIM([1]Planilha1!$B179))</f>
        <v>NOROESTE</v>
      </c>
      <c r="W179" t="str">
        <f ca="1">IF([1]Planilha1!$C179="","",TRIM([1]Planilha1!$C179))</f>
        <v>MD 1</v>
      </c>
      <c r="X179" t="str">
        <f ca="1">IFERROR(VLOOKUP($C179,[1]Planilha2!$B:$H,7,FALSE),"")</f>
        <v>14790-001</v>
      </c>
    </row>
    <row r="180" spans="1:24" x14ac:dyDescent="0.35">
      <c r="A180" t="str">
        <f ca="1">IF(LEFT(TEXT([1]Planilha1!$L180,"0000000"),1)="5","MS","SP")</f>
        <v>SP</v>
      </c>
      <c r="B180" t="str">
        <f ca="1">IF(RIGHT([1]Planilha1!$A180,5)=" - MS",LEFT([1]Planilha1!$A180,LEN([1]Planilha1!$A180)-5),TRIM([1]Planilha1!$A180))</f>
        <v>GUAIRA</v>
      </c>
      <c r="C180" s="2">
        <f ca="1">[1]Planilha1!$L180</f>
        <v>3517406</v>
      </c>
      <c r="D180" t="str">
        <f>TRIM([1]Planilha1!$D180)</f>
        <v>Desktop</v>
      </c>
      <c r="E180" t="str">
        <f>IF(TRIM([1]Planilha1!$D180)="Claro","Claro","Concorrente")</f>
        <v>Concorrente</v>
      </c>
      <c r="F180" t="s">
        <v>29</v>
      </c>
      <c r="G180" t="str">
        <f t="shared" ca="1" si="0"/>
        <v>Banda Larga + Movel</v>
      </c>
      <c r="H180" t="str">
        <f ca="1">TRIM([1]Planilha1!$E180)</f>
        <v>600M+15GB=R$129,99 - 6 MESES, APÓS R$139,99</v>
      </c>
      <c r="I180" t="str">
        <f ca="1">IF([1]Planilha1!$F180="","",TRIM([1]Planilha1!$F180))</f>
        <v>Fibra</v>
      </c>
      <c r="J180" s="3">
        <f ca="1">IF([1]Planilha1!$G180="","",[1]Planilha1!$G180)</f>
        <v>600</v>
      </c>
      <c r="K180" s="4" cm="1">
        <f t="array" aca="1" ref="K180" ca="1">IFERROR(VALUE(_xlfn.REGEXEXTRACT([1]Planilha1!$E180,"\+\s*(\d+)GB",2)),"")</f>
        <v>15</v>
      </c>
      <c r="L180" s="5">
        <f ca="1">IF([1]Planilha1!$H180="","",[1]Planilha1!$H180)</f>
        <v>139.99</v>
      </c>
      <c r="M180" s="5">
        <f ca="1">IF([1]Planilha1!$I180="","",[1]Planilha1!$I180)</f>
        <v>129.99</v>
      </c>
      <c r="N180" s="2" cm="1">
        <f t="array" aca="1" ref="N180" ca="1">IFERROR(VALUE(_xlfn.REGEXEXTRACT([1]Planilha1!$E180,"(\d+)\s*MESES",2)),IFERROR(VALUE(_xlfn.REGEXEXTRACT([1]Planilha1!$E180,"por\s*(\d+)\s*M",2)),IF(_xlfn.REGEXTEST([1]Planilha1!$E180,"1[ºª]"),1,"")))</f>
        <v>6</v>
      </c>
      <c r="O180" s="6">
        <f t="shared" ca="1" si="9"/>
        <v>0.23331666666666667</v>
      </c>
      <c r="P180" t="str">
        <f ca="1">IF([1]Planilha1!$J180="","",TRIM([1]Planilha1!$J180))</f>
        <v>0</v>
      </c>
      <c r="Q180" s="7">
        <f ca="1">IF($D180="Claro","",IFERROR($L180-VLOOKUP($B180&amp;"|Claro",[1]AUX_CLARO!$A:$C,2,FALSE),""))</f>
        <v>9.0000000000003411E-2</v>
      </c>
      <c r="R180" s="8">
        <f ca="1">IF($D180="Claro","",IFERROR($J180-VLOOKUP($B180&amp;"|Claro",[1]AUX_CLARO!$A:$C,3,FALSE),""))</f>
        <v>0</v>
      </c>
      <c r="S180" t="str">
        <f t="shared" ca="1" si="10"/>
        <v>Claro mais barata</v>
      </c>
      <c r="T180" t="str">
        <f t="shared" ca="1" si="11"/>
        <v>Mesma velocidade</v>
      </c>
      <c r="U180" s="9">
        <f t="shared" si="12"/>
        <v>46174</v>
      </c>
      <c r="V180" t="str">
        <f ca="1">IF(OR([1]Planilha1!$B180="",[1]Planilha1!$B180="NÃO MAPEADO"),"",TRIM([1]Planilha1!$B180))</f>
        <v>NOROESTE</v>
      </c>
      <c r="W180" t="str">
        <f ca="1">IF([1]Planilha1!$C180="","",TRIM([1]Planilha1!$C180))</f>
        <v>MD 1</v>
      </c>
      <c r="X180" t="str">
        <f ca="1">IFERROR(VLOOKUP($C180,[1]Planilha2!$B:$H,7,FALSE),"")</f>
        <v>14790-001</v>
      </c>
    </row>
    <row r="181" spans="1:24" x14ac:dyDescent="0.35">
      <c r="A181" t="str">
        <f ca="1">IF(LEFT(TEXT([1]Planilha1!$L181,"0000000"),1)="5","MS","SP")</f>
        <v>SP</v>
      </c>
      <c r="B181" t="str">
        <f ca="1">IF(RIGHT([1]Planilha1!$A181,5)=" - MS",LEFT([1]Planilha1!$A181,LEN([1]Planilha1!$A181)-5),TRIM([1]Planilha1!$A181))</f>
        <v>GUAIRA</v>
      </c>
      <c r="C181" s="2">
        <f ca="1">[1]Planilha1!$L181</f>
        <v>3517406</v>
      </c>
      <c r="D181" t="str">
        <f>TRIM([1]Planilha1!$D181)</f>
        <v>Algar</v>
      </c>
      <c r="E181" t="str">
        <f>IF(TRIM([1]Planilha1!$D181)="Claro","Claro","Concorrente")</f>
        <v>Concorrente</v>
      </c>
      <c r="F181" t="s">
        <v>38</v>
      </c>
      <c r="G181" t="str">
        <f t="shared" ca="1" si="0"/>
        <v>Banda Larga + Movel</v>
      </c>
      <c r="H181" t="str">
        <f ca="1">TRIM([1]Planilha1!$E181)</f>
        <v>600M+45GB= R$114,80 R$99,90</v>
      </c>
      <c r="I181" t="str">
        <f ca="1">IF([1]Planilha1!$F181="","",TRIM([1]Planilha1!$F181))</f>
        <v>Fibra</v>
      </c>
      <c r="J181" s="3">
        <f ca="1">IF([1]Planilha1!$G181="","",[1]Planilha1!$G181)</f>
        <v>600</v>
      </c>
      <c r="K181" s="4" cm="1">
        <f t="array" aca="1" ref="K181" ca="1">IFERROR(VALUE(_xlfn.REGEXEXTRACT([1]Planilha1!$E181,"\+\s*(\d+)GB",2)),"")</f>
        <v>45</v>
      </c>
      <c r="L181" s="5">
        <f ca="1">IF([1]Planilha1!$H181="","",[1]Planilha1!$H181)</f>
        <v>114.8</v>
      </c>
      <c r="M181" s="5" t="str">
        <f ca="1">IF([1]Planilha1!$I181="","",[1]Planilha1!$I181)</f>
        <v/>
      </c>
      <c r="N181" s="2" t="str" cm="1">
        <f t="array" aca="1" ref="N181" ca="1">IFERROR(VALUE(_xlfn.REGEXEXTRACT([1]Planilha1!$E181,"(\d+)\s*MESES",2)),IFERROR(VALUE(_xlfn.REGEXEXTRACT([1]Planilha1!$E181,"por\s*(\d+)\s*M",2)),IF(_xlfn.REGEXTEST([1]Planilha1!$E181,"1[ºª]"),1,"")))</f>
        <v/>
      </c>
      <c r="O181" s="6">
        <f t="shared" ca="1" si="9"/>
        <v>0.19133333333333333</v>
      </c>
      <c r="P181" t="str">
        <f ca="1">IF([1]Planilha1!$J181="","",TRIM([1]Planilha1!$J181))</f>
        <v>0</v>
      </c>
      <c r="Q181" s="7">
        <f ca="1">IF($D181="Claro","",IFERROR($L181-VLOOKUP($B181&amp;"|Claro",[1]AUX_CLARO!$A:$C,2,FALSE),""))</f>
        <v>-25.100000000000009</v>
      </c>
      <c r="R181" s="8">
        <f ca="1">IF($D181="Claro","",IFERROR($J181-VLOOKUP($B181&amp;"|Claro",[1]AUX_CLARO!$A:$C,3,FALSE),""))</f>
        <v>0</v>
      </c>
      <c r="S181" t="str">
        <f t="shared" ca="1" si="10"/>
        <v>Claro mais cara</v>
      </c>
      <c r="T181" t="str">
        <f t="shared" ca="1" si="11"/>
        <v>Mesma velocidade</v>
      </c>
      <c r="U181" s="9">
        <f t="shared" si="12"/>
        <v>46174</v>
      </c>
      <c r="V181" t="str">
        <f ca="1">IF(OR([1]Planilha1!$B181="",[1]Planilha1!$B181="NÃO MAPEADO"),"",TRIM([1]Planilha1!$B181))</f>
        <v>NOROESTE</v>
      </c>
      <c r="W181" t="str">
        <f ca="1">IF([1]Planilha1!$C181="","",TRIM([1]Planilha1!$C181))</f>
        <v>MD 1</v>
      </c>
      <c r="X181" t="str">
        <f ca="1">IFERROR(VLOOKUP($C181,[1]Planilha2!$B:$H,7,FALSE),"")</f>
        <v>14790-001</v>
      </c>
    </row>
    <row r="182" spans="1:24" x14ac:dyDescent="0.35">
      <c r="A182" t="str">
        <f ca="1">IF(LEFT(TEXT([1]Planilha1!$L182,"0000000"),1)="5","MS","SP")</f>
        <v>SP</v>
      </c>
      <c r="B182" t="str">
        <f ca="1">IF(RIGHT([1]Planilha1!$A182,5)=" - MS",LEFT([1]Planilha1!$A182,LEN([1]Planilha1!$A182)-5),TRIM([1]Planilha1!$A182))</f>
        <v>GUAIRA</v>
      </c>
      <c r="C182" s="2">
        <f ca="1">[1]Planilha1!$L182</f>
        <v>3517406</v>
      </c>
      <c r="D182" t="str">
        <f>TRIM([1]Planilha1!$D182)</f>
        <v>ISP LOCAL</v>
      </c>
      <c r="E182" t="str">
        <f>IF(TRIM([1]Planilha1!$D182)="Claro","Claro","Concorrente")</f>
        <v>Concorrente</v>
      </c>
      <c r="F182" t="s">
        <v>44</v>
      </c>
      <c r="G182" t="str">
        <f t="shared" ca="1" si="0"/>
        <v>Banda Larga + Conteudo</v>
      </c>
      <c r="H182" t="str">
        <f ca="1">TRIM([1]Planilha1!$E182)</f>
        <v>NIC NET - 800M R$59,90 - 3 MESES, APÓS R$99,90</v>
      </c>
      <c r="I182" t="str">
        <f ca="1">IF([1]Planilha1!$F182="","",TRIM([1]Planilha1!$F182))</f>
        <v>Fibra</v>
      </c>
      <c r="J182" s="3">
        <f ca="1">IF([1]Planilha1!$G182="","",[1]Planilha1!$G182)</f>
        <v>800</v>
      </c>
      <c r="K182" s="4" t="str" cm="1">
        <f t="array" aca="1" ref="K182" ca="1">IFERROR(VALUE(_xlfn.REGEXEXTRACT([1]Planilha1!$E182,"\+\s*(\d+)GB",2)),"")</f>
        <v/>
      </c>
      <c r="L182" s="5">
        <f ca="1">IF([1]Planilha1!$H182="","",[1]Planilha1!$H182)</f>
        <v>99.9</v>
      </c>
      <c r="M182" s="5">
        <f ca="1">IF([1]Planilha1!$I182="","",[1]Planilha1!$I182)</f>
        <v>59.9</v>
      </c>
      <c r="N182" s="2" cm="1">
        <f t="array" aca="1" ref="N182" ca="1">IFERROR(VALUE(_xlfn.REGEXEXTRACT([1]Planilha1!$E182,"(\d+)\s*MESES",2)),IFERROR(VALUE(_xlfn.REGEXEXTRACT([1]Planilha1!$E182,"por\s*(\d+)\s*M",2)),IF(_xlfn.REGEXTEST([1]Planilha1!$E182,"1[ºª]"),1,"")))</f>
        <v>3</v>
      </c>
      <c r="O182" s="6">
        <f t="shared" ca="1" si="9"/>
        <v>0.12487500000000001</v>
      </c>
      <c r="P182" t="str">
        <f ca="1">IF([1]Planilha1!$J182="","",TRIM([1]Planilha1!$J182))</f>
        <v>0</v>
      </c>
      <c r="Q182" s="7">
        <f ca="1">IF($D182="Claro","",IFERROR($L182-VLOOKUP($B182&amp;"|Claro",[1]AUX_CLARO!$A:$C,2,FALSE),""))</f>
        <v>-40</v>
      </c>
      <c r="R182" s="8">
        <f ca="1">IF($D182="Claro","",IFERROR($J182-VLOOKUP($B182&amp;"|Claro",[1]AUX_CLARO!$A:$C,3,FALSE),""))</f>
        <v>200</v>
      </c>
      <c r="S182" t="str">
        <f t="shared" ca="1" si="10"/>
        <v>Claro mais cara</v>
      </c>
      <c r="T182" t="str">
        <f t="shared" ca="1" si="11"/>
        <v>Claro com menor velocidade</v>
      </c>
      <c r="U182" s="9">
        <f t="shared" si="12"/>
        <v>46174</v>
      </c>
      <c r="V182" t="str">
        <f ca="1">IF(OR([1]Planilha1!$B182="",[1]Planilha1!$B182="NÃO MAPEADO"),"",TRIM([1]Planilha1!$B182))</f>
        <v>NOROESTE</v>
      </c>
      <c r="W182" t="str">
        <f ca="1">IF([1]Planilha1!$C182="","",TRIM([1]Planilha1!$C182))</f>
        <v>MD 1</v>
      </c>
      <c r="X182" t="str">
        <f ca="1">IFERROR(VLOOKUP($C182,[1]Planilha2!$B:$H,7,FALSE),"")</f>
        <v>14790-001</v>
      </c>
    </row>
    <row r="183" spans="1:24" x14ac:dyDescent="0.35">
      <c r="A183" t="str">
        <f ca="1">IF(LEFT(TEXT([1]Planilha1!$L183,"0000000"),1)="5","MS","SP")</f>
        <v>SP</v>
      </c>
      <c r="B183" t="str">
        <f ca="1">IF(RIGHT([1]Planilha1!$A183,5)=" - MS",LEFT([1]Planilha1!$A183,LEN([1]Planilha1!$A183)-5),TRIM([1]Planilha1!$A183))</f>
        <v>GUAPIACU</v>
      </c>
      <c r="C183" s="2">
        <f ca="1">[1]Planilha1!$L183</f>
        <v>3517505</v>
      </c>
      <c r="D183" t="str">
        <f>TRIM([1]Planilha1!$D183)</f>
        <v>Claro</v>
      </c>
      <c r="E183" t="str">
        <f>IF(TRIM([1]Planilha1!$D183)="Claro","Claro","Concorrente")</f>
        <v>Claro</v>
      </c>
      <c r="F183" t="s">
        <v>24</v>
      </c>
      <c r="G183" t="str">
        <f t="shared" ca="1" si="0"/>
        <v>Banda Larga + Movel</v>
      </c>
      <c r="H183" t="str">
        <f ca="1">TRIM([1]Planilha1!$E183)</f>
        <v>600M+100GB=R$109,90 por 6M, após R$139,90</v>
      </c>
      <c r="I183" t="str">
        <f ca="1">IF([1]Planilha1!$F183="","",TRIM([1]Planilha1!$F183))</f>
        <v>Fibra</v>
      </c>
      <c r="J183" s="3">
        <f ca="1">IF([1]Planilha1!$G183="","",[1]Planilha1!$G183)</f>
        <v>600</v>
      </c>
      <c r="K183" s="4" cm="1">
        <f t="array" aca="1" ref="K183" ca="1">IFERROR(VALUE(_xlfn.REGEXEXTRACT([1]Planilha1!$E183,"\+\s*(\d+)GB",2)),"")</f>
        <v>100</v>
      </c>
      <c r="L183" s="5">
        <f ca="1">IF([1]Planilha1!$H183="","",[1]Planilha1!$H183)</f>
        <v>139.9</v>
      </c>
      <c r="M183" s="5">
        <f ca="1">IF([1]Planilha1!$I183="","",[1]Planilha1!$I183)</f>
        <v>109.9</v>
      </c>
      <c r="N183" s="2" cm="1">
        <f t="array" aca="1" ref="N183" ca="1">IFERROR(VALUE(_xlfn.REGEXEXTRACT([1]Planilha1!$E183,"(\d+)\s*MESES",2)),IFERROR(VALUE(_xlfn.REGEXEXTRACT([1]Planilha1!$E183,"por\s*(\d+)\s*M",2)),IF(_xlfn.REGEXTEST([1]Planilha1!$E183,"1[ºª]"),1,"")))</f>
        <v>6</v>
      </c>
      <c r="O183" s="6">
        <f t="shared" ca="1" si="9"/>
        <v>0.23316666666666669</v>
      </c>
      <c r="P183" t="str">
        <f ca="1">IF([1]Planilha1!$J183="","",TRIM([1]Planilha1!$J183))</f>
        <v>GLOBOPLAY</v>
      </c>
      <c r="Q183" s="7" t="str">
        <f>IF($D183="Claro","",IFERROR($L183-VLOOKUP($B183&amp;"|Claro",[1]AUX_CLARO!$A:$C,2,FALSE),""))</f>
        <v/>
      </c>
      <c r="R183" s="8" t="str">
        <f>IF($D183="Claro","",IFERROR($J183-VLOOKUP($B183&amp;"|Claro",[1]AUX_CLARO!$A:$C,3,FALSE),""))</f>
        <v/>
      </c>
      <c r="S183" t="str">
        <f t="shared" si="10"/>
        <v/>
      </c>
      <c r="T183" t="str">
        <f t="shared" si="11"/>
        <v/>
      </c>
      <c r="U183" s="9">
        <f t="shared" si="12"/>
        <v>46174</v>
      </c>
      <c r="V183" t="str">
        <f ca="1">IF(OR([1]Planilha1!$B183="",[1]Planilha1!$B183="NÃO MAPEADO"),"",TRIM([1]Planilha1!$B183))</f>
        <v>NOROESTE</v>
      </c>
      <c r="W183" t="str">
        <f ca="1">IF([1]Planilha1!$C183="","",TRIM([1]Planilha1!$C183))</f>
        <v>MD 2</v>
      </c>
      <c r="X183" t="str">
        <f ca="1">IFERROR(VLOOKUP($C183,[1]Planilha2!$B:$H,7,FALSE),"")</f>
        <v>15110-001</v>
      </c>
    </row>
    <row r="184" spans="1:24" x14ac:dyDescent="0.35">
      <c r="A184" t="str">
        <f ca="1">IF(LEFT(TEXT([1]Planilha1!$L184,"0000000"),1)="5","MS","SP")</f>
        <v>SP</v>
      </c>
      <c r="B184" t="str">
        <f ca="1">IF(RIGHT([1]Planilha1!$A184,5)=" - MS",LEFT([1]Planilha1!$A184,LEN([1]Planilha1!$A184)-5),TRIM([1]Planilha1!$A184))</f>
        <v>GUAPIACU</v>
      </c>
      <c r="C184" s="2">
        <f ca="1">[1]Planilha1!$L184</f>
        <v>3517505</v>
      </c>
      <c r="D184" t="str">
        <f>TRIM([1]Planilha1!$D184)</f>
        <v>Desktop</v>
      </c>
      <c r="E184" t="str">
        <f>IF(TRIM([1]Planilha1!$D184)="Claro","Claro","Concorrente")</f>
        <v>Concorrente</v>
      </c>
      <c r="F184" t="s">
        <v>29</v>
      </c>
      <c r="G184" t="str">
        <f t="shared" ca="1" si="0"/>
        <v>Banda Larga + Conteudo</v>
      </c>
      <c r="H184" t="str">
        <f ca="1">TRIM([1]Planilha1!$E184)</f>
        <v>600M=R$49,99 por 2M, após R$89,99</v>
      </c>
      <c r="I184" t="str">
        <f ca="1">IF([1]Planilha1!$F184="","",TRIM([1]Planilha1!$F184))</f>
        <v>Fibra</v>
      </c>
      <c r="J184" s="3">
        <f ca="1">IF([1]Planilha1!$G184="","",[1]Planilha1!$G184)</f>
        <v>600</v>
      </c>
      <c r="K184" s="4" t="str" cm="1">
        <f t="array" aca="1" ref="K184" ca="1">IFERROR(VALUE(_xlfn.REGEXEXTRACT([1]Planilha1!$E184,"\+\s*(\d+)GB",2)),"")</f>
        <v/>
      </c>
      <c r="L184" s="5">
        <f ca="1">IF([1]Planilha1!$H184="","",[1]Planilha1!$H184)</f>
        <v>89.99</v>
      </c>
      <c r="M184" s="5">
        <f ca="1">IF([1]Planilha1!$I184="","",[1]Planilha1!$I184)</f>
        <v>49.99</v>
      </c>
      <c r="N184" s="2" cm="1">
        <f t="array" aca="1" ref="N184" ca="1">IFERROR(VALUE(_xlfn.REGEXEXTRACT([1]Planilha1!$E184,"(\d+)\s*MESES",2)),IFERROR(VALUE(_xlfn.REGEXEXTRACT([1]Planilha1!$E184,"por\s*(\d+)\s*M",2)),IF(_xlfn.REGEXTEST([1]Planilha1!$E184,"1[ºª]"),1,"")))</f>
        <v>2</v>
      </c>
      <c r="O184" s="6">
        <f t="shared" ca="1" si="9"/>
        <v>0.14998333333333333</v>
      </c>
      <c r="P184" t="str">
        <f ca="1">IF([1]Planilha1!$J184="","",TRIM([1]Planilha1!$J184))</f>
        <v>0</v>
      </c>
      <c r="Q184" s="7">
        <f ca="1">IF($D184="Claro","",IFERROR($L184-VLOOKUP($B184&amp;"|Claro",[1]AUX_CLARO!$A:$C,2,FALSE),""))</f>
        <v>-49.910000000000011</v>
      </c>
      <c r="R184" s="8">
        <f ca="1">IF($D184="Claro","",IFERROR($J184-VLOOKUP($B184&amp;"|Claro",[1]AUX_CLARO!$A:$C,3,FALSE),""))</f>
        <v>0</v>
      </c>
      <c r="S184" t="str">
        <f t="shared" ca="1" si="10"/>
        <v>Claro mais cara</v>
      </c>
      <c r="T184" t="str">
        <f t="shared" ca="1" si="11"/>
        <v>Mesma velocidade</v>
      </c>
      <c r="U184" s="9">
        <f t="shared" si="12"/>
        <v>46174</v>
      </c>
      <c r="V184" t="str">
        <f ca="1">IF(OR([1]Planilha1!$B184="",[1]Planilha1!$B184="NÃO MAPEADO"),"",TRIM([1]Planilha1!$B184))</f>
        <v>NOROESTE</v>
      </c>
      <c r="W184" t="str">
        <f ca="1">IF([1]Planilha1!$C184="","",TRIM([1]Planilha1!$C184))</f>
        <v>MD 2</v>
      </c>
      <c r="X184" t="str">
        <f ca="1">IFERROR(VLOOKUP($C184,[1]Planilha2!$B:$H,7,FALSE),"")</f>
        <v>15110-001</v>
      </c>
    </row>
    <row r="185" spans="1:24" x14ac:dyDescent="0.35">
      <c r="A185" t="str">
        <f ca="1">IF(LEFT(TEXT([1]Planilha1!$L185,"0000000"),1)="5","MS","SP")</f>
        <v>SP</v>
      </c>
      <c r="B185" t="str">
        <f ca="1">IF(RIGHT([1]Planilha1!$A185,5)=" - MS",LEFT([1]Planilha1!$A185,LEN([1]Planilha1!$A185)-5),TRIM([1]Planilha1!$A185))</f>
        <v>GUAPIACU</v>
      </c>
      <c r="C185" s="2">
        <f ca="1">[1]Planilha1!$L185</f>
        <v>3517505</v>
      </c>
      <c r="D185" t="str">
        <f>TRIM([1]Planilha1!$D185)</f>
        <v>ISP LOCAL</v>
      </c>
      <c r="E185" t="str">
        <f>IF(TRIM([1]Planilha1!$D185)="Claro","Claro","Concorrente")</f>
        <v>Concorrente</v>
      </c>
      <c r="G185" t="str">
        <f t="shared" ca="1" si="0"/>
        <v>Banda Larga + Conteudo</v>
      </c>
      <c r="H185" t="str">
        <f ca="1">TRIM([1]Planilha1!$E185)</f>
        <v>NETONE - 1GB R$99,90</v>
      </c>
      <c r="I185" t="str">
        <f ca="1">IF([1]Planilha1!$F185="","",TRIM([1]Planilha1!$F185))</f>
        <v>Fibra</v>
      </c>
      <c r="J185" s="3">
        <f ca="1">IF([1]Planilha1!$G185="","",[1]Planilha1!$G185)</f>
        <v>1000</v>
      </c>
      <c r="K185" s="4" t="str" cm="1">
        <f t="array" aca="1" ref="K185" ca="1">IFERROR(VALUE(_xlfn.REGEXEXTRACT([1]Planilha1!$E185,"\+\s*(\d+)GB",2)),"")</f>
        <v/>
      </c>
      <c r="L185" s="5">
        <f ca="1">IF([1]Planilha1!$H185="","",[1]Planilha1!$H185)</f>
        <v>99.9</v>
      </c>
      <c r="M185" s="5" t="str">
        <f ca="1">IF([1]Planilha1!$I185="","",[1]Planilha1!$I185)</f>
        <v/>
      </c>
      <c r="N185" s="2" t="str" cm="1">
        <f t="array" aca="1" ref="N185" ca="1">IFERROR(VALUE(_xlfn.REGEXEXTRACT([1]Planilha1!$E185,"(\d+)\s*MESES",2)),IFERROR(VALUE(_xlfn.REGEXEXTRACT([1]Planilha1!$E185,"por\s*(\d+)\s*M",2)),IF(_xlfn.REGEXTEST([1]Planilha1!$E185,"1[ºª]"),1,"")))</f>
        <v/>
      </c>
      <c r="O185" s="6">
        <f t="shared" ca="1" si="9"/>
        <v>9.9900000000000003E-2</v>
      </c>
      <c r="P185" t="str">
        <f ca="1">IF([1]Planilha1!$J185="","",TRIM([1]Planilha1!$J185))</f>
        <v>0</v>
      </c>
      <c r="Q185" s="7">
        <f ca="1">IF($D185="Claro","",IFERROR($L185-VLOOKUP($B185&amp;"|Claro",[1]AUX_CLARO!$A:$C,2,FALSE),""))</f>
        <v>-40</v>
      </c>
      <c r="R185" s="8">
        <f ca="1">IF($D185="Claro","",IFERROR($J185-VLOOKUP($B185&amp;"|Claro",[1]AUX_CLARO!$A:$C,3,FALSE),""))</f>
        <v>400</v>
      </c>
      <c r="S185" t="str">
        <f t="shared" ca="1" si="10"/>
        <v>Claro mais cara</v>
      </c>
      <c r="T185" t="str">
        <f t="shared" ca="1" si="11"/>
        <v>Claro com menor velocidade</v>
      </c>
      <c r="U185" s="9">
        <f t="shared" si="12"/>
        <v>46174</v>
      </c>
      <c r="V185" t="str">
        <f ca="1">IF(OR([1]Planilha1!$B185="",[1]Planilha1!$B185="NÃO MAPEADO"),"",TRIM([1]Planilha1!$B185))</f>
        <v>NOROESTE</v>
      </c>
      <c r="W185" t="str">
        <f ca="1">IF([1]Planilha1!$C185="","",TRIM([1]Planilha1!$C185))</f>
        <v>MD 2</v>
      </c>
      <c r="X185" t="str">
        <f ca="1">IFERROR(VLOOKUP($C185,[1]Planilha2!$B:$H,7,FALSE),"")</f>
        <v>15110-001</v>
      </c>
    </row>
    <row r="186" spans="1:24" x14ac:dyDescent="0.35">
      <c r="A186" t="str">
        <f ca="1">IF(LEFT(TEXT([1]Planilha1!$L186,"0000000"),1)="5","MS","SP")</f>
        <v>SP</v>
      </c>
      <c r="B186" t="str">
        <f ca="1">IF(RIGHT([1]Planilha1!$A186,5)=" - MS",LEFT([1]Planilha1!$A186,LEN([1]Planilha1!$A186)-5),TRIM([1]Planilha1!$A186))</f>
        <v>GUARARAPES</v>
      </c>
      <c r="C186" s="2">
        <f ca="1">[1]Planilha1!$L186</f>
        <v>3518206</v>
      </c>
      <c r="D186" t="str">
        <f>TRIM([1]Planilha1!$D186)</f>
        <v>Claro</v>
      </c>
      <c r="E186" t="str">
        <f>IF(TRIM([1]Planilha1!$D186)="Claro","Claro","Concorrente")</f>
        <v>Claro</v>
      </c>
      <c r="F186" t="s">
        <v>24</v>
      </c>
      <c r="G186" t="str">
        <f t="shared" ca="1" si="0"/>
        <v>Banda Larga + Movel</v>
      </c>
      <c r="H186" t="str">
        <f ca="1">TRIM([1]Planilha1!$E186)</f>
        <v>600M+100GB=R$109,90 por 6M, após R$139,90</v>
      </c>
      <c r="I186" t="str">
        <f ca="1">IF([1]Planilha1!$F186="","",TRIM([1]Planilha1!$F186))</f>
        <v>Fibra</v>
      </c>
      <c r="J186" s="3">
        <f ca="1">IF([1]Planilha1!$G186="","",[1]Planilha1!$G186)</f>
        <v>600</v>
      </c>
      <c r="K186" s="4" cm="1">
        <f t="array" aca="1" ref="K186" ca="1">IFERROR(VALUE(_xlfn.REGEXEXTRACT([1]Planilha1!$E186,"\+\s*(\d+)GB",2)),"")</f>
        <v>100</v>
      </c>
      <c r="L186" s="5">
        <f ca="1">IF([1]Planilha1!$H186="","",[1]Planilha1!$H186)</f>
        <v>139.9</v>
      </c>
      <c r="M186" s="5">
        <f ca="1">IF([1]Planilha1!$I186="","",[1]Planilha1!$I186)</f>
        <v>109.9</v>
      </c>
      <c r="N186" s="2" cm="1">
        <f t="array" aca="1" ref="N186" ca="1">IFERROR(VALUE(_xlfn.REGEXEXTRACT([1]Planilha1!$E186,"(\d+)\s*MESES",2)),IFERROR(VALUE(_xlfn.REGEXEXTRACT([1]Planilha1!$E186,"por\s*(\d+)\s*M",2)),IF(_xlfn.REGEXTEST([1]Planilha1!$E186,"1[ºª]"),1,"")))</f>
        <v>6</v>
      </c>
      <c r="O186" s="6">
        <f t="shared" ca="1" si="9"/>
        <v>0.23316666666666669</v>
      </c>
      <c r="P186" t="str">
        <f ca="1">IF([1]Planilha1!$J186="","",TRIM([1]Planilha1!$J186))</f>
        <v>GLOBOPLAY</v>
      </c>
      <c r="Q186" s="7" t="str">
        <f>IF($D186="Claro","",IFERROR($L186-VLOOKUP($B186&amp;"|Claro",[1]AUX_CLARO!$A:$C,2,FALSE),""))</f>
        <v/>
      </c>
      <c r="R186" s="8" t="str">
        <f>IF($D186="Claro","",IFERROR($J186-VLOOKUP($B186&amp;"|Claro",[1]AUX_CLARO!$A:$C,3,FALSE),""))</f>
        <v/>
      </c>
      <c r="S186" t="str">
        <f t="shared" si="10"/>
        <v/>
      </c>
      <c r="T186" t="str">
        <f t="shared" si="11"/>
        <v/>
      </c>
      <c r="U186" s="9">
        <f t="shared" si="12"/>
        <v>46174</v>
      </c>
      <c r="V186" t="str">
        <f ca="1">IF(OR([1]Planilha1!$B186="",[1]Planilha1!$B186="NÃO MAPEADO"),"",TRIM([1]Planilha1!$B186))</f>
        <v>NOROESTE</v>
      </c>
      <c r="W186" t="str">
        <f ca="1">IF([1]Planilha1!$C186="","",TRIM([1]Planilha1!$C186))</f>
        <v>MD 2</v>
      </c>
      <c r="X186" t="str">
        <f ca="1">IFERROR(VLOOKUP($C186,[1]Planilha2!$B:$H,7,FALSE),"")</f>
        <v>16700-001</v>
      </c>
    </row>
    <row r="187" spans="1:24" x14ac:dyDescent="0.35">
      <c r="A187" t="str">
        <f ca="1">IF(LEFT(TEXT([1]Planilha1!$L187,"0000000"),1)="5","MS","SP")</f>
        <v>SP</v>
      </c>
      <c r="B187" t="str">
        <f ca="1">IF(RIGHT([1]Planilha1!$A187,5)=" - MS",LEFT([1]Planilha1!$A187,LEN([1]Planilha1!$A187)-5),TRIM([1]Planilha1!$A187))</f>
        <v>GUARARAPES</v>
      </c>
      <c r="C187" s="2">
        <f ca="1">[1]Planilha1!$L187</f>
        <v>3518206</v>
      </c>
      <c r="D187" t="str">
        <f>TRIM([1]Planilha1!$D187)</f>
        <v>Vivo</v>
      </c>
      <c r="E187" t="str">
        <f>IF(TRIM([1]Planilha1!$D187)="Claro","Claro","Concorrente")</f>
        <v>Concorrente</v>
      </c>
      <c r="F187" t="s">
        <v>25</v>
      </c>
      <c r="G187" t="str">
        <f t="shared" ca="1" si="0"/>
        <v>Banda Larga + Movel</v>
      </c>
      <c r="H187" t="s">
        <v>26</v>
      </c>
      <c r="I187" t="str">
        <f ca="1">IF([1]Planilha1!$F187="","",TRIM([1]Planilha1!$F187))</f>
        <v>Fibra</v>
      </c>
      <c r="J187" s="11" t="s">
        <v>27</v>
      </c>
      <c r="K187" s="4" cm="1">
        <f t="array" aca="1" ref="K187" ca="1">IFERROR(VALUE(_xlfn.REGEXEXTRACT([1]Planilha1!$E187,"\+\s*(\d+)GB",2)),"")</f>
        <v>70</v>
      </c>
      <c r="L187" s="5">
        <v>160</v>
      </c>
      <c r="M187" s="5" t="str">
        <f ca="1">IF([1]Planilha1!$I187="","",[1]Planilha1!$I187)</f>
        <v/>
      </c>
      <c r="N187" s="2" t="str" cm="1">
        <f t="array" aca="1" ref="N187" ca="1">IFERROR(VALUE(_xlfn.REGEXEXTRACT([1]Planilha1!$E187,"(\d+)\s*MESES",2)),IFERROR(VALUE(_xlfn.REGEXEXTRACT([1]Planilha1!$E187,"por\s*(\d+)\s*M",2)),IF(_xlfn.REGEXTEST([1]Planilha1!$E187,"1[ºª]"),1,"")))</f>
        <v/>
      </c>
      <c r="O187" s="6" t="str">
        <f t="shared" si="9"/>
        <v/>
      </c>
      <c r="P187" t="str">
        <f ca="1">IF([1]Planilha1!$J187="","",TRIM([1]Planilha1!$J187))</f>
        <v>0</v>
      </c>
      <c r="Q187" s="7">
        <f ca="1">IF($D187="Claro","",IFERROR($L187-VLOOKUP($B187&amp;"|Claro",[1]AUX_CLARO!$A:$C,2,FALSE),""))</f>
        <v>20.099999999999994</v>
      </c>
      <c r="R187" s="8" t="str">
        <f ca="1">IF($D187="Claro","",IFERROR($J187-VLOOKUP($B187&amp;"|Claro",[1]AUX_CLARO!$A:$C,3,FALSE),""))</f>
        <v/>
      </c>
      <c r="S187" t="str">
        <f t="shared" ca="1" si="10"/>
        <v>Claro mais barata</v>
      </c>
      <c r="T187" t="str">
        <f t="shared" ca="1" si="11"/>
        <v/>
      </c>
      <c r="U187" s="9">
        <f t="shared" si="12"/>
        <v>46174</v>
      </c>
      <c r="V187" t="str">
        <f ca="1">IF(OR([1]Planilha1!$B187="",[1]Planilha1!$B187="NÃO MAPEADO"),"",TRIM([1]Planilha1!$B187))</f>
        <v>NOROESTE</v>
      </c>
      <c r="W187" t="str">
        <f ca="1">IF([1]Planilha1!$C187="","",TRIM([1]Planilha1!$C187))</f>
        <v>MD 2</v>
      </c>
      <c r="X187" t="str">
        <f ca="1">IFERROR(VLOOKUP($C187,[1]Planilha2!$B:$H,7,FALSE),"")</f>
        <v>16700-001</v>
      </c>
    </row>
    <row r="188" spans="1:24" x14ac:dyDescent="0.35">
      <c r="A188" t="str">
        <f ca="1">IF(LEFT(TEXT([1]Planilha1!$L188,"0000000"),1)="5","MS","SP")</f>
        <v>SP</v>
      </c>
      <c r="B188" t="str">
        <f ca="1">IF(RIGHT([1]Planilha1!$A188,5)=" - MS",LEFT([1]Planilha1!$A188,LEN([1]Planilha1!$A188)-5),TRIM([1]Planilha1!$A188))</f>
        <v>GUARARAPES</v>
      </c>
      <c r="C188" s="2">
        <f ca="1">[1]Planilha1!$L188</f>
        <v>3518206</v>
      </c>
      <c r="D188" t="str">
        <f>TRIM([1]Planilha1!$D188)</f>
        <v>Vero</v>
      </c>
      <c r="E188" t="str">
        <f>IF(TRIM([1]Planilha1!$D188)="Claro","Claro","Concorrente")</f>
        <v>Concorrente</v>
      </c>
      <c r="F188" t="s">
        <v>30</v>
      </c>
      <c r="G188" t="str">
        <f t="shared" ca="1" si="0"/>
        <v>Banda Larga + Movel</v>
      </c>
      <c r="H188" t="str">
        <f ca="1">TRIM([1]Planilha1!$E188)</f>
        <v>850M+60GB=R$149,99 (C/ GLOBOPLAY, HBO, DISNEY+)</v>
      </c>
      <c r="I188" t="str">
        <f ca="1">IF([1]Planilha1!$F188="","",TRIM([1]Planilha1!$F188))</f>
        <v>Fibra</v>
      </c>
      <c r="J188" s="3">
        <f ca="1">IF([1]Planilha1!$G188="","",[1]Planilha1!$G188)</f>
        <v>850</v>
      </c>
      <c r="K188" s="4" cm="1">
        <f t="array" aca="1" ref="K188" ca="1">IFERROR(VALUE(_xlfn.REGEXEXTRACT([1]Planilha1!$E188,"\+\s*(\d+)GB",2)),"")</f>
        <v>60</v>
      </c>
      <c r="L188" s="5">
        <f ca="1">IF([1]Planilha1!$H188="","",[1]Planilha1!$H188)</f>
        <v>149.99</v>
      </c>
      <c r="M188" s="5" t="str">
        <f ca="1">IF([1]Planilha1!$I188="","",[1]Planilha1!$I188)</f>
        <v/>
      </c>
      <c r="N188" s="2" t="str" cm="1">
        <f t="array" aca="1" ref="N188" ca="1">IFERROR(VALUE(_xlfn.REGEXEXTRACT([1]Planilha1!$E188,"(\d+)\s*MESES",2)),IFERROR(VALUE(_xlfn.REGEXEXTRACT([1]Planilha1!$E188,"por\s*(\d+)\s*M",2)),IF(_xlfn.REGEXTEST([1]Planilha1!$E188,"1[ºª]"),1,"")))</f>
        <v/>
      </c>
      <c r="O188" s="6">
        <f t="shared" ca="1" si="9"/>
        <v>0.17645882352941178</v>
      </c>
      <c r="P188" t="str">
        <f ca="1">IF([1]Planilha1!$J188="","",TRIM([1]Planilha1!$J188))</f>
        <v>GLOBOPLAY, HBO, DISNEY+</v>
      </c>
      <c r="Q188" s="7">
        <f ca="1">IF($D188="Claro","",IFERROR($L188-VLOOKUP($B188&amp;"|Claro",[1]AUX_CLARO!$A:$C,2,FALSE),""))</f>
        <v>10.090000000000003</v>
      </c>
      <c r="R188" s="8">
        <f ca="1">IF($D188="Claro","",IFERROR($J188-VLOOKUP($B188&amp;"|Claro",[1]AUX_CLARO!$A:$C,3,FALSE),""))</f>
        <v>250</v>
      </c>
      <c r="S188" t="str">
        <f t="shared" ca="1" si="10"/>
        <v>Claro mais barata</v>
      </c>
      <c r="T188" t="str">
        <f t="shared" ca="1" si="11"/>
        <v>Claro com menor velocidade</v>
      </c>
      <c r="U188" s="9">
        <f t="shared" si="12"/>
        <v>46174</v>
      </c>
      <c r="V188" t="str">
        <f ca="1">IF(OR([1]Planilha1!$B188="",[1]Planilha1!$B188="NÃO MAPEADO"),"",TRIM([1]Planilha1!$B188))</f>
        <v>NOROESTE</v>
      </c>
      <c r="W188" t="str">
        <f ca="1">IF([1]Planilha1!$C188="","",TRIM([1]Planilha1!$C188))</f>
        <v>MD 2</v>
      </c>
      <c r="X188" t="str">
        <f ca="1">IFERROR(VLOOKUP($C188,[1]Planilha2!$B:$H,7,FALSE),"")</f>
        <v>16700-001</v>
      </c>
    </row>
    <row r="189" spans="1:24" x14ac:dyDescent="0.35">
      <c r="A189" t="str">
        <f ca="1">IF(LEFT(TEXT([1]Planilha1!$L189,"0000000"),1)="5","MS","SP")</f>
        <v>SP</v>
      </c>
      <c r="B189" t="str">
        <f ca="1">IF(RIGHT([1]Planilha1!$A189,5)=" - MS",LEFT([1]Planilha1!$A189,LEN([1]Planilha1!$A189)-5),TRIM([1]Planilha1!$A189))</f>
        <v>GUARARAPES</v>
      </c>
      <c r="C189" s="2">
        <f ca="1">[1]Planilha1!$L189</f>
        <v>3518206</v>
      </c>
      <c r="D189" t="str">
        <f>TRIM([1]Planilha1!$D189)</f>
        <v>ISP LOCAL</v>
      </c>
      <c r="E189" t="str">
        <f>IF(TRIM([1]Planilha1!$D189)="Claro","Claro","Concorrente")</f>
        <v>Concorrente</v>
      </c>
      <c r="F189" t="s">
        <v>48</v>
      </c>
      <c r="G189" t="str">
        <f t="shared" ca="1" si="0"/>
        <v>Banda Larga + Conteudo</v>
      </c>
      <c r="H189" t="str">
        <f ca="1">TRIM([1]Planilha1!$E189)</f>
        <v>FLIP - 500M R$89,99</v>
      </c>
      <c r="I189" t="str">
        <f ca="1">IF([1]Planilha1!$F189="","",TRIM([1]Planilha1!$F189))</f>
        <v>Fibra</v>
      </c>
      <c r="J189" s="3">
        <f ca="1">IF([1]Planilha1!$G189="","",[1]Planilha1!$G189)</f>
        <v>500</v>
      </c>
      <c r="K189" s="4" t="str" cm="1">
        <f t="array" aca="1" ref="K189" ca="1">IFERROR(VALUE(_xlfn.REGEXEXTRACT([1]Planilha1!$E189,"\+\s*(\d+)GB",2)),"")</f>
        <v/>
      </c>
      <c r="L189" s="5">
        <f ca="1">IF([1]Planilha1!$H189="","",[1]Planilha1!$H189)</f>
        <v>89.99</v>
      </c>
      <c r="M189" s="5" t="str">
        <f ca="1">IF([1]Planilha1!$I189="","",[1]Planilha1!$I189)</f>
        <v/>
      </c>
      <c r="N189" s="2" t="str" cm="1">
        <f t="array" aca="1" ref="N189" ca="1">IFERROR(VALUE(_xlfn.REGEXEXTRACT([1]Planilha1!$E189,"(\d+)\s*MESES",2)),IFERROR(VALUE(_xlfn.REGEXEXTRACT([1]Planilha1!$E189,"por\s*(\d+)\s*M",2)),IF(_xlfn.REGEXTEST([1]Planilha1!$E189,"1[ºª]"),1,"")))</f>
        <v/>
      </c>
      <c r="O189" s="6">
        <f t="shared" ca="1" si="9"/>
        <v>0.17998</v>
      </c>
      <c r="P189" t="str">
        <f ca="1">IF([1]Planilha1!$J189="","",TRIM([1]Planilha1!$J189))</f>
        <v>0</v>
      </c>
      <c r="Q189" s="7">
        <f ca="1">IF($D189="Claro","",IFERROR($L189-VLOOKUP($B189&amp;"|Claro",[1]AUX_CLARO!$A:$C,2,FALSE),""))</f>
        <v>-49.910000000000011</v>
      </c>
      <c r="R189" s="8">
        <f ca="1">IF($D189="Claro","",IFERROR($J189-VLOOKUP($B189&amp;"|Claro",[1]AUX_CLARO!$A:$C,3,FALSE),""))</f>
        <v>-100</v>
      </c>
      <c r="S189" t="str">
        <f t="shared" ca="1" si="10"/>
        <v>Claro mais cara</v>
      </c>
      <c r="T189" t="str">
        <f t="shared" ca="1" si="11"/>
        <v>Claro com maior velocidade</v>
      </c>
      <c r="U189" s="9">
        <f t="shared" si="12"/>
        <v>46174</v>
      </c>
      <c r="V189" t="str">
        <f ca="1">IF(OR([1]Planilha1!$B189="",[1]Planilha1!$B189="NÃO MAPEADO"),"",TRIM([1]Planilha1!$B189))</f>
        <v>NOROESTE</v>
      </c>
      <c r="W189" t="str">
        <f ca="1">IF([1]Planilha1!$C189="","",TRIM([1]Planilha1!$C189))</f>
        <v>MD 2</v>
      </c>
      <c r="X189" t="str">
        <f ca="1">IFERROR(VLOOKUP($C189,[1]Planilha2!$B:$H,7,FALSE),"")</f>
        <v>16700-001</v>
      </c>
    </row>
    <row r="190" spans="1:24" x14ac:dyDescent="0.35">
      <c r="A190" t="str">
        <f ca="1">IF(LEFT(TEXT([1]Planilha1!$L190,"0000000"),1)="5","MS","SP")</f>
        <v>SP</v>
      </c>
      <c r="B190" t="str">
        <f ca="1">IF(RIGHT([1]Planilha1!$A190,5)=" - MS",LEFT([1]Planilha1!$A190,LEN([1]Planilha1!$A190)-5),TRIM([1]Planilha1!$A190))</f>
        <v>GUARATINGUETA</v>
      </c>
      <c r="C190" s="2">
        <f ca="1">[1]Planilha1!$L190</f>
        <v>3518404</v>
      </c>
      <c r="D190" t="str">
        <f>TRIM([1]Planilha1!$D190)</f>
        <v>Claro</v>
      </c>
      <c r="E190" t="str">
        <f>IF(TRIM([1]Planilha1!$D190)="Claro","Claro","Concorrente")</f>
        <v>Claro</v>
      </c>
      <c r="F190" t="s">
        <v>24</v>
      </c>
      <c r="G190" t="str">
        <f t="shared" ca="1" si="0"/>
        <v>Banda Larga + Movel</v>
      </c>
      <c r="H190" t="str">
        <f ca="1">TRIM([1]Planilha1!$E190)</f>
        <v>600M+100GB=R$109,90 por 6M, após R$139,90</v>
      </c>
      <c r="I190" t="str">
        <f ca="1">IF([1]Planilha1!$F190="","",TRIM([1]Planilha1!$F190))</f>
        <v>Fibra</v>
      </c>
      <c r="J190" s="3">
        <f ca="1">IF([1]Planilha1!$G190="","",[1]Planilha1!$G190)</f>
        <v>600</v>
      </c>
      <c r="K190" s="4" cm="1">
        <f t="array" aca="1" ref="K190" ca="1">IFERROR(VALUE(_xlfn.REGEXEXTRACT([1]Planilha1!$E190,"\+\s*(\d+)GB",2)),"")</f>
        <v>100</v>
      </c>
      <c r="L190" s="5">
        <f ca="1">IF([1]Planilha1!$H190="","",[1]Planilha1!$H190)</f>
        <v>139.9</v>
      </c>
      <c r="M190" s="5">
        <f ca="1">IF([1]Planilha1!$I190="","",[1]Planilha1!$I190)</f>
        <v>109.9</v>
      </c>
      <c r="N190" s="2" cm="1">
        <f t="array" aca="1" ref="N190" ca="1">IFERROR(VALUE(_xlfn.REGEXEXTRACT([1]Planilha1!$E190,"(\d+)\s*MESES",2)),IFERROR(VALUE(_xlfn.REGEXEXTRACT([1]Planilha1!$E190,"por\s*(\d+)\s*M",2)),IF(_xlfn.REGEXTEST([1]Planilha1!$E190,"1[ºª]"),1,"")))</f>
        <v>6</v>
      </c>
      <c r="O190" s="6">
        <f t="shared" ca="1" si="9"/>
        <v>0.23316666666666669</v>
      </c>
      <c r="P190" t="str">
        <f ca="1">IF([1]Planilha1!$J190="","",TRIM([1]Planilha1!$J190))</f>
        <v>GLOBOPLAY</v>
      </c>
      <c r="Q190" s="7" t="str">
        <f>IF($D190="Claro","",IFERROR($L190-VLOOKUP($B190&amp;"|Claro",[1]AUX_CLARO!$A:$C,2,FALSE),""))</f>
        <v/>
      </c>
      <c r="R190" s="8" t="str">
        <f>IF($D190="Claro","",IFERROR($J190-VLOOKUP($B190&amp;"|Claro",[1]AUX_CLARO!$A:$C,3,FALSE),""))</f>
        <v/>
      </c>
      <c r="S190" t="str">
        <f t="shared" si="10"/>
        <v/>
      </c>
      <c r="T190" t="str">
        <f t="shared" si="11"/>
        <v/>
      </c>
      <c r="U190" s="9">
        <f t="shared" si="12"/>
        <v>46174</v>
      </c>
      <c r="V190" t="str">
        <f ca="1">IF(OR([1]Planilha1!$B190="",[1]Planilha1!$B190="NÃO MAPEADO"),"",TRIM([1]Planilha1!$B190))</f>
        <v>SUDESTE</v>
      </c>
      <c r="W190" t="str">
        <f ca="1">IF([1]Planilha1!$C190="","",TRIM([1]Planilha1!$C190))</f>
        <v>MD 2</v>
      </c>
      <c r="X190" s="12" t="str">
        <f ca="1">IFERROR(VLOOKUP($C190,[1]Planilha2!$B:$H,7,FALSE),"")</f>
        <v>12500-001</v>
      </c>
    </row>
    <row r="191" spans="1:24" x14ac:dyDescent="0.35">
      <c r="A191" t="str">
        <f ca="1">IF(LEFT(TEXT([1]Planilha1!$L191,"0000000"),1)="5","MS","SP")</f>
        <v>SP</v>
      </c>
      <c r="B191" t="str">
        <f ca="1">IF(RIGHT([1]Planilha1!$A191,5)=" - MS",LEFT([1]Planilha1!$A191,LEN([1]Planilha1!$A191)-5),TRIM([1]Planilha1!$A191))</f>
        <v>GUARATINGUETA</v>
      </c>
      <c r="C191" s="2">
        <f ca="1">[1]Planilha1!$L191</f>
        <v>3518404</v>
      </c>
      <c r="D191" t="str">
        <f>TRIM([1]Planilha1!$D191)</f>
        <v>Vivo</v>
      </c>
      <c r="E191" t="str">
        <f>IF(TRIM([1]Planilha1!$D191)="Claro","Claro","Concorrente")</f>
        <v>Concorrente</v>
      </c>
      <c r="F191" t="s">
        <v>25</v>
      </c>
      <c r="G191" t="str">
        <f t="shared" ca="1" si="0"/>
        <v>Banda Larga + Movel</v>
      </c>
      <c r="H191" t="s">
        <v>26</v>
      </c>
      <c r="I191" t="str">
        <f ca="1">IF([1]Planilha1!$F191="","",TRIM([1]Planilha1!$F191))</f>
        <v>Fibra</v>
      </c>
      <c r="J191" s="11" t="s">
        <v>27</v>
      </c>
      <c r="K191" s="4" cm="1">
        <f t="array" aca="1" ref="K191" ca="1">IFERROR(VALUE(_xlfn.REGEXEXTRACT([1]Planilha1!$E191,"\+\s*(\d+)GB",2)),"")</f>
        <v>70</v>
      </c>
      <c r="L191" s="5">
        <v>160</v>
      </c>
      <c r="M191" s="5" t="str">
        <f ca="1">IF([1]Planilha1!$I191="","",[1]Planilha1!$I191)</f>
        <v/>
      </c>
      <c r="N191" s="2" t="str" cm="1">
        <f t="array" aca="1" ref="N191" ca="1">IFERROR(VALUE(_xlfn.REGEXEXTRACT([1]Planilha1!$E191,"(\d+)\s*MESES",2)),IFERROR(VALUE(_xlfn.REGEXEXTRACT([1]Planilha1!$E191,"por\s*(\d+)\s*M",2)),IF(_xlfn.REGEXTEST([1]Planilha1!$E191,"1[ºª]"),1,"")))</f>
        <v/>
      </c>
      <c r="O191" s="6" t="str">
        <f t="shared" si="9"/>
        <v/>
      </c>
      <c r="P191" t="str">
        <f ca="1">IF([1]Planilha1!$J191="","",TRIM([1]Planilha1!$J191))</f>
        <v>0</v>
      </c>
      <c r="Q191" s="7">
        <f ca="1">IF($D191="Claro","",IFERROR($L191-VLOOKUP($B191&amp;"|Claro",[1]AUX_CLARO!$A:$C,2,FALSE),""))</f>
        <v>20.099999999999994</v>
      </c>
      <c r="R191" s="8" t="str">
        <f ca="1">IF($D191="Claro","",IFERROR($J191-VLOOKUP($B191&amp;"|Claro",[1]AUX_CLARO!$A:$C,3,FALSE),""))</f>
        <v/>
      </c>
      <c r="S191" t="str">
        <f t="shared" ca="1" si="10"/>
        <v>Claro mais barata</v>
      </c>
      <c r="T191" t="str">
        <f t="shared" ca="1" si="11"/>
        <v/>
      </c>
      <c r="U191" s="9">
        <f t="shared" si="12"/>
        <v>46174</v>
      </c>
      <c r="V191" t="str">
        <f ca="1">IF(OR([1]Planilha1!$B191="",[1]Planilha1!$B191="NÃO MAPEADO"),"",TRIM([1]Planilha1!$B191))</f>
        <v>SUDESTE</v>
      </c>
      <c r="W191" t="str">
        <f ca="1">IF([1]Planilha1!$C191="","",TRIM([1]Planilha1!$C191))</f>
        <v>MD 2</v>
      </c>
      <c r="X191" s="12" t="str">
        <f ca="1">IFERROR(VLOOKUP($C191,[1]Planilha2!$B:$H,7,FALSE),"")</f>
        <v>12500-001</v>
      </c>
    </row>
    <row r="192" spans="1:24" x14ac:dyDescent="0.35">
      <c r="A192" t="str">
        <f ca="1">IF(LEFT(TEXT([1]Planilha1!$L192,"0000000"),1)="5","MS","SP")</f>
        <v>SP</v>
      </c>
      <c r="B192" t="str">
        <f ca="1">IF(RIGHT([1]Planilha1!$A192,5)=" - MS",LEFT([1]Planilha1!$A192,LEN([1]Planilha1!$A192)-5),TRIM([1]Planilha1!$A192))</f>
        <v>GUARATINGUETA</v>
      </c>
      <c r="C192" s="2">
        <f ca="1">[1]Planilha1!$L192</f>
        <v>3518404</v>
      </c>
      <c r="D192" t="str">
        <f>TRIM([1]Planilha1!$D192)</f>
        <v>ISP LOCAL</v>
      </c>
      <c r="E192" t="str">
        <f>IF(TRIM([1]Planilha1!$D192)="Claro","Claro","Concorrente")</f>
        <v>Concorrente</v>
      </c>
      <c r="F192" t="s">
        <v>61</v>
      </c>
      <c r="G192" t="str">
        <f t="shared" ca="1" si="0"/>
        <v>Banda Larga + Conteudo</v>
      </c>
      <c r="H192" t="str">
        <f ca="1">TRIM([1]Planilha1!$E192)</f>
        <v>PROVALE - 600M R$99,90</v>
      </c>
      <c r="I192" t="str">
        <f ca="1">IF([1]Planilha1!$F192="","",TRIM([1]Planilha1!$F192))</f>
        <v>Fibra</v>
      </c>
      <c r="J192" s="3">
        <f ca="1">IF([1]Planilha1!$G192="","",[1]Planilha1!$G192)</f>
        <v>600</v>
      </c>
      <c r="K192" s="4" t="str" cm="1">
        <f t="array" aca="1" ref="K192" ca="1">IFERROR(VALUE(_xlfn.REGEXEXTRACT([1]Planilha1!$E192,"\+\s*(\d+)GB",2)),"")</f>
        <v/>
      </c>
      <c r="L192" s="5">
        <f ca="1">IF([1]Planilha1!$H192="","",[1]Planilha1!$H192)</f>
        <v>99.9</v>
      </c>
      <c r="M192" s="5" t="str">
        <f ca="1">IF([1]Planilha1!$I192="","",[1]Planilha1!$I192)</f>
        <v/>
      </c>
      <c r="N192" s="2" t="str" cm="1">
        <f t="array" aca="1" ref="N192" ca="1">IFERROR(VALUE(_xlfn.REGEXEXTRACT([1]Planilha1!$E192,"(\d+)\s*MESES",2)),IFERROR(VALUE(_xlfn.REGEXEXTRACT([1]Planilha1!$E192,"por\s*(\d+)\s*M",2)),IF(_xlfn.REGEXTEST([1]Planilha1!$E192,"1[ºª]"),1,"")))</f>
        <v/>
      </c>
      <c r="O192" s="6">
        <f t="shared" ca="1" si="9"/>
        <v>0.16650000000000001</v>
      </c>
      <c r="P192" t="str">
        <f ca="1">IF([1]Planilha1!$J192="","",TRIM([1]Planilha1!$J192))</f>
        <v>0</v>
      </c>
      <c r="Q192" s="7">
        <f ca="1">IF($D192="Claro","",IFERROR($L192-VLOOKUP($B192&amp;"|Claro",[1]AUX_CLARO!$A:$C,2,FALSE),""))</f>
        <v>-40</v>
      </c>
      <c r="R192" s="8">
        <f ca="1">IF($D192="Claro","",IFERROR($J192-VLOOKUP($B192&amp;"|Claro",[1]AUX_CLARO!$A:$C,3,FALSE),""))</f>
        <v>0</v>
      </c>
      <c r="S192" t="str">
        <f t="shared" ca="1" si="10"/>
        <v>Claro mais cara</v>
      </c>
      <c r="T192" t="str">
        <f t="shared" ca="1" si="11"/>
        <v>Mesma velocidade</v>
      </c>
      <c r="U192" s="9">
        <f t="shared" si="12"/>
        <v>46174</v>
      </c>
      <c r="V192" t="str">
        <f ca="1">IF(OR([1]Planilha1!$B192="",[1]Planilha1!$B192="NÃO MAPEADO"),"",TRIM([1]Planilha1!$B192))</f>
        <v>SUDESTE</v>
      </c>
      <c r="W192" t="str">
        <f ca="1">IF([1]Planilha1!$C192="","",TRIM([1]Planilha1!$C192))</f>
        <v>MD 2</v>
      </c>
      <c r="X192" s="12" t="str">
        <f ca="1">IFERROR(VLOOKUP($C192,[1]Planilha2!$B:$H,7,FALSE),"")</f>
        <v>12500-001</v>
      </c>
    </row>
    <row r="193" spans="1:24" x14ac:dyDescent="0.35">
      <c r="A193" t="str">
        <f ca="1">IF(LEFT(TEXT([1]Planilha1!$L193,"0000000"),1)="5","MS","SP")</f>
        <v>SP</v>
      </c>
      <c r="B193" t="str">
        <f ca="1">IF(RIGHT([1]Planilha1!$A193,5)=" - MS",LEFT([1]Planilha1!$A193,LEN([1]Planilha1!$A193)-5),TRIM([1]Planilha1!$A193))</f>
        <v>GUARUJA</v>
      </c>
      <c r="C193" s="2">
        <f ca="1">[1]Planilha1!$L193</f>
        <v>3518701</v>
      </c>
      <c r="D193" t="str">
        <f>TRIM([1]Planilha1!$D193)</f>
        <v>Claro</v>
      </c>
      <c r="E193" t="str">
        <f>IF(TRIM([1]Planilha1!$D193)="Claro","Claro","Concorrente")</f>
        <v>Claro</v>
      </c>
      <c r="F193" t="s">
        <v>24</v>
      </c>
      <c r="G193" t="str">
        <f t="shared" ref="G193:G256" ca="1" si="13">IF($K193&lt;&gt;"","Banda Larga + Movel",IF($P193&lt;&gt;"","Banda Larga + Conteudo","Banda Larga"))</f>
        <v>Banda Larga + Movel</v>
      </c>
      <c r="H193" t="str">
        <f ca="1">TRIM([1]Planilha1!$E193)</f>
        <v>600M+100GB=R$159,90</v>
      </c>
      <c r="I193" t="str">
        <f ca="1">IF([1]Planilha1!$F193="","",TRIM([1]Planilha1!$F193))</f>
        <v>Fibra</v>
      </c>
      <c r="J193" s="3">
        <f ca="1">IF([1]Planilha1!$G193="","",[1]Planilha1!$G193)</f>
        <v>600</v>
      </c>
      <c r="K193" s="4" cm="1">
        <f t="array" aca="1" ref="K193" ca="1">IFERROR(VALUE(_xlfn.REGEXEXTRACT([1]Planilha1!$E193,"\+\s*(\d+)GB",2)),"")</f>
        <v>100</v>
      </c>
      <c r="L193" s="5">
        <f ca="1">IF([1]Planilha1!$H193="","",[1]Planilha1!$H193)</f>
        <v>159.9</v>
      </c>
      <c r="M193" s="5" t="str">
        <f ca="1">IF([1]Planilha1!$I193="","",[1]Planilha1!$I193)</f>
        <v/>
      </c>
      <c r="N193" s="2" t="str" cm="1">
        <f t="array" aca="1" ref="N193" ca="1">IFERROR(VALUE(_xlfn.REGEXEXTRACT([1]Planilha1!$E193,"(\d+)\s*MESES",2)),IFERROR(VALUE(_xlfn.REGEXEXTRACT([1]Planilha1!$E193,"por\s*(\d+)\s*M",2)),IF(_xlfn.REGEXTEST([1]Planilha1!$E193,"1[ºª]"),1,"")))</f>
        <v/>
      </c>
      <c r="O193" s="6">
        <f t="shared" ca="1" si="9"/>
        <v>0.26650000000000001</v>
      </c>
      <c r="P193" t="str">
        <f ca="1">IF([1]Planilha1!$J193="","",TRIM([1]Planilha1!$J193))</f>
        <v>GLOBOPLAY</v>
      </c>
      <c r="Q193" s="7" t="str">
        <f>IF($D193="Claro","",IFERROR($L193-VLOOKUP($B193&amp;"|Claro",[1]AUX_CLARO!$A:$C,2,FALSE),""))</f>
        <v/>
      </c>
      <c r="R193" s="8" t="str">
        <f>IF($D193="Claro","",IFERROR($J193-VLOOKUP($B193&amp;"|Claro",[1]AUX_CLARO!$A:$C,3,FALSE),""))</f>
        <v/>
      </c>
      <c r="S193" t="str">
        <f t="shared" si="10"/>
        <v/>
      </c>
      <c r="T193" t="str">
        <f t="shared" si="11"/>
        <v/>
      </c>
      <c r="U193" s="9">
        <f t="shared" si="12"/>
        <v>46174</v>
      </c>
      <c r="V193" t="str">
        <f ca="1">IF(OR([1]Planilha1!$B193="",[1]Planilha1!$B193="NÃO MAPEADO"),"",TRIM([1]Planilha1!$B193))</f>
        <v>LITORAL</v>
      </c>
      <c r="W193" t="str">
        <f ca="1">IF([1]Planilha1!$C193="","",TRIM([1]Planilha1!$C193))</f>
        <v>PADRÃO</v>
      </c>
      <c r="X193" t="str">
        <f ca="1">IFERROR(VLOOKUP($C193,[1]Planilha2!$B:$H,7,FALSE),"")</f>
        <v>11400-001</v>
      </c>
    </row>
    <row r="194" spans="1:24" x14ac:dyDescent="0.35">
      <c r="A194" t="str">
        <f ca="1">IF(LEFT(TEXT([1]Planilha1!$L194,"0000000"),1)="5","MS","SP")</f>
        <v>SP</v>
      </c>
      <c r="B194" t="str">
        <f ca="1">IF(RIGHT([1]Planilha1!$A194,5)=" - MS",LEFT([1]Planilha1!$A194,LEN([1]Planilha1!$A194)-5),TRIM([1]Planilha1!$A194))</f>
        <v>GUARUJA</v>
      </c>
      <c r="C194" s="2">
        <f ca="1">[1]Planilha1!$L194</f>
        <v>3518701</v>
      </c>
      <c r="D194" t="str">
        <f>TRIM([1]Planilha1!$D194)</f>
        <v>Vivo</v>
      </c>
      <c r="E194" t="str">
        <f>IF(TRIM([1]Planilha1!$D194)="Claro","Claro","Concorrente")</f>
        <v>Concorrente</v>
      </c>
      <c r="F194" t="s">
        <v>25</v>
      </c>
      <c r="G194" t="str">
        <f t="shared" ca="1" si="13"/>
        <v>Banda Larga + Movel</v>
      </c>
      <c r="H194" t="s">
        <v>26</v>
      </c>
      <c r="I194" t="str">
        <f ca="1">IF([1]Planilha1!$F194="","",TRIM([1]Planilha1!$F194))</f>
        <v>Fibra</v>
      </c>
      <c r="J194" s="11" t="s">
        <v>27</v>
      </c>
      <c r="K194" s="4" cm="1">
        <f t="array" aca="1" ref="K194" ca="1">IFERROR(VALUE(_xlfn.REGEXEXTRACT([1]Planilha1!$E194,"\+\s*(\d+)GB",2)),"")</f>
        <v>70</v>
      </c>
      <c r="L194" s="5">
        <v>160</v>
      </c>
      <c r="M194" s="5" t="str">
        <f ca="1">IF([1]Planilha1!$I194="","",[1]Planilha1!$I194)</f>
        <v/>
      </c>
      <c r="N194" s="2" t="str" cm="1">
        <f t="array" aca="1" ref="N194" ca="1">IFERROR(VALUE(_xlfn.REGEXEXTRACT([1]Planilha1!$E194,"(\d+)\s*MESES",2)),IFERROR(VALUE(_xlfn.REGEXEXTRACT([1]Planilha1!$E194,"por\s*(\d+)\s*M",2)),IF(_xlfn.REGEXTEST([1]Planilha1!$E194,"1[ºª]"),1,"")))</f>
        <v/>
      </c>
      <c r="O194" s="6" t="str">
        <f t="shared" si="9"/>
        <v/>
      </c>
      <c r="P194" t="str">
        <f ca="1">IF([1]Planilha1!$J194="","",TRIM([1]Planilha1!$J194))</f>
        <v>0</v>
      </c>
      <c r="Q194" s="7">
        <f ca="1">IF($D194="Claro","",IFERROR($L194-VLOOKUP($B194&amp;"|Claro",[1]AUX_CLARO!$A:$C,2,FALSE),""))</f>
        <v>9.9999999999994316E-2</v>
      </c>
      <c r="R194" s="8" t="str">
        <f ca="1">IF($D194="Claro","",IFERROR($J194-VLOOKUP($B194&amp;"|Claro",[1]AUX_CLARO!$A:$C,3,FALSE),""))</f>
        <v/>
      </c>
      <c r="S194" t="str">
        <f t="shared" ca="1" si="10"/>
        <v>Claro mais barata</v>
      </c>
      <c r="T194" t="str">
        <f t="shared" ca="1" si="11"/>
        <v/>
      </c>
      <c r="U194" s="9">
        <f t="shared" si="12"/>
        <v>46174</v>
      </c>
      <c r="V194" t="str">
        <f ca="1">IF(OR([1]Planilha1!$B194="",[1]Planilha1!$B194="NÃO MAPEADO"),"",TRIM([1]Planilha1!$B194))</f>
        <v>LITORAL</v>
      </c>
      <c r="W194" t="str">
        <f ca="1">IF([1]Planilha1!$C194="","",TRIM([1]Planilha1!$C194))</f>
        <v>PADRÃO</v>
      </c>
      <c r="X194" t="str">
        <f ca="1">IFERROR(VLOOKUP($C194,[1]Planilha2!$B:$H,7,FALSE),"")</f>
        <v>11400-001</v>
      </c>
    </row>
    <row r="195" spans="1:24" x14ac:dyDescent="0.35">
      <c r="A195" t="str">
        <f ca="1">IF(LEFT(TEXT([1]Planilha1!$L195,"0000000"),1)="5","MS","SP")</f>
        <v>SP</v>
      </c>
      <c r="B195" t="str">
        <f ca="1">IF(RIGHT([1]Planilha1!$A195,5)=" - MS",LEFT([1]Planilha1!$A195,LEN([1]Planilha1!$A195)-5),TRIM([1]Planilha1!$A195))</f>
        <v>GUARUJA</v>
      </c>
      <c r="C195" s="2">
        <f ca="1">[1]Planilha1!$L195</f>
        <v>3518701</v>
      </c>
      <c r="D195" t="str">
        <f>TRIM([1]Planilha1!$D195)</f>
        <v>Desktop</v>
      </c>
      <c r="E195" t="str">
        <f>IF(TRIM([1]Planilha1!$D195)="Claro","Claro","Concorrente")</f>
        <v>Concorrente</v>
      </c>
      <c r="F195" t="s">
        <v>29</v>
      </c>
      <c r="G195" t="str">
        <f t="shared" ca="1" si="13"/>
        <v>Banda Larga + Movel</v>
      </c>
      <c r="H195" t="str">
        <f ca="1">TRIM([1]Planilha1!$E195)</f>
        <v>600M+15GB=R$129,99 - 6 MESES, APÓS R$139,99</v>
      </c>
      <c r="I195" t="str">
        <f ca="1">IF([1]Planilha1!$F195="","",TRIM([1]Planilha1!$F195))</f>
        <v>Fibra</v>
      </c>
      <c r="J195" s="3">
        <f ca="1">IF([1]Planilha1!$G195="","",[1]Planilha1!$G195)</f>
        <v>600</v>
      </c>
      <c r="K195" s="4" cm="1">
        <f t="array" aca="1" ref="K195" ca="1">IFERROR(VALUE(_xlfn.REGEXEXTRACT([1]Planilha1!$E195,"\+\s*(\d+)GB",2)),"")</f>
        <v>15</v>
      </c>
      <c r="L195" s="5">
        <f ca="1">IF([1]Planilha1!$H195="","",[1]Planilha1!$H195)</f>
        <v>139.99</v>
      </c>
      <c r="M195" s="5">
        <f ca="1">IF([1]Planilha1!$I195="","",[1]Planilha1!$I195)</f>
        <v>129.99</v>
      </c>
      <c r="N195" s="2" cm="1">
        <f t="array" aca="1" ref="N195" ca="1">IFERROR(VALUE(_xlfn.REGEXEXTRACT([1]Planilha1!$E195,"(\d+)\s*MESES",2)),IFERROR(VALUE(_xlfn.REGEXEXTRACT([1]Planilha1!$E195,"por\s*(\d+)\s*M",2)),IF(_xlfn.REGEXTEST([1]Planilha1!$E195,"1[ºª]"),1,"")))</f>
        <v>6</v>
      </c>
      <c r="O195" s="6">
        <f t="shared" ref="O195:O258" ca="1" si="14">IF(OR($L195="",$J195="",N($J195)=0),"",$L195/$J195)</f>
        <v>0.23331666666666667</v>
      </c>
      <c r="P195" t="str">
        <f ca="1">IF([1]Planilha1!$J195="","",TRIM([1]Planilha1!$J195))</f>
        <v>0</v>
      </c>
      <c r="Q195" s="7">
        <f ca="1">IF($D195="Claro","",IFERROR($L195-VLOOKUP($B195&amp;"|Claro",[1]AUX_CLARO!$A:$C,2,FALSE),""))</f>
        <v>-19.909999999999997</v>
      </c>
      <c r="R195" s="8">
        <f ca="1">IF($D195="Claro","",IFERROR($J195-VLOOKUP($B195&amp;"|Claro",[1]AUX_CLARO!$A:$C,3,FALSE),""))</f>
        <v>0</v>
      </c>
      <c r="S195" t="str">
        <f t="shared" ref="S195:S258" ca="1" si="15">IF($Q195="","",IF($Q195&gt;0,"Claro mais barata",IF($Q195=0,"Mesmo preco","Claro mais cara")))</f>
        <v>Claro mais cara</v>
      </c>
      <c r="T195" t="str">
        <f t="shared" ref="T195:T258" ca="1" si="16">IF($R195="","",IF($R195&lt;0,"Claro com maior velocidade",IF($R195=0,"Mesma velocidade","Claro com menor velocidade")))</f>
        <v>Mesma velocidade</v>
      </c>
      <c r="U195" s="9">
        <f t="shared" ref="U195:U258" si="17">DATE(2026,6,1)</f>
        <v>46174</v>
      </c>
      <c r="V195" t="str">
        <f ca="1">IF(OR([1]Planilha1!$B195="",[1]Planilha1!$B195="NÃO MAPEADO"),"",TRIM([1]Planilha1!$B195))</f>
        <v>LITORAL</v>
      </c>
      <c r="W195" t="str">
        <f ca="1">IF([1]Planilha1!$C195="","",TRIM([1]Planilha1!$C195))</f>
        <v>PADRÃO</v>
      </c>
      <c r="X195" t="str">
        <f ca="1">IFERROR(VLOOKUP($C195,[1]Planilha2!$B:$H,7,FALSE),"")</f>
        <v>11400-001</v>
      </c>
    </row>
    <row r="196" spans="1:24" x14ac:dyDescent="0.35">
      <c r="A196" t="str">
        <f ca="1">IF(LEFT(TEXT([1]Planilha1!$L196,"0000000"),1)="5","MS","SP")</f>
        <v>SP</v>
      </c>
      <c r="B196" t="str">
        <f ca="1">IF(RIGHT([1]Planilha1!$A196,5)=" - MS",LEFT([1]Planilha1!$A196,LEN([1]Planilha1!$A196)-5),TRIM([1]Planilha1!$A196))</f>
        <v>GUARUJA</v>
      </c>
      <c r="C196" s="2">
        <f ca="1">[1]Planilha1!$L196</f>
        <v>3518701</v>
      </c>
      <c r="D196" t="str">
        <f>TRIM([1]Planilha1!$D196)</f>
        <v>ISP LOCAL</v>
      </c>
      <c r="E196" t="str">
        <f>IF(TRIM([1]Planilha1!$D196)="Claro","Claro","Concorrente")</f>
        <v>Concorrente</v>
      </c>
      <c r="F196" t="s">
        <v>47</v>
      </c>
      <c r="G196" t="str">
        <f t="shared" ca="1" si="13"/>
        <v>Banda Larga + Conteudo</v>
      </c>
      <c r="H196" t="str">
        <f ca="1">TRIM([1]Planilha1!$E196)</f>
        <v>ALLOHA - 600M + GLOBOPLAY R$109,99</v>
      </c>
      <c r="I196" t="str">
        <f ca="1">IF([1]Planilha1!$F196="","",TRIM([1]Planilha1!$F196))</f>
        <v>Fibra</v>
      </c>
      <c r="J196" s="3">
        <f ca="1">IF([1]Planilha1!$G196="","",[1]Planilha1!$G196)</f>
        <v>600</v>
      </c>
      <c r="K196" s="4" t="str" cm="1">
        <f t="array" aca="1" ref="K196" ca="1">IFERROR(VALUE(_xlfn.REGEXEXTRACT([1]Planilha1!$E196,"\+\s*(\d+)GB",2)),"")</f>
        <v/>
      </c>
      <c r="L196" s="5">
        <f ca="1">IF([1]Planilha1!$H196="","",[1]Planilha1!$H196)</f>
        <v>109.99</v>
      </c>
      <c r="M196" s="5" t="str">
        <f ca="1">IF([1]Planilha1!$I196="","",[1]Planilha1!$I196)</f>
        <v/>
      </c>
      <c r="N196" s="2" t="str" cm="1">
        <f t="array" aca="1" ref="N196" ca="1">IFERROR(VALUE(_xlfn.REGEXEXTRACT([1]Planilha1!$E196,"(\d+)\s*MESES",2)),IFERROR(VALUE(_xlfn.REGEXEXTRACT([1]Planilha1!$E196,"por\s*(\d+)\s*M",2)),IF(_xlfn.REGEXTEST([1]Planilha1!$E196,"1[ºª]"),1,"")))</f>
        <v/>
      </c>
      <c r="O196" s="6">
        <f t="shared" ca="1" si="14"/>
        <v>0.18331666666666666</v>
      </c>
      <c r="P196" t="str">
        <f ca="1">IF([1]Planilha1!$J196="","",TRIM([1]Planilha1!$J196))</f>
        <v>GLOBOPLAY</v>
      </c>
      <c r="Q196" s="7">
        <f ca="1">IF($D196="Claro","",IFERROR($L196-VLOOKUP($B196&amp;"|Claro",[1]AUX_CLARO!$A:$C,2,FALSE),""))</f>
        <v>-49.910000000000011</v>
      </c>
      <c r="R196" s="8">
        <f ca="1">IF($D196="Claro","",IFERROR($J196-VLOOKUP($B196&amp;"|Claro",[1]AUX_CLARO!$A:$C,3,FALSE),""))</f>
        <v>0</v>
      </c>
      <c r="S196" t="str">
        <f t="shared" ca="1" si="15"/>
        <v>Claro mais cara</v>
      </c>
      <c r="T196" t="str">
        <f t="shared" ca="1" si="16"/>
        <v>Mesma velocidade</v>
      </c>
      <c r="U196" s="9">
        <f t="shared" si="17"/>
        <v>46174</v>
      </c>
      <c r="V196" t="str">
        <f ca="1">IF(OR([1]Planilha1!$B196="",[1]Planilha1!$B196="NÃO MAPEADO"),"",TRIM([1]Planilha1!$B196))</f>
        <v>LITORAL</v>
      </c>
      <c r="W196" t="str">
        <f ca="1">IF([1]Planilha1!$C196="","",TRIM([1]Planilha1!$C196))</f>
        <v>PADRÃO</v>
      </c>
      <c r="X196" t="str">
        <f ca="1">IFERROR(VLOOKUP($C196,[1]Planilha2!$B:$H,7,FALSE),"")</f>
        <v>11400-001</v>
      </c>
    </row>
    <row r="197" spans="1:24" x14ac:dyDescent="0.35">
      <c r="A197" t="str">
        <f ca="1">IF(LEFT(TEXT([1]Planilha1!$L197,"0000000"),1)="5","MS","SP")</f>
        <v>SP</v>
      </c>
      <c r="B197" t="str">
        <f ca="1">IF(RIGHT([1]Planilha1!$A197,5)=" - MS",LEFT([1]Planilha1!$A197,LEN([1]Planilha1!$A197)-5),TRIM([1]Planilha1!$A197))</f>
        <v>HORTOLANDIA</v>
      </c>
      <c r="C197" s="2">
        <f ca="1">[1]Planilha1!$L197</f>
        <v>3519071</v>
      </c>
      <c r="D197" t="str">
        <f>TRIM([1]Planilha1!$D197)</f>
        <v>Claro</v>
      </c>
      <c r="E197" t="str">
        <f>IF(TRIM([1]Planilha1!$D197)="Claro","Claro","Concorrente")</f>
        <v>Claro</v>
      </c>
      <c r="F197" t="s">
        <v>24</v>
      </c>
      <c r="G197" t="str">
        <f t="shared" ca="1" si="13"/>
        <v>Banda Larga + Movel</v>
      </c>
      <c r="H197" t="str">
        <f ca="1">TRIM([1]Planilha1!$E197)</f>
        <v>600M+100GB=R$119,90 por 3M, após R$159,90</v>
      </c>
      <c r="I197" t="str">
        <f ca="1">IF([1]Planilha1!$F197="","",TRIM([1]Planilha1!$F197))</f>
        <v>Fibra</v>
      </c>
      <c r="J197" s="3">
        <f ca="1">IF([1]Planilha1!$G197="","",[1]Planilha1!$G197)</f>
        <v>600</v>
      </c>
      <c r="K197" s="4" cm="1">
        <f t="array" aca="1" ref="K197" ca="1">IFERROR(VALUE(_xlfn.REGEXEXTRACT([1]Planilha1!$E197,"\+\s*(\d+)GB",2)),"")</f>
        <v>100</v>
      </c>
      <c r="L197" s="5">
        <f ca="1">IF([1]Planilha1!$H197="","",[1]Planilha1!$H197)</f>
        <v>159.9</v>
      </c>
      <c r="M197" s="5">
        <f ca="1">IF([1]Planilha1!$I197="","",[1]Planilha1!$I197)</f>
        <v>119.9</v>
      </c>
      <c r="N197" s="2" cm="1">
        <f t="array" aca="1" ref="N197" ca="1">IFERROR(VALUE(_xlfn.REGEXEXTRACT([1]Planilha1!$E197,"(\d+)\s*MESES",2)),IFERROR(VALUE(_xlfn.REGEXEXTRACT([1]Planilha1!$E197,"por\s*(\d+)\s*M",2)),IF(_xlfn.REGEXTEST([1]Planilha1!$E197,"1[ºª]"),1,"")))</f>
        <v>3</v>
      </c>
      <c r="O197" s="6">
        <f t="shared" ca="1" si="14"/>
        <v>0.26650000000000001</v>
      </c>
      <c r="P197" t="str">
        <f ca="1">IF([1]Planilha1!$J197="","",TRIM([1]Planilha1!$J197))</f>
        <v>GLOBOPLAY</v>
      </c>
      <c r="Q197" s="7" t="str">
        <f>IF($D197="Claro","",IFERROR($L197-VLOOKUP($B197&amp;"|Claro",[1]AUX_CLARO!$A:$C,2,FALSE),""))</f>
        <v/>
      </c>
      <c r="R197" s="8" t="str">
        <f>IF($D197="Claro","",IFERROR($J197-VLOOKUP($B197&amp;"|Claro",[1]AUX_CLARO!$A:$C,3,FALSE),""))</f>
        <v/>
      </c>
      <c r="S197" t="str">
        <f t="shared" si="15"/>
        <v/>
      </c>
      <c r="T197" t="str">
        <f t="shared" si="16"/>
        <v/>
      </c>
      <c r="U197" s="9">
        <f t="shared" si="17"/>
        <v>46174</v>
      </c>
      <c r="V197" t="str">
        <f ca="1">IF(OR([1]Planilha1!$B197="",[1]Planilha1!$B197="NÃO MAPEADO"),"",TRIM([1]Planilha1!$B197))</f>
        <v>CENTRAL</v>
      </c>
      <c r="W197" t="str">
        <f ca="1">IF([1]Planilha1!$C197="","",TRIM([1]Planilha1!$C197))</f>
        <v>ESPECIAL</v>
      </c>
      <c r="X197" t="str">
        <f ca="1">IFERROR(VLOOKUP($C197,[1]Planilha2!$B:$H,7,FALSE),"")</f>
        <v>13183-001</v>
      </c>
    </row>
    <row r="198" spans="1:24" x14ac:dyDescent="0.35">
      <c r="A198" t="str">
        <f ca="1">IF(LEFT(TEXT([1]Planilha1!$L198,"0000000"),1)="5","MS","SP")</f>
        <v>SP</v>
      </c>
      <c r="B198" t="str">
        <f ca="1">IF(RIGHT([1]Planilha1!$A198,5)=" - MS",LEFT([1]Planilha1!$A198,LEN([1]Planilha1!$A198)-5),TRIM([1]Planilha1!$A198))</f>
        <v>HORTOLANDIA</v>
      </c>
      <c r="C198" s="2">
        <f ca="1">[1]Planilha1!$L198</f>
        <v>3519071</v>
      </c>
      <c r="D198" t="str">
        <f>TRIM([1]Planilha1!$D198)</f>
        <v>Vivo</v>
      </c>
      <c r="E198" t="str">
        <f>IF(TRIM([1]Planilha1!$D198)="Claro","Claro","Concorrente")</f>
        <v>Concorrente</v>
      </c>
      <c r="F198" t="s">
        <v>25</v>
      </c>
      <c r="G198" t="str">
        <f t="shared" ca="1" si="13"/>
        <v>Banda Larga + Movel</v>
      </c>
      <c r="H198" t="s">
        <v>26</v>
      </c>
      <c r="I198" t="str">
        <f ca="1">IF([1]Planilha1!$F198="","",TRIM([1]Planilha1!$F198))</f>
        <v>Fibra</v>
      </c>
      <c r="J198" s="11" t="s">
        <v>27</v>
      </c>
      <c r="K198" s="4" cm="1">
        <f t="array" aca="1" ref="K198" ca="1">IFERROR(VALUE(_xlfn.REGEXEXTRACT([1]Planilha1!$E198,"\+\s*(\d+)GB",2)),"")</f>
        <v>70</v>
      </c>
      <c r="L198" s="5">
        <v>160</v>
      </c>
      <c r="M198" s="5" t="str">
        <f ca="1">IF([1]Planilha1!$I198="","",[1]Planilha1!$I198)</f>
        <v/>
      </c>
      <c r="N198" s="2" t="str" cm="1">
        <f t="array" aca="1" ref="N198" ca="1">IFERROR(VALUE(_xlfn.REGEXEXTRACT([1]Planilha1!$E198,"(\d+)\s*MESES",2)),IFERROR(VALUE(_xlfn.REGEXEXTRACT([1]Planilha1!$E198,"por\s*(\d+)\s*M",2)),IF(_xlfn.REGEXTEST([1]Planilha1!$E198,"1[ºª]"),1,"")))</f>
        <v/>
      </c>
      <c r="O198" s="6" t="str">
        <f t="shared" si="14"/>
        <v/>
      </c>
      <c r="P198" t="str">
        <f ca="1">IF([1]Planilha1!$J198="","",TRIM([1]Planilha1!$J198))</f>
        <v>0</v>
      </c>
      <c r="Q198" s="7">
        <f ca="1">IF($D198="Claro","",IFERROR($L198-VLOOKUP($B198&amp;"|Claro",[1]AUX_CLARO!$A:$C,2,FALSE),""))</f>
        <v>9.9999999999994316E-2</v>
      </c>
      <c r="R198" s="8" t="str">
        <f ca="1">IF($D198="Claro","",IFERROR($J198-VLOOKUP($B198&amp;"|Claro",[1]AUX_CLARO!$A:$C,3,FALSE),""))</f>
        <v/>
      </c>
      <c r="S198" t="str">
        <f t="shared" ca="1" si="15"/>
        <v>Claro mais barata</v>
      </c>
      <c r="T198" t="str">
        <f t="shared" ca="1" si="16"/>
        <v/>
      </c>
      <c r="U198" s="9">
        <f t="shared" si="17"/>
        <v>46174</v>
      </c>
      <c r="V198" t="str">
        <f ca="1">IF(OR([1]Planilha1!$B198="",[1]Planilha1!$B198="NÃO MAPEADO"),"",TRIM([1]Planilha1!$B198))</f>
        <v>CENTRAL</v>
      </c>
      <c r="W198" t="str">
        <f ca="1">IF([1]Planilha1!$C198="","",TRIM([1]Planilha1!$C198))</f>
        <v>ESPECIAL</v>
      </c>
      <c r="X198" t="str">
        <f ca="1">IFERROR(VLOOKUP($C198,[1]Planilha2!$B:$H,7,FALSE),"")</f>
        <v>13183-001</v>
      </c>
    </row>
    <row r="199" spans="1:24" x14ac:dyDescent="0.35">
      <c r="A199" t="str">
        <f ca="1">IF(LEFT(TEXT([1]Planilha1!$L199,"0000000"),1)="5","MS","SP")</f>
        <v>SP</v>
      </c>
      <c r="B199" t="str">
        <f ca="1">IF(RIGHT([1]Planilha1!$A199,5)=" - MS",LEFT([1]Planilha1!$A199,LEN([1]Planilha1!$A199)-5),TRIM([1]Planilha1!$A199))</f>
        <v>HORTOLANDIA</v>
      </c>
      <c r="C199" s="2">
        <f ca="1">[1]Planilha1!$L199</f>
        <v>3519071</v>
      </c>
      <c r="D199" t="str">
        <f>TRIM([1]Planilha1!$D199)</f>
        <v>Desktop</v>
      </c>
      <c r="E199" t="str">
        <f>IF(TRIM([1]Planilha1!$D199)="Claro","Claro","Concorrente")</f>
        <v>Concorrente</v>
      </c>
      <c r="F199" t="s">
        <v>29</v>
      </c>
      <c r="G199" t="str">
        <f t="shared" ca="1" si="13"/>
        <v>Banda Larga + Movel</v>
      </c>
      <c r="H199" t="str">
        <f ca="1">TRIM([1]Planilha1!$E199)</f>
        <v>600M+15GB=R$129,99 - 6 MESES, APÓS R$139,99</v>
      </c>
      <c r="I199" t="str">
        <f ca="1">IF([1]Planilha1!$F199="","",TRIM([1]Planilha1!$F199))</f>
        <v>Fibra</v>
      </c>
      <c r="J199" s="3">
        <f ca="1">IF([1]Planilha1!$G199="","",[1]Planilha1!$G199)</f>
        <v>600</v>
      </c>
      <c r="K199" s="4" cm="1">
        <f t="array" aca="1" ref="K199" ca="1">IFERROR(VALUE(_xlfn.REGEXEXTRACT([1]Planilha1!$E199,"\+\s*(\d+)GB",2)),"")</f>
        <v>15</v>
      </c>
      <c r="L199" s="5">
        <f ca="1">IF([1]Planilha1!$H199="","",[1]Planilha1!$H199)</f>
        <v>139.99</v>
      </c>
      <c r="M199" s="5">
        <f ca="1">IF([1]Planilha1!$I199="","",[1]Planilha1!$I199)</f>
        <v>129.99</v>
      </c>
      <c r="N199" s="2" cm="1">
        <f t="array" aca="1" ref="N199" ca="1">IFERROR(VALUE(_xlfn.REGEXEXTRACT([1]Planilha1!$E199,"(\d+)\s*MESES",2)),IFERROR(VALUE(_xlfn.REGEXEXTRACT([1]Planilha1!$E199,"por\s*(\d+)\s*M",2)),IF(_xlfn.REGEXTEST([1]Planilha1!$E199,"1[ºª]"),1,"")))</f>
        <v>6</v>
      </c>
      <c r="O199" s="6">
        <f t="shared" ca="1" si="14"/>
        <v>0.23331666666666667</v>
      </c>
      <c r="P199" t="str">
        <f ca="1">IF([1]Planilha1!$J199="","",TRIM([1]Planilha1!$J199))</f>
        <v>0</v>
      </c>
      <c r="Q199" s="7">
        <f ca="1">IF($D199="Claro","",IFERROR($L199-VLOOKUP($B199&amp;"|Claro",[1]AUX_CLARO!$A:$C,2,FALSE),""))</f>
        <v>-19.909999999999997</v>
      </c>
      <c r="R199" s="8">
        <f ca="1">IF($D199="Claro","",IFERROR($J199-VLOOKUP($B199&amp;"|Claro",[1]AUX_CLARO!$A:$C,3,FALSE),""))</f>
        <v>0</v>
      </c>
      <c r="S199" t="str">
        <f t="shared" ca="1" si="15"/>
        <v>Claro mais cara</v>
      </c>
      <c r="T199" t="str">
        <f t="shared" ca="1" si="16"/>
        <v>Mesma velocidade</v>
      </c>
      <c r="U199" s="9">
        <f t="shared" si="17"/>
        <v>46174</v>
      </c>
      <c r="V199" t="str">
        <f ca="1">IF(OR([1]Planilha1!$B199="",[1]Planilha1!$B199="NÃO MAPEADO"),"",TRIM([1]Planilha1!$B199))</f>
        <v>CENTRAL</v>
      </c>
      <c r="W199" t="str">
        <f ca="1">IF([1]Planilha1!$C199="","",TRIM([1]Planilha1!$C199))</f>
        <v>ESPECIAL</v>
      </c>
      <c r="X199" t="str">
        <f ca="1">IFERROR(VLOOKUP($C199,[1]Planilha2!$B:$H,7,FALSE),"")</f>
        <v>13183-001</v>
      </c>
    </row>
    <row r="200" spans="1:24" x14ac:dyDescent="0.35">
      <c r="A200" t="str">
        <f ca="1">IF(LEFT(TEXT([1]Planilha1!$L200,"0000000"),1)="5","MS","SP")</f>
        <v>SP</v>
      </c>
      <c r="B200" t="str">
        <f ca="1">IF(RIGHT([1]Planilha1!$A200,5)=" - MS",LEFT([1]Planilha1!$A200,LEN([1]Planilha1!$A200)-5),TRIM([1]Planilha1!$A200))</f>
        <v>HORTOLANDIA</v>
      </c>
      <c r="C200" s="2">
        <f ca="1">[1]Planilha1!$L200</f>
        <v>3519071</v>
      </c>
      <c r="D200" t="str">
        <f>TRIM([1]Planilha1!$D200)</f>
        <v>ISP LOCAL</v>
      </c>
      <c r="E200" t="str">
        <f>IF(TRIM([1]Planilha1!$D200)="Claro","Claro","Concorrente")</f>
        <v>Concorrente</v>
      </c>
      <c r="F200" t="s">
        <v>62</v>
      </c>
      <c r="G200" t="str">
        <f t="shared" ca="1" si="13"/>
        <v>Banda Larga + Conteudo</v>
      </c>
      <c r="H200" t="str">
        <f ca="1">TRIM([1]Planilha1!$E200)</f>
        <v>CLICKNET - 700M R$99,99</v>
      </c>
      <c r="I200" t="str">
        <f ca="1">IF([1]Planilha1!$F200="","",TRIM([1]Planilha1!$F200))</f>
        <v>Fibra</v>
      </c>
      <c r="J200" s="3">
        <f ca="1">IF([1]Planilha1!$G200="","",[1]Planilha1!$G200)</f>
        <v>700</v>
      </c>
      <c r="K200" s="4" t="str" cm="1">
        <f t="array" aca="1" ref="K200" ca="1">IFERROR(VALUE(_xlfn.REGEXEXTRACT([1]Planilha1!$E200,"\+\s*(\d+)GB",2)),"")</f>
        <v/>
      </c>
      <c r="L200" s="5">
        <f ca="1">IF([1]Planilha1!$H200="","",[1]Planilha1!$H200)</f>
        <v>99.99</v>
      </c>
      <c r="M200" s="5" t="str">
        <f ca="1">IF([1]Planilha1!$I200="","",[1]Planilha1!$I200)</f>
        <v/>
      </c>
      <c r="N200" s="2" t="str" cm="1">
        <f t="array" aca="1" ref="N200" ca="1">IFERROR(VALUE(_xlfn.REGEXEXTRACT([1]Planilha1!$E200,"(\d+)\s*MESES",2)),IFERROR(VALUE(_xlfn.REGEXEXTRACT([1]Planilha1!$E200,"por\s*(\d+)\s*M",2)),IF(_xlfn.REGEXTEST([1]Planilha1!$E200,"1[ºª]"),1,"")))</f>
        <v/>
      </c>
      <c r="O200" s="6">
        <f t="shared" ca="1" si="14"/>
        <v>0.14284285714285713</v>
      </c>
      <c r="P200" t="str">
        <f ca="1">IF([1]Planilha1!$J200="","",TRIM([1]Planilha1!$J200))</f>
        <v>0</v>
      </c>
      <c r="Q200" s="7">
        <f ca="1">IF($D200="Claro","",IFERROR($L200-VLOOKUP($B200&amp;"|Claro",[1]AUX_CLARO!$A:$C,2,FALSE),""))</f>
        <v>-59.910000000000011</v>
      </c>
      <c r="R200" s="8">
        <f ca="1">IF($D200="Claro","",IFERROR($J200-VLOOKUP($B200&amp;"|Claro",[1]AUX_CLARO!$A:$C,3,FALSE),""))</f>
        <v>100</v>
      </c>
      <c r="S200" t="str">
        <f t="shared" ca="1" si="15"/>
        <v>Claro mais cara</v>
      </c>
      <c r="T200" t="str">
        <f t="shared" ca="1" si="16"/>
        <v>Claro com menor velocidade</v>
      </c>
      <c r="U200" s="9">
        <f t="shared" si="17"/>
        <v>46174</v>
      </c>
      <c r="V200" t="str">
        <f ca="1">IF(OR([1]Planilha1!$B200="",[1]Planilha1!$B200="NÃO MAPEADO"),"",TRIM([1]Planilha1!$B200))</f>
        <v>CENTRAL</v>
      </c>
      <c r="W200" t="str">
        <f ca="1">IF([1]Planilha1!$C200="","",TRIM([1]Planilha1!$C200))</f>
        <v>ESPECIAL</v>
      </c>
      <c r="X200" t="str">
        <f ca="1">IFERROR(VLOOKUP($C200,[1]Planilha2!$B:$H,7,FALSE),"")</f>
        <v>13183-001</v>
      </c>
    </row>
    <row r="201" spans="1:24" x14ac:dyDescent="0.35">
      <c r="A201" t="str">
        <f ca="1">IF(LEFT(TEXT([1]Planilha1!$L201,"0000000"),1)="5","MS","SP")</f>
        <v>SP</v>
      </c>
      <c r="B201" t="str">
        <f ca="1">IF(RIGHT([1]Planilha1!$A201,5)=" - MS",LEFT([1]Planilha1!$A201,LEN([1]Planilha1!$A201)-5),TRIM([1]Planilha1!$A201))</f>
        <v>IBATE</v>
      </c>
      <c r="C201" s="2">
        <f ca="1">[1]Planilha1!$L201</f>
        <v>3519303</v>
      </c>
      <c r="D201" t="str">
        <f>TRIM([1]Planilha1!$D201)</f>
        <v>Claro</v>
      </c>
      <c r="E201" t="str">
        <f>IF(TRIM([1]Planilha1!$D201)="Claro","Claro","Concorrente")</f>
        <v>Claro</v>
      </c>
      <c r="F201" t="s">
        <v>24</v>
      </c>
      <c r="G201" t="str">
        <f t="shared" ca="1" si="13"/>
        <v>Banda Larga + Movel</v>
      </c>
      <c r="H201" t="str">
        <f ca="1">TRIM([1]Planilha1!$E201)</f>
        <v>600M+100GB=R$109,90 por 6M, após R$139,90</v>
      </c>
      <c r="I201" t="str">
        <f ca="1">IF([1]Planilha1!$F201="","",TRIM([1]Planilha1!$F201))</f>
        <v>Fibra</v>
      </c>
      <c r="J201" s="3">
        <f ca="1">IF([1]Planilha1!$G201="","",[1]Planilha1!$G201)</f>
        <v>600</v>
      </c>
      <c r="K201" s="4" cm="1">
        <f t="array" aca="1" ref="K201" ca="1">IFERROR(VALUE(_xlfn.REGEXEXTRACT([1]Planilha1!$E201,"\+\s*(\d+)GB",2)),"")</f>
        <v>100</v>
      </c>
      <c r="L201" s="5">
        <f ca="1">IF([1]Planilha1!$H201="","",[1]Planilha1!$H201)</f>
        <v>139.9</v>
      </c>
      <c r="M201" s="5">
        <f ca="1">IF([1]Planilha1!$I201="","",[1]Planilha1!$I201)</f>
        <v>109.9</v>
      </c>
      <c r="N201" s="2" cm="1">
        <f t="array" aca="1" ref="N201" ca="1">IFERROR(VALUE(_xlfn.REGEXEXTRACT([1]Planilha1!$E201,"(\d+)\s*MESES",2)),IFERROR(VALUE(_xlfn.REGEXEXTRACT([1]Planilha1!$E201,"por\s*(\d+)\s*M",2)),IF(_xlfn.REGEXTEST([1]Planilha1!$E201,"1[ºª]"),1,"")))</f>
        <v>6</v>
      </c>
      <c r="O201" s="6">
        <f t="shared" ca="1" si="14"/>
        <v>0.23316666666666669</v>
      </c>
      <c r="P201" t="str">
        <f ca="1">IF([1]Planilha1!$J201="","",TRIM([1]Planilha1!$J201))</f>
        <v>GLOBOPLAY</v>
      </c>
      <c r="Q201" s="7" t="str">
        <f>IF($D201="Claro","",IFERROR($L201-VLOOKUP($B201&amp;"|Claro",[1]AUX_CLARO!$A:$C,2,FALSE),""))</f>
        <v/>
      </c>
      <c r="R201" s="8" t="str">
        <f>IF($D201="Claro","",IFERROR($J201-VLOOKUP($B201&amp;"|Claro",[1]AUX_CLARO!$A:$C,3,FALSE),""))</f>
        <v/>
      </c>
      <c r="S201" t="str">
        <f t="shared" si="15"/>
        <v/>
      </c>
      <c r="T201" t="str">
        <f t="shared" si="16"/>
        <v/>
      </c>
      <c r="U201" s="9">
        <f t="shared" si="17"/>
        <v>46174</v>
      </c>
      <c r="V201" t="str">
        <f ca="1">IF(OR([1]Planilha1!$B201="",[1]Planilha1!$B201="NÃO MAPEADO"),"",TRIM([1]Planilha1!$B201))</f>
        <v>NOROESTE</v>
      </c>
      <c r="W201" t="str">
        <f ca="1">IF([1]Planilha1!$C201="","",TRIM([1]Planilha1!$C201))</f>
        <v>MD 2</v>
      </c>
      <c r="X201" t="str">
        <f ca="1">IFERROR(VLOOKUP($C201,[1]Planilha2!$B:$H,7,FALSE),"")</f>
        <v>14815-001</v>
      </c>
    </row>
    <row r="202" spans="1:24" x14ac:dyDescent="0.35">
      <c r="A202" t="str">
        <f ca="1">IF(LEFT(TEXT([1]Planilha1!$L202,"0000000"),1)="5","MS","SP")</f>
        <v>SP</v>
      </c>
      <c r="B202" t="str">
        <f ca="1">IF(RIGHT([1]Planilha1!$A202,5)=" - MS",LEFT([1]Planilha1!$A202,LEN([1]Planilha1!$A202)-5),TRIM([1]Planilha1!$A202))</f>
        <v>IBATE</v>
      </c>
      <c r="C202" s="2">
        <f ca="1">[1]Planilha1!$L202</f>
        <v>3519303</v>
      </c>
      <c r="D202" t="str">
        <f>TRIM([1]Planilha1!$D202)</f>
        <v>Desktop</v>
      </c>
      <c r="E202" t="str">
        <f>IF(TRIM([1]Planilha1!$D202)="Claro","Claro","Concorrente")</f>
        <v>Concorrente</v>
      </c>
      <c r="F202" t="s">
        <v>29</v>
      </c>
      <c r="G202" t="str">
        <f t="shared" ca="1" si="13"/>
        <v>Banda Larga + Movel</v>
      </c>
      <c r="H202" t="str">
        <f ca="1">TRIM([1]Planilha1!$E202)</f>
        <v>600M+15GB=R$129,99 - 6 MESES, APÓS R$139,99</v>
      </c>
      <c r="I202" t="str">
        <f ca="1">IF([1]Planilha1!$F202="","",TRIM([1]Planilha1!$F202))</f>
        <v>Fibra</v>
      </c>
      <c r="J202" s="3">
        <f ca="1">IF([1]Planilha1!$G202="","",[1]Planilha1!$G202)</f>
        <v>600</v>
      </c>
      <c r="K202" s="4" cm="1">
        <f t="array" aca="1" ref="K202" ca="1">IFERROR(VALUE(_xlfn.REGEXEXTRACT([1]Planilha1!$E202,"\+\s*(\d+)GB",2)),"")</f>
        <v>15</v>
      </c>
      <c r="L202" s="5">
        <f ca="1">IF([1]Planilha1!$H202="","",[1]Planilha1!$H202)</f>
        <v>139.99</v>
      </c>
      <c r="M202" s="5">
        <f ca="1">IF([1]Planilha1!$I202="","",[1]Planilha1!$I202)</f>
        <v>129.99</v>
      </c>
      <c r="N202" s="2" cm="1">
        <f t="array" aca="1" ref="N202" ca="1">IFERROR(VALUE(_xlfn.REGEXEXTRACT([1]Planilha1!$E202,"(\d+)\s*MESES",2)),IFERROR(VALUE(_xlfn.REGEXEXTRACT([1]Planilha1!$E202,"por\s*(\d+)\s*M",2)),IF(_xlfn.REGEXTEST([1]Planilha1!$E202,"1[ºª]"),1,"")))</f>
        <v>6</v>
      </c>
      <c r="O202" s="6">
        <f t="shared" ca="1" si="14"/>
        <v>0.23331666666666667</v>
      </c>
      <c r="P202" t="str">
        <f ca="1">IF([1]Planilha1!$J202="","",TRIM([1]Planilha1!$J202))</f>
        <v>0</v>
      </c>
      <c r="Q202" s="7">
        <f ca="1">IF($D202="Claro","",IFERROR($L202-VLOOKUP($B202&amp;"|Claro",[1]AUX_CLARO!$A:$C,2,FALSE),""))</f>
        <v>9.0000000000003411E-2</v>
      </c>
      <c r="R202" s="8">
        <f ca="1">IF($D202="Claro","",IFERROR($J202-VLOOKUP($B202&amp;"|Claro",[1]AUX_CLARO!$A:$C,3,FALSE),""))</f>
        <v>0</v>
      </c>
      <c r="S202" t="str">
        <f t="shared" ca="1" si="15"/>
        <v>Claro mais barata</v>
      </c>
      <c r="T202" t="str">
        <f t="shared" ca="1" si="16"/>
        <v>Mesma velocidade</v>
      </c>
      <c r="U202" s="9">
        <f t="shared" si="17"/>
        <v>46174</v>
      </c>
      <c r="V202" t="str">
        <f ca="1">IF(OR([1]Planilha1!$B202="",[1]Planilha1!$B202="NÃO MAPEADO"),"",TRIM([1]Planilha1!$B202))</f>
        <v>NOROESTE</v>
      </c>
      <c r="W202" t="str">
        <f ca="1">IF([1]Planilha1!$C202="","",TRIM([1]Planilha1!$C202))</f>
        <v>MD 2</v>
      </c>
      <c r="X202" t="str">
        <f ca="1">IFERROR(VLOOKUP($C202,[1]Planilha2!$B:$H,7,FALSE),"")</f>
        <v>14815-001</v>
      </c>
    </row>
    <row r="203" spans="1:24" x14ac:dyDescent="0.35">
      <c r="A203" t="str">
        <f ca="1">IF(LEFT(TEXT([1]Planilha1!$L203,"0000000"),1)="5","MS","SP")</f>
        <v>SP</v>
      </c>
      <c r="B203" t="str">
        <f ca="1">IF(RIGHT([1]Planilha1!$A203,5)=" - MS",LEFT([1]Planilha1!$A203,LEN([1]Planilha1!$A203)-5),TRIM([1]Planilha1!$A203))</f>
        <v>IBATE</v>
      </c>
      <c r="C203" s="2">
        <f ca="1">[1]Planilha1!$L203</f>
        <v>3519303</v>
      </c>
      <c r="D203" t="str">
        <f>TRIM([1]Planilha1!$D203)</f>
        <v>ISP LOCAL</v>
      </c>
      <c r="E203" t="str">
        <f>IF(TRIM([1]Planilha1!$D203)="Claro","Claro","Concorrente")</f>
        <v>Concorrente</v>
      </c>
      <c r="F203" t="s">
        <v>63</v>
      </c>
      <c r="G203" t="str">
        <f t="shared" ca="1" si="13"/>
        <v>Banda Larga + Conteudo</v>
      </c>
      <c r="H203" t="str">
        <f ca="1">TRIM([1]Planilha1!$E203)</f>
        <v>AGUIA NET - 500M R$99,00</v>
      </c>
      <c r="I203" t="str">
        <f ca="1">IF([1]Planilha1!$F203="","",TRIM([1]Planilha1!$F203))</f>
        <v>Fibra</v>
      </c>
      <c r="J203" s="3">
        <f ca="1">IF([1]Planilha1!$G203="","",[1]Planilha1!$G203)</f>
        <v>500</v>
      </c>
      <c r="K203" s="4" t="str" cm="1">
        <f t="array" aca="1" ref="K203" ca="1">IFERROR(VALUE(_xlfn.REGEXEXTRACT([1]Planilha1!$E203,"\+\s*(\d+)GB",2)),"")</f>
        <v/>
      </c>
      <c r="L203" s="5">
        <f ca="1">IF([1]Planilha1!$H203="","",[1]Planilha1!$H203)</f>
        <v>99</v>
      </c>
      <c r="M203" s="5" t="str">
        <f ca="1">IF([1]Planilha1!$I203="","",[1]Planilha1!$I203)</f>
        <v/>
      </c>
      <c r="N203" s="2" t="str" cm="1">
        <f t="array" aca="1" ref="N203" ca="1">IFERROR(VALUE(_xlfn.REGEXEXTRACT([1]Planilha1!$E203,"(\d+)\s*MESES",2)),IFERROR(VALUE(_xlfn.REGEXEXTRACT([1]Planilha1!$E203,"por\s*(\d+)\s*M",2)),IF(_xlfn.REGEXTEST([1]Planilha1!$E203,"1[ºª]"),1,"")))</f>
        <v/>
      </c>
      <c r="O203" s="6">
        <f t="shared" ca="1" si="14"/>
        <v>0.19800000000000001</v>
      </c>
      <c r="P203" t="str">
        <f ca="1">IF([1]Planilha1!$J203="","",TRIM([1]Planilha1!$J203))</f>
        <v>0</v>
      </c>
      <c r="Q203" s="7">
        <f ca="1">IF($D203="Claro","",IFERROR($L203-VLOOKUP($B203&amp;"|Claro",[1]AUX_CLARO!$A:$C,2,FALSE),""))</f>
        <v>-40.900000000000006</v>
      </c>
      <c r="R203" s="8">
        <f ca="1">IF($D203="Claro","",IFERROR($J203-VLOOKUP($B203&amp;"|Claro",[1]AUX_CLARO!$A:$C,3,FALSE),""))</f>
        <v>-100</v>
      </c>
      <c r="S203" t="str">
        <f t="shared" ca="1" si="15"/>
        <v>Claro mais cara</v>
      </c>
      <c r="T203" t="str">
        <f t="shared" ca="1" si="16"/>
        <v>Claro com maior velocidade</v>
      </c>
      <c r="U203" s="9">
        <f t="shared" si="17"/>
        <v>46174</v>
      </c>
      <c r="V203" t="str">
        <f ca="1">IF(OR([1]Planilha1!$B203="",[1]Planilha1!$B203="NÃO MAPEADO"),"",TRIM([1]Planilha1!$B203))</f>
        <v>NOROESTE</v>
      </c>
      <c r="W203" t="str">
        <f ca="1">IF([1]Planilha1!$C203="","",TRIM([1]Planilha1!$C203))</f>
        <v>MD 2</v>
      </c>
      <c r="X203" t="str">
        <f ca="1">IFERROR(VLOOKUP($C203,[1]Planilha2!$B:$H,7,FALSE),"")</f>
        <v>14815-001</v>
      </c>
    </row>
    <row r="204" spans="1:24" x14ac:dyDescent="0.35">
      <c r="A204" t="str">
        <f ca="1">IF(LEFT(TEXT([1]Planilha1!$L204,"0000000"),1)="5","MS","SP")</f>
        <v>SP</v>
      </c>
      <c r="B204" t="str">
        <f ca="1">IF(RIGHT([1]Planilha1!$A204,5)=" - MS",LEFT([1]Planilha1!$A204,LEN([1]Planilha1!$A204)-5),TRIM([1]Planilha1!$A204))</f>
        <v>IBIUNA</v>
      </c>
      <c r="C204" s="2">
        <f ca="1">[1]Planilha1!$L204</f>
        <v>3519709</v>
      </c>
      <c r="D204" t="str">
        <f>TRIM([1]Planilha1!$D204)</f>
        <v>Claro</v>
      </c>
      <c r="E204" t="str">
        <f>IF(TRIM([1]Planilha1!$D204)="Claro","Claro","Concorrente")</f>
        <v>Claro</v>
      </c>
      <c r="F204" t="s">
        <v>24</v>
      </c>
      <c r="G204" t="str">
        <f t="shared" ca="1" si="13"/>
        <v>Banda Larga + Movel</v>
      </c>
      <c r="H204" t="str">
        <f ca="1">TRIM([1]Planilha1!$E204)</f>
        <v>600M+100GB=R$109,90 por 6M, após R$139,90</v>
      </c>
      <c r="I204" t="str">
        <f ca="1">IF([1]Planilha1!$F204="","",TRIM([1]Planilha1!$F204))</f>
        <v>Fibra</v>
      </c>
      <c r="J204" s="3">
        <f ca="1">IF([1]Planilha1!$G204="","",[1]Planilha1!$G204)</f>
        <v>600</v>
      </c>
      <c r="K204" s="4" cm="1">
        <f t="array" aca="1" ref="K204" ca="1">IFERROR(VALUE(_xlfn.REGEXEXTRACT([1]Planilha1!$E204,"\+\s*(\d+)GB",2)),"")</f>
        <v>100</v>
      </c>
      <c r="L204" s="5">
        <f ca="1">IF([1]Planilha1!$H204="","",[1]Planilha1!$H204)</f>
        <v>139.9</v>
      </c>
      <c r="M204" s="5">
        <f ca="1">IF([1]Planilha1!$I204="","",[1]Planilha1!$I204)</f>
        <v>109.9</v>
      </c>
      <c r="N204" s="2" cm="1">
        <f t="array" aca="1" ref="N204" ca="1">IFERROR(VALUE(_xlfn.REGEXEXTRACT([1]Planilha1!$E204,"(\d+)\s*MESES",2)),IFERROR(VALUE(_xlfn.REGEXEXTRACT([1]Planilha1!$E204,"por\s*(\d+)\s*M",2)),IF(_xlfn.REGEXTEST([1]Planilha1!$E204,"1[ºª]"),1,"")))</f>
        <v>6</v>
      </c>
      <c r="O204" s="6">
        <f t="shared" ca="1" si="14"/>
        <v>0.23316666666666669</v>
      </c>
      <c r="P204" t="str">
        <f ca="1">IF([1]Planilha1!$J204="","",TRIM([1]Planilha1!$J204))</f>
        <v>GLOBOPLAY</v>
      </c>
      <c r="Q204" s="7" t="str">
        <f>IF($D204="Claro","",IFERROR($L204-VLOOKUP($B204&amp;"|Claro",[1]AUX_CLARO!$A:$C,2,FALSE),""))</f>
        <v/>
      </c>
      <c r="R204" s="8" t="str">
        <f>IF($D204="Claro","",IFERROR($J204-VLOOKUP($B204&amp;"|Claro",[1]AUX_CLARO!$A:$C,3,FALSE),""))</f>
        <v/>
      </c>
      <c r="S204" t="str">
        <f t="shared" si="15"/>
        <v/>
      </c>
      <c r="T204" t="str">
        <f t="shared" si="16"/>
        <v/>
      </c>
      <c r="U204" s="9">
        <f t="shared" si="17"/>
        <v>46174</v>
      </c>
      <c r="V204" t="str">
        <f ca="1">IF(OR([1]Planilha1!$B204="",[1]Planilha1!$B204="NÃO MAPEADO"),"",TRIM([1]Planilha1!$B204))</f>
        <v>SUDESTE</v>
      </c>
      <c r="W204" t="str">
        <f ca="1">IF([1]Planilha1!$C204="","",TRIM([1]Planilha1!$C204))</f>
        <v>MD 2</v>
      </c>
      <c r="X204" s="12" t="str">
        <f ca="1">IFERROR(VLOOKUP($C204,[1]Planilha2!$B:$H,7,FALSE),"")</f>
        <v>18150-001</v>
      </c>
    </row>
    <row r="205" spans="1:24" x14ac:dyDescent="0.35">
      <c r="A205" t="str">
        <f ca="1">IF(LEFT(TEXT([1]Planilha1!$L205,"0000000"),1)="5","MS","SP")</f>
        <v>SP</v>
      </c>
      <c r="B205" t="str">
        <f ca="1">IF(RIGHT([1]Planilha1!$A205,5)=" - MS",LEFT([1]Planilha1!$A205,LEN([1]Planilha1!$A205)-5),TRIM([1]Planilha1!$A205))</f>
        <v>IBIUNA</v>
      </c>
      <c r="C205" s="2">
        <f ca="1">[1]Planilha1!$L205</f>
        <v>3519709</v>
      </c>
      <c r="D205" t="str">
        <f>TRIM([1]Planilha1!$D205)</f>
        <v>Alares</v>
      </c>
      <c r="E205" t="str">
        <f>IF(TRIM([1]Planilha1!$D205)="Claro","Claro","Concorrente")</f>
        <v>Concorrente</v>
      </c>
      <c r="F205" t="s">
        <v>32</v>
      </c>
      <c r="G205" t="str">
        <f t="shared" ca="1" si="13"/>
        <v>Banda Larga + Conteudo</v>
      </c>
      <c r="H205" t="str">
        <f ca="1">TRIM([1]Planilha1!$E205)</f>
        <v>1GB + GLOBOPLAY R$99,90</v>
      </c>
      <c r="I205" t="str">
        <f ca="1">IF([1]Planilha1!$F205="","",TRIM([1]Planilha1!$F205))</f>
        <v>Fibra</v>
      </c>
      <c r="J205" s="3">
        <f ca="1">IF([1]Planilha1!$G205="","",[1]Planilha1!$G205)</f>
        <v>1000</v>
      </c>
      <c r="K205" s="4" t="str" cm="1">
        <f t="array" aca="1" ref="K205" ca="1">IFERROR(VALUE(_xlfn.REGEXEXTRACT([1]Planilha1!$E205,"\+\s*(\d+)GB",2)),"")</f>
        <v/>
      </c>
      <c r="L205" s="5">
        <f ca="1">IF([1]Planilha1!$H205="","",[1]Planilha1!$H205)</f>
        <v>99.9</v>
      </c>
      <c r="M205" s="5" t="str">
        <f ca="1">IF([1]Planilha1!$I205="","",[1]Planilha1!$I205)</f>
        <v/>
      </c>
      <c r="N205" s="2" t="str" cm="1">
        <f t="array" aca="1" ref="N205" ca="1">IFERROR(VALUE(_xlfn.REGEXEXTRACT([1]Planilha1!$E205,"(\d+)\s*MESES",2)),IFERROR(VALUE(_xlfn.REGEXEXTRACT([1]Planilha1!$E205,"por\s*(\d+)\s*M",2)),IF(_xlfn.REGEXTEST([1]Planilha1!$E205,"1[ºª]"),1,"")))</f>
        <v/>
      </c>
      <c r="O205" s="6">
        <f t="shared" ca="1" si="14"/>
        <v>9.9900000000000003E-2</v>
      </c>
      <c r="P205" t="str">
        <f ca="1">IF([1]Planilha1!$J205="","",TRIM([1]Planilha1!$J205))</f>
        <v>GLOBOPLAY</v>
      </c>
      <c r="Q205" s="7">
        <f ca="1">IF($D205="Claro","",IFERROR($L205-VLOOKUP($B205&amp;"|Claro",[1]AUX_CLARO!$A:$C,2,FALSE),""))</f>
        <v>-40</v>
      </c>
      <c r="R205" s="8">
        <f ca="1">IF($D205="Claro","",IFERROR($J205-VLOOKUP($B205&amp;"|Claro",[1]AUX_CLARO!$A:$C,3,FALSE),""))</f>
        <v>400</v>
      </c>
      <c r="S205" t="str">
        <f t="shared" ca="1" si="15"/>
        <v>Claro mais cara</v>
      </c>
      <c r="T205" t="str">
        <f t="shared" ca="1" si="16"/>
        <v>Claro com menor velocidade</v>
      </c>
      <c r="U205" s="9">
        <f t="shared" si="17"/>
        <v>46174</v>
      </c>
      <c r="V205" t="str">
        <f ca="1">IF(OR([1]Planilha1!$B205="",[1]Planilha1!$B205="NÃO MAPEADO"),"",TRIM([1]Planilha1!$B205))</f>
        <v>SUDESTE</v>
      </c>
      <c r="W205" t="str">
        <f ca="1">IF([1]Planilha1!$C205="","",TRIM([1]Planilha1!$C205))</f>
        <v>MD 2</v>
      </c>
      <c r="X205" s="12" t="str">
        <f ca="1">IFERROR(VLOOKUP($C205,[1]Planilha2!$B:$H,7,FALSE),"")</f>
        <v>18150-001</v>
      </c>
    </row>
    <row r="206" spans="1:24" x14ac:dyDescent="0.35">
      <c r="A206" t="str">
        <f ca="1">IF(LEFT(TEXT([1]Planilha1!$L206,"0000000"),1)="5","MS","SP")</f>
        <v>SP</v>
      </c>
      <c r="B206" t="str">
        <f ca="1">IF(RIGHT([1]Planilha1!$A206,5)=" - MS",LEFT([1]Planilha1!$A206,LEN([1]Planilha1!$A206)-5),TRIM([1]Planilha1!$A206))</f>
        <v>IBIUNA</v>
      </c>
      <c r="C206" s="2">
        <f ca="1">[1]Planilha1!$L206</f>
        <v>3519709</v>
      </c>
      <c r="D206" t="str">
        <f>TRIM([1]Planilha1!$D206)</f>
        <v>ISP LOCAL</v>
      </c>
      <c r="E206" t="str">
        <f>IF(TRIM([1]Planilha1!$D206)="Claro","Claro","Concorrente")</f>
        <v>Concorrente</v>
      </c>
      <c r="G206" t="str">
        <f t="shared" ca="1" si="13"/>
        <v>Banda Larga + Conteudo</v>
      </c>
      <c r="H206" t="str">
        <f ca="1">TRIM([1]Planilha1!$E206)</f>
        <v>AGT NET - 600M R$99,90</v>
      </c>
      <c r="I206" t="str">
        <f ca="1">IF([1]Planilha1!$F206="","",TRIM([1]Planilha1!$F206))</f>
        <v>Fibra</v>
      </c>
      <c r="J206" s="3">
        <f ca="1">IF([1]Planilha1!$G206="","",[1]Planilha1!$G206)</f>
        <v>600</v>
      </c>
      <c r="K206" s="4" t="str" cm="1">
        <f t="array" aca="1" ref="K206" ca="1">IFERROR(VALUE(_xlfn.REGEXEXTRACT([1]Planilha1!$E206,"\+\s*(\d+)GB",2)),"")</f>
        <v/>
      </c>
      <c r="L206" s="5">
        <f ca="1">IF([1]Planilha1!$H206="","",[1]Planilha1!$H206)</f>
        <v>99.9</v>
      </c>
      <c r="M206" s="5" t="str">
        <f ca="1">IF([1]Planilha1!$I206="","",[1]Planilha1!$I206)</f>
        <v/>
      </c>
      <c r="N206" s="2" t="str" cm="1">
        <f t="array" aca="1" ref="N206" ca="1">IFERROR(VALUE(_xlfn.REGEXEXTRACT([1]Planilha1!$E206,"(\d+)\s*MESES",2)),IFERROR(VALUE(_xlfn.REGEXEXTRACT([1]Planilha1!$E206,"por\s*(\d+)\s*M",2)),IF(_xlfn.REGEXTEST([1]Planilha1!$E206,"1[ºª]"),1,"")))</f>
        <v/>
      </c>
      <c r="O206" s="6">
        <f t="shared" ca="1" si="14"/>
        <v>0.16650000000000001</v>
      </c>
      <c r="P206" t="str">
        <f ca="1">IF([1]Planilha1!$J206="","",TRIM([1]Planilha1!$J206))</f>
        <v>0</v>
      </c>
      <c r="Q206" s="7">
        <f ca="1">IF($D206="Claro","",IFERROR($L206-VLOOKUP($B206&amp;"|Claro",[1]AUX_CLARO!$A:$C,2,FALSE),""))</f>
        <v>-40</v>
      </c>
      <c r="R206" s="8">
        <f ca="1">IF($D206="Claro","",IFERROR($J206-VLOOKUP($B206&amp;"|Claro",[1]AUX_CLARO!$A:$C,3,FALSE),""))</f>
        <v>0</v>
      </c>
      <c r="S206" t="str">
        <f t="shared" ca="1" si="15"/>
        <v>Claro mais cara</v>
      </c>
      <c r="T206" t="str">
        <f t="shared" ca="1" si="16"/>
        <v>Mesma velocidade</v>
      </c>
      <c r="U206" s="9">
        <f t="shared" si="17"/>
        <v>46174</v>
      </c>
      <c r="V206" t="str">
        <f ca="1">IF(OR([1]Planilha1!$B206="",[1]Planilha1!$B206="NÃO MAPEADO"),"",TRIM([1]Planilha1!$B206))</f>
        <v>SUDESTE</v>
      </c>
      <c r="W206" t="str">
        <f ca="1">IF([1]Planilha1!$C206="","",TRIM([1]Planilha1!$C206))</f>
        <v>MD 2</v>
      </c>
      <c r="X206" s="12" t="str">
        <f ca="1">IFERROR(VLOOKUP($C206,[1]Planilha2!$B:$H,7,FALSE),"")</f>
        <v>18150-001</v>
      </c>
    </row>
    <row r="207" spans="1:24" x14ac:dyDescent="0.35">
      <c r="A207" t="str">
        <f ca="1">IF(LEFT(TEXT([1]Planilha1!$L207,"0000000"),1)="5","MS","SP")</f>
        <v>SP</v>
      </c>
      <c r="B207" t="str">
        <f ca="1">IF(RIGHT([1]Planilha1!$A207,5)=" - MS",LEFT([1]Planilha1!$A207,LEN([1]Planilha1!$A207)-5),TRIM([1]Planilha1!$A207))</f>
        <v>INDAIATUBA</v>
      </c>
      <c r="C207" s="2">
        <f ca="1">[1]Planilha1!$L207</f>
        <v>3520509</v>
      </c>
      <c r="D207" t="str">
        <f>TRIM([1]Planilha1!$D207)</f>
        <v>Claro</v>
      </c>
      <c r="E207" t="str">
        <f>IF(TRIM([1]Planilha1!$D207)="Claro","Claro","Concorrente")</f>
        <v>Claro</v>
      </c>
      <c r="F207" t="s">
        <v>24</v>
      </c>
      <c r="G207" t="str">
        <f t="shared" ca="1" si="13"/>
        <v>Banda Larga + Movel</v>
      </c>
      <c r="H207" t="str">
        <f ca="1">TRIM([1]Planilha1!$E207)</f>
        <v>600M+100GB=R$159,90</v>
      </c>
      <c r="I207" t="str">
        <f ca="1">IF([1]Planilha1!$F207="","",TRIM([1]Planilha1!$F207))</f>
        <v>Fibra</v>
      </c>
      <c r="J207" s="3">
        <f ca="1">IF([1]Planilha1!$G207="","",[1]Planilha1!$G207)</f>
        <v>600</v>
      </c>
      <c r="K207" s="4" cm="1">
        <f t="array" aca="1" ref="K207" ca="1">IFERROR(VALUE(_xlfn.REGEXEXTRACT([1]Planilha1!$E207,"\+\s*(\d+)GB",2)),"")</f>
        <v>100</v>
      </c>
      <c r="L207" s="5">
        <f ca="1">IF([1]Planilha1!$H207="","",[1]Planilha1!$H207)</f>
        <v>159.9</v>
      </c>
      <c r="M207" s="5" t="str">
        <f ca="1">IF([1]Planilha1!$I207="","",[1]Planilha1!$I207)</f>
        <v/>
      </c>
      <c r="N207" s="2" t="str" cm="1">
        <f t="array" aca="1" ref="N207" ca="1">IFERROR(VALUE(_xlfn.REGEXEXTRACT([1]Planilha1!$E207,"(\d+)\s*MESES",2)),IFERROR(VALUE(_xlfn.REGEXEXTRACT([1]Planilha1!$E207,"por\s*(\d+)\s*M",2)),IF(_xlfn.REGEXTEST([1]Planilha1!$E207,"1[ºª]"),1,"")))</f>
        <v/>
      </c>
      <c r="O207" s="6">
        <f t="shared" ca="1" si="14"/>
        <v>0.26650000000000001</v>
      </c>
      <c r="P207" t="str">
        <f ca="1">IF([1]Planilha1!$J207="","",TRIM([1]Planilha1!$J207))</f>
        <v>GLOBOPLAY</v>
      </c>
      <c r="Q207" s="7" t="str">
        <f>IF($D207="Claro","",IFERROR($L207-VLOOKUP($B207&amp;"|Claro",[1]AUX_CLARO!$A:$C,2,FALSE),""))</f>
        <v/>
      </c>
      <c r="R207" s="8" t="str">
        <f>IF($D207="Claro","",IFERROR($J207-VLOOKUP($B207&amp;"|Claro",[1]AUX_CLARO!$A:$C,3,FALSE),""))</f>
        <v/>
      </c>
      <c r="S207" t="str">
        <f t="shared" si="15"/>
        <v/>
      </c>
      <c r="T207" t="str">
        <f t="shared" si="16"/>
        <v/>
      </c>
      <c r="U207" s="9">
        <f t="shared" si="17"/>
        <v>46174</v>
      </c>
      <c r="V207" t="str">
        <f ca="1">IF(OR([1]Planilha1!$B207="",[1]Planilha1!$B207="NÃO MAPEADO"),"",TRIM([1]Planilha1!$B207))</f>
        <v>CENTRAL</v>
      </c>
      <c r="W207" t="str">
        <f ca="1">IF([1]Planilha1!$C207="","",TRIM([1]Planilha1!$C207))</f>
        <v>PADRÃO</v>
      </c>
      <c r="X207" t="str">
        <f ca="1">IFERROR(VLOOKUP($C207,[1]Planilha2!$B:$H,7,FALSE),"")</f>
        <v>13330-001</v>
      </c>
    </row>
    <row r="208" spans="1:24" x14ac:dyDescent="0.35">
      <c r="A208" t="str">
        <f ca="1">IF(LEFT(TEXT([1]Planilha1!$L208,"0000000"),1)="5","MS","SP")</f>
        <v>SP</v>
      </c>
      <c r="B208" t="str">
        <f ca="1">IF(RIGHT([1]Planilha1!$A208,5)=" - MS",LEFT([1]Planilha1!$A208,LEN([1]Planilha1!$A208)-5),TRIM([1]Planilha1!$A208))</f>
        <v>INDAIATUBA</v>
      </c>
      <c r="C208" s="2">
        <f ca="1">[1]Planilha1!$L208</f>
        <v>3520509</v>
      </c>
      <c r="D208" t="str">
        <f>TRIM([1]Planilha1!$D208)</f>
        <v>Vivo</v>
      </c>
      <c r="E208" t="str">
        <f>IF(TRIM([1]Planilha1!$D208)="Claro","Claro","Concorrente")</f>
        <v>Concorrente</v>
      </c>
      <c r="F208" t="s">
        <v>25</v>
      </c>
      <c r="G208" t="str">
        <f t="shared" ca="1" si="13"/>
        <v>Banda Larga + Movel</v>
      </c>
      <c r="H208" t="s">
        <v>26</v>
      </c>
      <c r="I208" t="str">
        <f ca="1">IF([1]Planilha1!$F208="","",TRIM([1]Planilha1!$F208))</f>
        <v>Fibra</v>
      </c>
      <c r="J208" s="11" t="s">
        <v>27</v>
      </c>
      <c r="K208" s="4" cm="1">
        <f t="array" aca="1" ref="K208" ca="1">IFERROR(VALUE(_xlfn.REGEXEXTRACT([1]Planilha1!$E208,"\+\s*(\d+)GB",2)),"")</f>
        <v>70</v>
      </c>
      <c r="L208" s="5">
        <v>160</v>
      </c>
      <c r="M208" s="5" t="str">
        <f ca="1">IF([1]Planilha1!$I208="","",[1]Planilha1!$I208)</f>
        <v/>
      </c>
      <c r="N208" s="2" t="str" cm="1">
        <f t="array" aca="1" ref="N208" ca="1">IFERROR(VALUE(_xlfn.REGEXEXTRACT([1]Planilha1!$E208,"(\d+)\s*MESES",2)),IFERROR(VALUE(_xlfn.REGEXEXTRACT([1]Planilha1!$E208,"por\s*(\d+)\s*M",2)),IF(_xlfn.REGEXTEST([1]Planilha1!$E208,"1[ºª]"),1,"")))</f>
        <v/>
      </c>
      <c r="O208" s="6" t="str">
        <f t="shared" si="14"/>
        <v/>
      </c>
      <c r="P208" t="str">
        <f ca="1">IF([1]Planilha1!$J208="","",TRIM([1]Planilha1!$J208))</f>
        <v>0</v>
      </c>
      <c r="Q208" s="7">
        <f ca="1">IF($D208="Claro","",IFERROR($L208-VLOOKUP($B208&amp;"|Claro",[1]AUX_CLARO!$A:$C,2,FALSE),""))</f>
        <v>9.9999999999994316E-2</v>
      </c>
      <c r="R208" s="8" t="str">
        <f ca="1">IF($D208="Claro","",IFERROR($J208-VLOOKUP($B208&amp;"|Claro",[1]AUX_CLARO!$A:$C,3,FALSE),""))</f>
        <v/>
      </c>
      <c r="S208" t="str">
        <f t="shared" ca="1" si="15"/>
        <v>Claro mais barata</v>
      </c>
      <c r="T208" t="str">
        <f t="shared" ca="1" si="16"/>
        <v/>
      </c>
      <c r="U208" s="9">
        <f t="shared" si="17"/>
        <v>46174</v>
      </c>
      <c r="V208" t="str">
        <f ca="1">IF(OR([1]Planilha1!$B208="",[1]Planilha1!$B208="NÃO MAPEADO"),"",TRIM([1]Planilha1!$B208))</f>
        <v>CENTRAL</v>
      </c>
      <c r="W208" t="str">
        <f ca="1">IF([1]Planilha1!$C208="","",TRIM([1]Planilha1!$C208))</f>
        <v>PADRÃO</v>
      </c>
      <c r="X208" t="str">
        <f ca="1">IFERROR(VLOOKUP($C208,[1]Planilha2!$B:$H,7,FALSE),"")</f>
        <v>13330-001</v>
      </c>
    </row>
    <row r="209" spans="1:24" x14ac:dyDescent="0.35">
      <c r="A209" t="str">
        <f ca="1">IF(LEFT(TEXT([1]Planilha1!$L209,"0000000"),1)="5","MS","SP")</f>
        <v>SP</v>
      </c>
      <c r="B209" t="str">
        <f ca="1">IF(RIGHT([1]Planilha1!$A209,5)=" - MS",LEFT([1]Planilha1!$A209,LEN([1]Planilha1!$A209)-5),TRIM([1]Planilha1!$A209))</f>
        <v>INDAIATUBA</v>
      </c>
      <c r="C209" s="2">
        <f ca="1">[1]Planilha1!$L209</f>
        <v>3520509</v>
      </c>
      <c r="D209" t="str">
        <f>TRIM([1]Planilha1!$D209)</f>
        <v>Desktop</v>
      </c>
      <c r="E209" t="str">
        <f>IF(TRIM([1]Planilha1!$D209)="Claro","Claro","Concorrente")</f>
        <v>Concorrente</v>
      </c>
      <c r="F209" t="s">
        <v>29</v>
      </c>
      <c r="G209" t="str">
        <f t="shared" ca="1" si="13"/>
        <v>Banda Larga + Movel</v>
      </c>
      <c r="H209" t="str">
        <f ca="1">TRIM([1]Planilha1!$E209)</f>
        <v>600M+15GB=R$129,99 - 6 MESES, APÓS R$139,99</v>
      </c>
      <c r="I209" t="str">
        <f ca="1">IF([1]Planilha1!$F209="","",TRIM([1]Planilha1!$F209))</f>
        <v>Fibra</v>
      </c>
      <c r="J209" s="3">
        <f ca="1">IF([1]Planilha1!$G209="","",[1]Planilha1!$G209)</f>
        <v>600</v>
      </c>
      <c r="K209" s="4" cm="1">
        <f t="array" aca="1" ref="K209" ca="1">IFERROR(VALUE(_xlfn.REGEXEXTRACT([1]Planilha1!$E209,"\+\s*(\d+)GB",2)),"")</f>
        <v>15</v>
      </c>
      <c r="L209" s="5">
        <f ca="1">IF([1]Planilha1!$H209="","",[1]Planilha1!$H209)</f>
        <v>139.99</v>
      </c>
      <c r="M209" s="5">
        <f ca="1">IF([1]Planilha1!$I209="","",[1]Planilha1!$I209)</f>
        <v>129.99</v>
      </c>
      <c r="N209" s="2" cm="1">
        <f t="array" aca="1" ref="N209" ca="1">IFERROR(VALUE(_xlfn.REGEXEXTRACT([1]Planilha1!$E209,"(\d+)\s*MESES",2)),IFERROR(VALUE(_xlfn.REGEXEXTRACT([1]Planilha1!$E209,"por\s*(\d+)\s*M",2)),IF(_xlfn.REGEXTEST([1]Planilha1!$E209,"1[ºª]"),1,"")))</f>
        <v>6</v>
      </c>
      <c r="O209" s="6">
        <f t="shared" ca="1" si="14"/>
        <v>0.23331666666666667</v>
      </c>
      <c r="P209" t="str">
        <f ca="1">IF([1]Planilha1!$J209="","",TRIM([1]Planilha1!$J209))</f>
        <v>0</v>
      </c>
      <c r="Q209" s="7">
        <f ca="1">IF($D209="Claro","",IFERROR($L209-VLOOKUP($B209&amp;"|Claro",[1]AUX_CLARO!$A:$C,2,FALSE),""))</f>
        <v>-19.909999999999997</v>
      </c>
      <c r="R209" s="8">
        <f ca="1">IF($D209="Claro","",IFERROR($J209-VLOOKUP($B209&amp;"|Claro",[1]AUX_CLARO!$A:$C,3,FALSE),""))</f>
        <v>0</v>
      </c>
      <c r="S209" t="str">
        <f t="shared" ca="1" si="15"/>
        <v>Claro mais cara</v>
      </c>
      <c r="T209" t="str">
        <f t="shared" ca="1" si="16"/>
        <v>Mesma velocidade</v>
      </c>
      <c r="U209" s="9">
        <f t="shared" si="17"/>
        <v>46174</v>
      </c>
      <c r="V209" t="str">
        <f ca="1">IF(OR([1]Planilha1!$B209="",[1]Planilha1!$B209="NÃO MAPEADO"),"",TRIM([1]Planilha1!$B209))</f>
        <v>CENTRAL</v>
      </c>
      <c r="W209" t="str">
        <f ca="1">IF([1]Planilha1!$C209="","",TRIM([1]Planilha1!$C209))</f>
        <v>PADRÃO</v>
      </c>
      <c r="X209" t="str">
        <f ca="1">IFERROR(VLOOKUP($C209,[1]Planilha2!$B:$H,7,FALSE),"")</f>
        <v>13330-001</v>
      </c>
    </row>
    <row r="210" spans="1:24" x14ac:dyDescent="0.35">
      <c r="A210" t="str">
        <f ca="1">IF(LEFT(TEXT([1]Planilha1!$L210,"0000000"),1)="5","MS","SP")</f>
        <v>SP</v>
      </c>
      <c r="B210" t="str">
        <f ca="1">IF(RIGHT([1]Planilha1!$A210,5)=" - MS",LEFT([1]Planilha1!$A210,LEN([1]Planilha1!$A210)-5),TRIM([1]Planilha1!$A210))</f>
        <v>INDAIATUBA</v>
      </c>
      <c r="C210" s="2">
        <f ca="1">[1]Planilha1!$L210</f>
        <v>3520509</v>
      </c>
      <c r="D210" t="str">
        <f>TRIM([1]Planilha1!$D210)</f>
        <v>Alares</v>
      </c>
      <c r="E210" t="str">
        <f>IF(TRIM([1]Planilha1!$D210)="Claro","Claro","Concorrente")</f>
        <v>Concorrente</v>
      </c>
      <c r="F210" t="s">
        <v>32</v>
      </c>
      <c r="G210" t="str">
        <f t="shared" ca="1" si="13"/>
        <v>Banda Larga + Conteudo</v>
      </c>
      <c r="H210" t="str">
        <f ca="1">TRIM([1]Planilha1!$E210)</f>
        <v>1GB + GLOBOPLAY R$99,90</v>
      </c>
      <c r="I210" t="str">
        <f ca="1">IF([1]Planilha1!$F210="","",TRIM([1]Planilha1!$F210))</f>
        <v>Fibra</v>
      </c>
      <c r="J210" s="3">
        <f ca="1">IF([1]Planilha1!$G210="","",[1]Planilha1!$G210)</f>
        <v>1000</v>
      </c>
      <c r="K210" s="4" t="str" cm="1">
        <f t="array" aca="1" ref="K210" ca="1">IFERROR(VALUE(_xlfn.REGEXEXTRACT([1]Planilha1!$E210,"\+\s*(\d+)GB",2)),"")</f>
        <v/>
      </c>
      <c r="L210" s="5">
        <f ca="1">IF([1]Planilha1!$H210="","",[1]Planilha1!$H210)</f>
        <v>99.9</v>
      </c>
      <c r="M210" s="5" t="str">
        <f ca="1">IF([1]Planilha1!$I210="","",[1]Planilha1!$I210)</f>
        <v/>
      </c>
      <c r="N210" s="2" t="str" cm="1">
        <f t="array" aca="1" ref="N210" ca="1">IFERROR(VALUE(_xlfn.REGEXEXTRACT([1]Planilha1!$E210,"(\d+)\s*MESES",2)),IFERROR(VALUE(_xlfn.REGEXEXTRACT([1]Planilha1!$E210,"por\s*(\d+)\s*M",2)),IF(_xlfn.REGEXTEST([1]Planilha1!$E210,"1[ºª]"),1,"")))</f>
        <v/>
      </c>
      <c r="O210" s="6">
        <f t="shared" ca="1" si="14"/>
        <v>9.9900000000000003E-2</v>
      </c>
      <c r="P210" t="str">
        <f ca="1">IF([1]Planilha1!$J210="","",TRIM([1]Planilha1!$J210))</f>
        <v>GLOBOPLAY</v>
      </c>
      <c r="Q210" s="7">
        <f ca="1">IF($D210="Claro","",IFERROR($L210-VLOOKUP($B210&amp;"|Claro",[1]AUX_CLARO!$A:$C,2,FALSE),""))</f>
        <v>-60</v>
      </c>
      <c r="R210" s="8">
        <f ca="1">IF($D210="Claro","",IFERROR($J210-VLOOKUP($B210&amp;"|Claro",[1]AUX_CLARO!$A:$C,3,FALSE),""))</f>
        <v>400</v>
      </c>
      <c r="S210" t="str">
        <f t="shared" ca="1" si="15"/>
        <v>Claro mais cara</v>
      </c>
      <c r="T210" t="str">
        <f t="shared" ca="1" si="16"/>
        <v>Claro com menor velocidade</v>
      </c>
      <c r="U210" s="9">
        <f t="shared" si="17"/>
        <v>46174</v>
      </c>
      <c r="V210" t="str">
        <f ca="1">IF(OR([1]Planilha1!$B210="",[1]Planilha1!$B210="NÃO MAPEADO"),"",TRIM([1]Planilha1!$B210))</f>
        <v>CENTRAL</v>
      </c>
      <c r="W210" t="str">
        <f ca="1">IF([1]Planilha1!$C210="","",TRIM([1]Planilha1!$C210))</f>
        <v>PADRÃO</v>
      </c>
      <c r="X210" t="str">
        <f ca="1">IFERROR(VLOOKUP($C210,[1]Planilha2!$B:$H,7,FALSE),"")</f>
        <v>13330-001</v>
      </c>
    </row>
    <row r="211" spans="1:24" x14ac:dyDescent="0.35">
      <c r="A211" t="str">
        <f ca="1">IF(LEFT(TEXT([1]Planilha1!$L211,"0000000"),1)="5","MS","SP")</f>
        <v>SP</v>
      </c>
      <c r="B211" t="str">
        <f ca="1">IF(RIGHT([1]Planilha1!$A211,5)=" - MS",LEFT([1]Planilha1!$A211,LEN([1]Planilha1!$A211)-5),TRIM([1]Planilha1!$A211))</f>
        <v>INDAIATUBA</v>
      </c>
      <c r="C211" s="2">
        <f ca="1">[1]Planilha1!$L211</f>
        <v>3520509</v>
      </c>
      <c r="D211" t="str">
        <f>TRIM([1]Planilha1!$D211)</f>
        <v>ISP LOCAL</v>
      </c>
      <c r="E211" t="str">
        <f>IF(TRIM([1]Planilha1!$D211)="Claro","Claro","Concorrente")</f>
        <v>Concorrente</v>
      </c>
      <c r="F211" t="s">
        <v>64</v>
      </c>
      <c r="G211" t="str">
        <f t="shared" ca="1" si="13"/>
        <v>Banda Larga + Conteudo</v>
      </c>
      <c r="H211" t="str">
        <f ca="1">TRIM([1]Planilha1!$E211)</f>
        <v>INDAIA FIBRA - 300M R$99,90</v>
      </c>
      <c r="I211" t="str">
        <f ca="1">IF([1]Planilha1!$F211="","",TRIM([1]Planilha1!$F211))</f>
        <v>Fibra</v>
      </c>
      <c r="J211" s="3">
        <f ca="1">IF([1]Planilha1!$G211="","",[1]Planilha1!$G211)</f>
        <v>300</v>
      </c>
      <c r="K211" s="4" t="str" cm="1">
        <f t="array" aca="1" ref="K211" ca="1">IFERROR(VALUE(_xlfn.REGEXEXTRACT([1]Planilha1!$E211,"\+\s*(\d+)GB",2)),"")</f>
        <v/>
      </c>
      <c r="L211" s="5">
        <f ca="1">IF([1]Planilha1!$H211="","",[1]Planilha1!$H211)</f>
        <v>99.9</v>
      </c>
      <c r="M211" s="5" t="str">
        <f ca="1">IF([1]Planilha1!$I211="","",[1]Planilha1!$I211)</f>
        <v/>
      </c>
      <c r="N211" s="2" t="str" cm="1">
        <f t="array" aca="1" ref="N211" ca="1">IFERROR(VALUE(_xlfn.REGEXEXTRACT([1]Planilha1!$E211,"(\d+)\s*MESES",2)),IFERROR(VALUE(_xlfn.REGEXEXTRACT([1]Planilha1!$E211,"por\s*(\d+)\s*M",2)),IF(_xlfn.REGEXTEST([1]Planilha1!$E211,"1[ºª]"),1,"")))</f>
        <v/>
      </c>
      <c r="O211" s="6">
        <f t="shared" ca="1" si="14"/>
        <v>0.33300000000000002</v>
      </c>
      <c r="P211" t="str">
        <f ca="1">IF([1]Planilha1!$J211="","",TRIM([1]Planilha1!$J211))</f>
        <v>0</v>
      </c>
      <c r="Q211" s="7">
        <f ca="1">IF($D211="Claro","",IFERROR($L211-VLOOKUP($B211&amp;"|Claro",[1]AUX_CLARO!$A:$C,2,FALSE),""))</f>
        <v>-60</v>
      </c>
      <c r="R211" s="8">
        <f ca="1">IF($D211="Claro","",IFERROR($J211-VLOOKUP($B211&amp;"|Claro",[1]AUX_CLARO!$A:$C,3,FALSE),""))</f>
        <v>-300</v>
      </c>
      <c r="S211" t="str">
        <f t="shared" ca="1" si="15"/>
        <v>Claro mais cara</v>
      </c>
      <c r="T211" t="str">
        <f t="shared" ca="1" si="16"/>
        <v>Claro com maior velocidade</v>
      </c>
      <c r="U211" s="9">
        <f t="shared" si="17"/>
        <v>46174</v>
      </c>
      <c r="V211" t="str">
        <f ca="1">IF(OR([1]Planilha1!$B211="",[1]Planilha1!$B211="NÃO MAPEADO"),"",TRIM([1]Planilha1!$B211))</f>
        <v>CENTRAL</v>
      </c>
      <c r="W211" t="str">
        <f ca="1">IF([1]Planilha1!$C211="","",TRIM([1]Planilha1!$C211))</f>
        <v>PADRÃO</v>
      </c>
      <c r="X211" t="str">
        <f ca="1">IFERROR(VLOOKUP($C211,[1]Planilha2!$B:$H,7,FALSE),"")</f>
        <v>13330-001</v>
      </c>
    </row>
    <row r="212" spans="1:24" x14ac:dyDescent="0.35">
      <c r="A212" t="str">
        <f ca="1">IF(LEFT(TEXT([1]Planilha1!$L212,"0000000"),1)="5","MS","SP")</f>
        <v>SP</v>
      </c>
      <c r="B212" t="str">
        <f ca="1">IF(RIGHT([1]Planilha1!$A212,5)=" - MS",LEFT([1]Planilha1!$A212,LEN([1]Planilha1!$A212)-5),TRIM([1]Planilha1!$A212))</f>
        <v>IPERO</v>
      </c>
      <c r="C212" s="2">
        <f ca="1">[1]Planilha1!$L212</f>
        <v>3521002</v>
      </c>
      <c r="D212" t="str">
        <f>TRIM([1]Planilha1!$D212)</f>
        <v>Claro</v>
      </c>
      <c r="E212" t="str">
        <f>IF(TRIM([1]Planilha1!$D212)="Claro","Claro","Concorrente")</f>
        <v>Claro</v>
      </c>
      <c r="F212" t="s">
        <v>24</v>
      </c>
      <c r="G212" t="str">
        <f t="shared" ca="1" si="13"/>
        <v>Banda Larga + Movel</v>
      </c>
      <c r="H212" t="str">
        <f ca="1">TRIM([1]Planilha1!$E212)</f>
        <v>600M+100GB=R$109,90 por 6M, após R$139,90</v>
      </c>
      <c r="I212" t="str">
        <f ca="1">IF([1]Planilha1!$F212="","",TRIM([1]Planilha1!$F212))</f>
        <v>Fibra</v>
      </c>
      <c r="J212" s="3">
        <f ca="1">IF([1]Planilha1!$G212="","",[1]Planilha1!$G212)</f>
        <v>600</v>
      </c>
      <c r="K212" s="4" cm="1">
        <f t="array" aca="1" ref="K212" ca="1">IFERROR(VALUE(_xlfn.REGEXEXTRACT([1]Planilha1!$E212,"\+\s*(\d+)GB",2)),"")</f>
        <v>100</v>
      </c>
      <c r="L212" s="5">
        <f ca="1">IF([1]Planilha1!$H212="","",[1]Planilha1!$H212)</f>
        <v>139.9</v>
      </c>
      <c r="M212" s="5">
        <f ca="1">IF([1]Planilha1!$I212="","",[1]Planilha1!$I212)</f>
        <v>109.9</v>
      </c>
      <c r="N212" s="2" cm="1">
        <f t="array" aca="1" ref="N212" ca="1">IFERROR(VALUE(_xlfn.REGEXEXTRACT([1]Planilha1!$E212,"(\d+)\s*MESES",2)),IFERROR(VALUE(_xlfn.REGEXEXTRACT([1]Planilha1!$E212,"por\s*(\d+)\s*M",2)),IF(_xlfn.REGEXTEST([1]Planilha1!$E212,"1[ºª]"),1,"")))</f>
        <v>6</v>
      </c>
      <c r="O212" s="6">
        <f t="shared" ca="1" si="14"/>
        <v>0.23316666666666669</v>
      </c>
      <c r="P212" t="str">
        <f ca="1">IF([1]Planilha1!$J212="","",TRIM([1]Planilha1!$J212))</f>
        <v>GLOBOPLAY</v>
      </c>
      <c r="Q212" s="7" t="str">
        <f>IF($D212="Claro","",IFERROR($L212-VLOOKUP($B212&amp;"|Claro",[1]AUX_CLARO!$A:$C,2,FALSE),""))</f>
        <v/>
      </c>
      <c r="R212" s="8" t="str">
        <f>IF($D212="Claro","",IFERROR($J212-VLOOKUP($B212&amp;"|Claro",[1]AUX_CLARO!$A:$C,3,FALSE),""))</f>
        <v/>
      </c>
      <c r="S212" t="str">
        <f t="shared" si="15"/>
        <v/>
      </c>
      <c r="T212" t="str">
        <f t="shared" si="16"/>
        <v/>
      </c>
      <c r="U212" s="9">
        <f t="shared" si="17"/>
        <v>46174</v>
      </c>
      <c r="V212" t="str">
        <f ca="1">IF(OR([1]Planilha1!$B212="",[1]Planilha1!$B212="NÃO MAPEADO"),"",TRIM([1]Planilha1!$B212))</f>
        <v>SUDESTE</v>
      </c>
      <c r="W212" t="str">
        <f ca="1">IF([1]Planilha1!$C212="","",TRIM([1]Planilha1!$C212))</f>
        <v>MD 2</v>
      </c>
      <c r="X212" s="12" t="str">
        <f ca="1">IFERROR(VLOOKUP($C212,[1]Planilha2!$B:$H,7,FALSE),"")</f>
        <v>18560-001</v>
      </c>
    </row>
    <row r="213" spans="1:24" x14ac:dyDescent="0.35">
      <c r="A213" t="str">
        <f ca="1">IF(LEFT(TEXT([1]Planilha1!$L213,"0000000"),1)="5","MS","SP")</f>
        <v>SP</v>
      </c>
      <c r="B213" t="str">
        <f ca="1">IF(RIGHT([1]Planilha1!$A213,5)=" - MS",LEFT([1]Planilha1!$A213,LEN([1]Planilha1!$A213)-5),TRIM([1]Planilha1!$A213))</f>
        <v>IPERO</v>
      </c>
      <c r="C213" s="2">
        <f ca="1">[1]Planilha1!$L213</f>
        <v>3521002</v>
      </c>
      <c r="D213" t="str">
        <f>TRIM([1]Planilha1!$D213)</f>
        <v>Desktop</v>
      </c>
      <c r="E213" t="str">
        <f>IF(TRIM([1]Planilha1!$D213)="Claro","Claro","Concorrente")</f>
        <v>Concorrente</v>
      </c>
      <c r="F213" t="s">
        <v>29</v>
      </c>
      <c r="G213" t="str">
        <f t="shared" ca="1" si="13"/>
        <v>Banda Larga + Movel</v>
      </c>
      <c r="H213" t="str">
        <f ca="1">TRIM([1]Planilha1!$E213)</f>
        <v>600M+15GB=R$129,99 - 6 MESES, APÓS R$139,99</v>
      </c>
      <c r="I213" t="str">
        <f ca="1">IF([1]Planilha1!$F213="","",TRIM([1]Planilha1!$F213))</f>
        <v>Fibra</v>
      </c>
      <c r="J213" s="3">
        <f ca="1">IF([1]Planilha1!$G213="","",[1]Planilha1!$G213)</f>
        <v>600</v>
      </c>
      <c r="K213" s="4" cm="1">
        <f t="array" aca="1" ref="K213" ca="1">IFERROR(VALUE(_xlfn.REGEXEXTRACT([1]Planilha1!$E213,"\+\s*(\d+)GB",2)),"")</f>
        <v>15</v>
      </c>
      <c r="L213" s="5">
        <f ca="1">IF([1]Planilha1!$H213="","",[1]Planilha1!$H213)</f>
        <v>139.99</v>
      </c>
      <c r="M213" s="5">
        <f ca="1">IF([1]Planilha1!$I213="","",[1]Planilha1!$I213)</f>
        <v>129.99</v>
      </c>
      <c r="N213" s="2" cm="1">
        <f t="array" aca="1" ref="N213" ca="1">IFERROR(VALUE(_xlfn.REGEXEXTRACT([1]Planilha1!$E213,"(\d+)\s*MESES",2)),IFERROR(VALUE(_xlfn.REGEXEXTRACT([1]Planilha1!$E213,"por\s*(\d+)\s*M",2)),IF(_xlfn.REGEXTEST([1]Planilha1!$E213,"1[ºª]"),1,"")))</f>
        <v>6</v>
      </c>
      <c r="O213" s="6">
        <f t="shared" ca="1" si="14"/>
        <v>0.23331666666666667</v>
      </c>
      <c r="P213" t="str">
        <f ca="1">IF([1]Planilha1!$J213="","",TRIM([1]Planilha1!$J213))</f>
        <v>0</v>
      </c>
      <c r="Q213" s="7">
        <f ca="1">IF($D213="Claro","",IFERROR($L213-VLOOKUP($B213&amp;"|Claro",[1]AUX_CLARO!$A:$C,2,FALSE),""))</f>
        <v>9.0000000000003411E-2</v>
      </c>
      <c r="R213" s="8">
        <f ca="1">IF($D213="Claro","",IFERROR($J213-VLOOKUP($B213&amp;"|Claro",[1]AUX_CLARO!$A:$C,3,FALSE),""))</f>
        <v>0</v>
      </c>
      <c r="S213" t="str">
        <f t="shared" ca="1" si="15"/>
        <v>Claro mais barata</v>
      </c>
      <c r="T213" t="str">
        <f t="shared" ca="1" si="16"/>
        <v>Mesma velocidade</v>
      </c>
      <c r="U213" s="9">
        <f t="shared" si="17"/>
        <v>46174</v>
      </c>
      <c r="V213" t="str">
        <f ca="1">IF(OR([1]Planilha1!$B213="",[1]Planilha1!$B213="NÃO MAPEADO"),"",TRIM([1]Planilha1!$B213))</f>
        <v>SUDESTE</v>
      </c>
      <c r="W213" t="str">
        <f ca="1">IF([1]Planilha1!$C213="","",TRIM([1]Planilha1!$C213))</f>
        <v>MD 2</v>
      </c>
      <c r="X213" s="12" t="str">
        <f ca="1">IFERROR(VLOOKUP($C213,[1]Planilha2!$B:$H,7,FALSE),"")</f>
        <v>18560-001</v>
      </c>
    </row>
    <row r="214" spans="1:24" x14ac:dyDescent="0.35">
      <c r="A214" t="str">
        <f ca="1">IF(LEFT(TEXT([1]Planilha1!$L214,"0000000"),1)="5","MS","SP")</f>
        <v>SP</v>
      </c>
      <c r="B214" t="str">
        <f ca="1">IF(RIGHT([1]Planilha1!$A214,5)=" - MS",LEFT([1]Planilha1!$A214,LEN([1]Planilha1!$A214)-5),TRIM([1]Planilha1!$A214))</f>
        <v>IPERO</v>
      </c>
      <c r="C214" s="2">
        <f ca="1">[1]Planilha1!$L214</f>
        <v>3521002</v>
      </c>
      <c r="D214" t="str">
        <f>TRIM([1]Planilha1!$D214)</f>
        <v>Vero</v>
      </c>
      <c r="E214" t="str">
        <f>IF(TRIM([1]Planilha1!$D214)="Claro","Claro","Concorrente")</f>
        <v>Concorrente</v>
      </c>
      <c r="F214" t="s">
        <v>30</v>
      </c>
      <c r="G214" t="str">
        <f t="shared" ca="1" si="13"/>
        <v>Banda Larga + Movel</v>
      </c>
      <c r="H214" t="str">
        <f ca="1">TRIM([1]Planilha1!$E214)</f>
        <v>850M+60GB=R$149,99 (C/ GLOBOPLAY, HBO, DISNEY+)</v>
      </c>
      <c r="I214" t="str">
        <f ca="1">IF([1]Planilha1!$F214="","",TRIM([1]Planilha1!$F214))</f>
        <v>Fibra</v>
      </c>
      <c r="J214" s="3">
        <f ca="1">IF([1]Planilha1!$G214="","",[1]Planilha1!$G214)</f>
        <v>850</v>
      </c>
      <c r="K214" s="4" cm="1">
        <f t="array" aca="1" ref="K214" ca="1">IFERROR(VALUE(_xlfn.REGEXEXTRACT([1]Planilha1!$E214,"\+\s*(\d+)GB",2)),"")</f>
        <v>60</v>
      </c>
      <c r="L214" s="5">
        <f ca="1">IF([1]Planilha1!$H214="","",[1]Planilha1!$H214)</f>
        <v>149.99</v>
      </c>
      <c r="M214" s="5" t="str">
        <f ca="1">IF([1]Planilha1!$I214="","",[1]Planilha1!$I214)</f>
        <v/>
      </c>
      <c r="N214" s="2" t="str" cm="1">
        <f t="array" aca="1" ref="N214" ca="1">IFERROR(VALUE(_xlfn.REGEXEXTRACT([1]Planilha1!$E214,"(\d+)\s*MESES",2)),IFERROR(VALUE(_xlfn.REGEXEXTRACT([1]Planilha1!$E214,"por\s*(\d+)\s*M",2)),IF(_xlfn.REGEXTEST([1]Planilha1!$E214,"1[ºª]"),1,"")))</f>
        <v/>
      </c>
      <c r="O214" s="6">
        <f t="shared" ca="1" si="14"/>
        <v>0.17645882352941178</v>
      </c>
      <c r="P214" t="str">
        <f ca="1">IF([1]Planilha1!$J214="","",TRIM([1]Planilha1!$J214))</f>
        <v>GLOBOPLAY, HBO, DISNEY+</v>
      </c>
      <c r="Q214" s="7">
        <f ca="1">IF($D214="Claro","",IFERROR($L214-VLOOKUP($B214&amp;"|Claro",[1]AUX_CLARO!$A:$C,2,FALSE),""))</f>
        <v>10.090000000000003</v>
      </c>
      <c r="R214" s="8">
        <f ca="1">IF($D214="Claro","",IFERROR($J214-VLOOKUP($B214&amp;"|Claro",[1]AUX_CLARO!$A:$C,3,FALSE),""))</f>
        <v>250</v>
      </c>
      <c r="S214" t="str">
        <f t="shared" ca="1" si="15"/>
        <v>Claro mais barata</v>
      </c>
      <c r="T214" t="str">
        <f t="shared" ca="1" si="16"/>
        <v>Claro com menor velocidade</v>
      </c>
      <c r="U214" s="9">
        <f t="shared" si="17"/>
        <v>46174</v>
      </c>
      <c r="V214" t="str">
        <f ca="1">IF(OR([1]Planilha1!$B214="",[1]Planilha1!$B214="NÃO MAPEADO"),"",TRIM([1]Planilha1!$B214))</f>
        <v>SUDESTE</v>
      </c>
      <c r="W214" t="str">
        <f ca="1">IF([1]Planilha1!$C214="","",TRIM([1]Planilha1!$C214))</f>
        <v>MD 2</v>
      </c>
      <c r="X214" s="12" t="str">
        <f ca="1">IFERROR(VLOOKUP($C214,[1]Planilha2!$B:$H,7,FALSE),"")</f>
        <v>18560-001</v>
      </c>
    </row>
    <row r="215" spans="1:24" x14ac:dyDescent="0.35">
      <c r="A215" t="str">
        <f ca="1">IF(LEFT(TEXT([1]Planilha1!$L215,"0000000"),1)="5","MS","SP")</f>
        <v>SP</v>
      </c>
      <c r="B215" t="str">
        <f ca="1">IF(RIGHT([1]Planilha1!$A215,5)=" - MS",LEFT([1]Planilha1!$A215,LEN([1]Planilha1!$A215)-5),TRIM([1]Planilha1!$A215))</f>
        <v>IPERO</v>
      </c>
      <c r="C215" s="2">
        <f ca="1">[1]Planilha1!$L215</f>
        <v>3521002</v>
      </c>
      <c r="D215" t="str">
        <f>TRIM([1]Planilha1!$D215)</f>
        <v>ISP LOCAL</v>
      </c>
      <c r="E215" t="str">
        <f>IF(TRIM([1]Planilha1!$D215)="Claro","Claro","Concorrente")</f>
        <v>Concorrente</v>
      </c>
      <c r="F215" t="s">
        <v>42</v>
      </c>
      <c r="G215" t="str">
        <f t="shared" ca="1" si="13"/>
        <v>Banda Larga + Conteudo</v>
      </c>
      <c r="H215" t="str">
        <f ca="1">TRIM([1]Planilha1!$E215)</f>
        <v>ZAAZ - 600M R$99,90</v>
      </c>
      <c r="I215" t="str">
        <f ca="1">IF([1]Planilha1!$F215="","",TRIM([1]Planilha1!$F215))</f>
        <v>Fibra</v>
      </c>
      <c r="J215" s="3">
        <f ca="1">IF([1]Planilha1!$G215="","",[1]Planilha1!$G215)</f>
        <v>600</v>
      </c>
      <c r="K215" s="4" t="str" cm="1">
        <f t="array" aca="1" ref="K215" ca="1">IFERROR(VALUE(_xlfn.REGEXEXTRACT([1]Planilha1!$E215,"\+\s*(\d+)GB",2)),"")</f>
        <v/>
      </c>
      <c r="L215" s="5">
        <f ca="1">IF([1]Planilha1!$H215="","",[1]Planilha1!$H215)</f>
        <v>99.9</v>
      </c>
      <c r="M215" s="5" t="str">
        <f ca="1">IF([1]Planilha1!$I215="","",[1]Planilha1!$I215)</f>
        <v/>
      </c>
      <c r="N215" s="2" t="str" cm="1">
        <f t="array" aca="1" ref="N215" ca="1">IFERROR(VALUE(_xlfn.REGEXEXTRACT([1]Planilha1!$E215,"(\d+)\s*MESES",2)),IFERROR(VALUE(_xlfn.REGEXEXTRACT([1]Planilha1!$E215,"por\s*(\d+)\s*M",2)),IF(_xlfn.REGEXTEST([1]Planilha1!$E215,"1[ºª]"),1,"")))</f>
        <v/>
      </c>
      <c r="O215" s="6">
        <f t="shared" ca="1" si="14"/>
        <v>0.16650000000000001</v>
      </c>
      <c r="P215" t="str">
        <f ca="1">IF([1]Planilha1!$J215="","",TRIM([1]Planilha1!$J215))</f>
        <v>0</v>
      </c>
      <c r="Q215" s="7">
        <f ca="1">IF($D215="Claro","",IFERROR($L215-VLOOKUP($B215&amp;"|Claro",[1]AUX_CLARO!$A:$C,2,FALSE),""))</f>
        <v>-40</v>
      </c>
      <c r="R215" s="8">
        <f ca="1">IF($D215="Claro","",IFERROR($J215-VLOOKUP($B215&amp;"|Claro",[1]AUX_CLARO!$A:$C,3,FALSE),""))</f>
        <v>0</v>
      </c>
      <c r="S215" t="str">
        <f t="shared" ca="1" si="15"/>
        <v>Claro mais cara</v>
      </c>
      <c r="T215" t="str">
        <f t="shared" ca="1" si="16"/>
        <v>Mesma velocidade</v>
      </c>
      <c r="U215" s="9">
        <f t="shared" si="17"/>
        <v>46174</v>
      </c>
      <c r="V215" t="str">
        <f ca="1">IF(OR([1]Planilha1!$B215="",[1]Planilha1!$B215="NÃO MAPEADO"),"",TRIM([1]Planilha1!$B215))</f>
        <v>SUDESTE</v>
      </c>
      <c r="W215" t="str">
        <f ca="1">IF([1]Planilha1!$C215="","",TRIM([1]Planilha1!$C215))</f>
        <v>MD 2</v>
      </c>
      <c r="X215" s="12" t="str">
        <f ca="1">IFERROR(VLOOKUP($C215,[1]Planilha2!$B:$H,7,FALSE),"")</f>
        <v>18560-001</v>
      </c>
    </row>
    <row r="216" spans="1:24" x14ac:dyDescent="0.35">
      <c r="A216" t="str">
        <f ca="1">IF(LEFT(TEXT([1]Planilha1!$L216,"0000000"),1)="5","MS","SP")</f>
        <v>SP</v>
      </c>
      <c r="B216" t="str">
        <f ca="1">IF(RIGHT([1]Planilha1!$A216,5)=" - MS",LEFT([1]Planilha1!$A216,LEN([1]Planilha1!$A216)-5),TRIM([1]Planilha1!$A216))</f>
        <v>ITANHAEM</v>
      </c>
      <c r="C216" s="2">
        <f ca="1">[1]Planilha1!$L216</f>
        <v>3522109</v>
      </c>
      <c r="D216" t="str">
        <f>TRIM([1]Planilha1!$D216)</f>
        <v>Claro</v>
      </c>
      <c r="E216" t="str">
        <f>IF(TRIM([1]Planilha1!$D216)="Claro","Claro","Concorrente")</f>
        <v>Claro</v>
      </c>
      <c r="F216" t="s">
        <v>24</v>
      </c>
      <c r="G216" t="str">
        <f t="shared" ca="1" si="13"/>
        <v>Banda Larga + Movel</v>
      </c>
      <c r="H216" t="str">
        <f ca="1">TRIM([1]Planilha1!$E216)</f>
        <v>600M+100GB=R$119,90 por 3M, após R$159,90</v>
      </c>
      <c r="I216" t="str">
        <f ca="1">IF([1]Planilha1!$F216="","",TRIM([1]Planilha1!$F216))</f>
        <v>Fibra</v>
      </c>
      <c r="J216" s="3">
        <f ca="1">IF([1]Planilha1!$G216="","",[1]Planilha1!$G216)</f>
        <v>600</v>
      </c>
      <c r="K216" s="4" cm="1">
        <f t="array" aca="1" ref="K216" ca="1">IFERROR(VALUE(_xlfn.REGEXEXTRACT([1]Planilha1!$E216,"\+\s*(\d+)GB",2)),"")</f>
        <v>100</v>
      </c>
      <c r="L216" s="5">
        <f ca="1">IF([1]Planilha1!$H216="","",[1]Planilha1!$H216)</f>
        <v>159.9</v>
      </c>
      <c r="M216" s="5">
        <f ca="1">IF([1]Planilha1!$I216="","",[1]Planilha1!$I216)</f>
        <v>119.9</v>
      </c>
      <c r="N216" s="2" cm="1">
        <f t="array" aca="1" ref="N216" ca="1">IFERROR(VALUE(_xlfn.REGEXEXTRACT([1]Planilha1!$E216,"(\d+)\s*MESES",2)),IFERROR(VALUE(_xlfn.REGEXEXTRACT([1]Planilha1!$E216,"por\s*(\d+)\s*M",2)),IF(_xlfn.REGEXTEST([1]Planilha1!$E216,"1[ºª]"),1,"")))</f>
        <v>3</v>
      </c>
      <c r="O216" s="6">
        <f t="shared" ca="1" si="14"/>
        <v>0.26650000000000001</v>
      </c>
      <c r="P216" t="str">
        <f ca="1">IF([1]Planilha1!$J216="","",TRIM([1]Planilha1!$J216))</f>
        <v>GLOBOPLAY</v>
      </c>
      <c r="Q216" s="7" t="str">
        <f>IF($D216="Claro","",IFERROR($L216-VLOOKUP($B216&amp;"|Claro",[1]AUX_CLARO!$A:$C,2,FALSE),""))</f>
        <v/>
      </c>
      <c r="R216" s="8" t="str">
        <f>IF($D216="Claro","",IFERROR($J216-VLOOKUP($B216&amp;"|Claro",[1]AUX_CLARO!$A:$C,3,FALSE),""))</f>
        <v/>
      </c>
      <c r="S216" t="str">
        <f t="shared" si="15"/>
        <v/>
      </c>
      <c r="T216" t="str">
        <f t="shared" si="16"/>
        <v/>
      </c>
      <c r="U216" s="9">
        <f t="shared" si="17"/>
        <v>46174</v>
      </c>
      <c r="V216" t="str">
        <f ca="1">IF(OR([1]Planilha1!$B216="",[1]Planilha1!$B216="NÃO MAPEADO"),"",TRIM([1]Planilha1!$B216))</f>
        <v>LITORAL</v>
      </c>
      <c r="W216" t="str">
        <f ca="1">IF([1]Planilha1!$C216="","",TRIM([1]Planilha1!$C216))</f>
        <v>ESPECIAL</v>
      </c>
      <c r="X216" t="str">
        <f ca="1">IFERROR(VLOOKUP($C216,[1]Planilha2!$B:$H,7,FALSE),"")</f>
        <v>11740-001</v>
      </c>
    </row>
    <row r="217" spans="1:24" x14ac:dyDescent="0.35">
      <c r="A217" t="str">
        <f ca="1">IF(LEFT(TEXT([1]Planilha1!$L217,"0000000"),1)="5","MS","SP")</f>
        <v>SP</v>
      </c>
      <c r="B217" t="str">
        <f ca="1">IF(RIGHT([1]Planilha1!$A217,5)=" - MS",LEFT([1]Planilha1!$A217,LEN([1]Planilha1!$A217)-5),TRIM([1]Planilha1!$A217))</f>
        <v>ITANHAEM</v>
      </c>
      <c r="C217" s="2">
        <f ca="1">[1]Planilha1!$L217</f>
        <v>3522109</v>
      </c>
      <c r="D217" t="str">
        <f>TRIM([1]Planilha1!$D217)</f>
        <v>Vivo</v>
      </c>
      <c r="E217" t="str">
        <f>IF(TRIM([1]Planilha1!$D217)="Claro","Claro","Concorrente")</f>
        <v>Concorrente</v>
      </c>
      <c r="F217" t="s">
        <v>25</v>
      </c>
      <c r="G217" t="str">
        <f t="shared" ca="1" si="13"/>
        <v>Banda Larga + Movel</v>
      </c>
      <c r="H217" t="s">
        <v>26</v>
      </c>
      <c r="I217" t="str">
        <f ca="1">IF([1]Planilha1!$F217="","",TRIM([1]Planilha1!$F217))</f>
        <v>Fibra</v>
      </c>
      <c r="J217" s="11" t="s">
        <v>27</v>
      </c>
      <c r="K217" s="4" cm="1">
        <f t="array" aca="1" ref="K217" ca="1">IFERROR(VALUE(_xlfn.REGEXEXTRACT([1]Planilha1!$E217,"\+\s*(\d+)GB",2)),"")</f>
        <v>70</v>
      </c>
      <c r="L217" s="5">
        <v>160</v>
      </c>
      <c r="M217" s="5" t="str">
        <f ca="1">IF([1]Planilha1!$I217="","",[1]Planilha1!$I217)</f>
        <v/>
      </c>
      <c r="N217" s="2" t="str" cm="1">
        <f t="array" aca="1" ref="N217" ca="1">IFERROR(VALUE(_xlfn.REGEXEXTRACT([1]Planilha1!$E217,"(\d+)\s*MESES",2)),IFERROR(VALUE(_xlfn.REGEXEXTRACT([1]Planilha1!$E217,"por\s*(\d+)\s*M",2)),IF(_xlfn.REGEXTEST([1]Planilha1!$E217,"1[ºª]"),1,"")))</f>
        <v/>
      </c>
      <c r="O217" s="6" t="str">
        <f t="shared" si="14"/>
        <v/>
      </c>
      <c r="P217" t="str">
        <f ca="1">IF([1]Planilha1!$J217="","",TRIM([1]Planilha1!$J217))</f>
        <v>0</v>
      </c>
      <c r="Q217" s="7">
        <f ca="1">IF($D217="Claro","",IFERROR($L217-VLOOKUP($B217&amp;"|Claro",[1]AUX_CLARO!$A:$C,2,FALSE),""))</f>
        <v>9.9999999999994316E-2</v>
      </c>
      <c r="R217" s="8" t="str">
        <f ca="1">IF($D217="Claro","",IFERROR($J217-VLOOKUP($B217&amp;"|Claro",[1]AUX_CLARO!$A:$C,3,FALSE),""))</f>
        <v/>
      </c>
      <c r="S217" t="str">
        <f t="shared" ca="1" si="15"/>
        <v>Claro mais barata</v>
      </c>
      <c r="T217" t="str">
        <f t="shared" ca="1" si="16"/>
        <v/>
      </c>
      <c r="U217" s="9">
        <f t="shared" si="17"/>
        <v>46174</v>
      </c>
      <c r="V217" t="str">
        <f ca="1">IF(OR([1]Planilha1!$B217="",[1]Planilha1!$B217="NÃO MAPEADO"),"",TRIM([1]Planilha1!$B217))</f>
        <v>LITORAL</v>
      </c>
      <c r="W217" t="str">
        <f ca="1">IF([1]Planilha1!$C217="","",TRIM([1]Planilha1!$C217))</f>
        <v>ESPECIAL</v>
      </c>
      <c r="X217" t="str">
        <f ca="1">IFERROR(VLOOKUP($C217,[1]Planilha2!$B:$H,7,FALSE),"")</f>
        <v>11740-001</v>
      </c>
    </row>
    <row r="218" spans="1:24" x14ac:dyDescent="0.35">
      <c r="A218" t="str">
        <f ca="1">IF(LEFT(TEXT([1]Planilha1!$L218,"0000000"),1)="5","MS","SP")</f>
        <v>SP</v>
      </c>
      <c r="B218" t="str">
        <f ca="1">IF(RIGHT([1]Planilha1!$A218,5)=" - MS",LEFT([1]Planilha1!$A218,LEN([1]Planilha1!$A218)-5),TRIM([1]Planilha1!$A218))</f>
        <v>ITANHAEM</v>
      </c>
      <c r="C218" s="2">
        <f ca="1">[1]Planilha1!$L218</f>
        <v>3522109</v>
      </c>
      <c r="D218" t="str">
        <f>TRIM([1]Planilha1!$D218)</f>
        <v>Desktop</v>
      </c>
      <c r="E218" t="str">
        <f>IF(TRIM([1]Planilha1!$D218)="Claro","Claro","Concorrente")</f>
        <v>Concorrente</v>
      </c>
      <c r="F218" t="s">
        <v>29</v>
      </c>
      <c r="G218" t="str">
        <f t="shared" ca="1" si="13"/>
        <v>Banda Larga + Conteudo</v>
      </c>
      <c r="H218" t="str">
        <f ca="1">TRIM([1]Planilha1!$E218)</f>
        <v>600M=R$49,99 por 2M, após R$89,99</v>
      </c>
      <c r="I218" t="str">
        <f ca="1">IF([1]Planilha1!$F218="","",TRIM([1]Planilha1!$F218))</f>
        <v>Fibra</v>
      </c>
      <c r="J218" s="3">
        <f ca="1">IF([1]Planilha1!$G218="","",[1]Planilha1!$G218)</f>
        <v>600</v>
      </c>
      <c r="K218" s="4" t="str" cm="1">
        <f t="array" aca="1" ref="K218" ca="1">IFERROR(VALUE(_xlfn.REGEXEXTRACT([1]Planilha1!$E218,"\+\s*(\d+)GB",2)),"")</f>
        <v/>
      </c>
      <c r="L218" s="5">
        <f ca="1">IF([1]Planilha1!$H218="","",[1]Planilha1!$H218)</f>
        <v>89.99</v>
      </c>
      <c r="M218" s="5">
        <f ca="1">IF([1]Planilha1!$I218="","",[1]Planilha1!$I218)</f>
        <v>49.99</v>
      </c>
      <c r="N218" s="2" cm="1">
        <f t="array" aca="1" ref="N218" ca="1">IFERROR(VALUE(_xlfn.REGEXEXTRACT([1]Planilha1!$E218,"(\d+)\s*MESES",2)),IFERROR(VALUE(_xlfn.REGEXEXTRACT([1]Planilha1!$E218,"por\s*(\d+)\s*M",2)),IF(_xlfn.REGEXTEST([1]Planilha1!$E218,"1[ºª]"),1,"")))</f>
        <v>2</v>
      </c>
      <c r="O218" s="6">
        <f t="shared" ca="1" si="14"/>
        <v>0.14998333333333333</v>
      </c>
      <c r="P218" t="str">
        <f ca="1">IF([1]Planilha1!$J218="","",TRIM([1]Planilha1!$J218))</f>
        <v>0</v>
      </c>
      <c r="Q218" s="7">
        <f ca="1">IF($D218="Claro","",IFERROR($L218-VLOOKUP($B218&amp;"|Claro",[1]AUX_CLARO!$A:$C,2,FALSE),""))</f>
        <v>-69.910000000000011</v>
      </c>
      <c r="R218" s="8">
        <f ca="1">IF($D218="Claro","",IFERROR($J218-VLOOKUP($B218&amp;"|Claro",[1]AUX_CLARO!$A:$C,3,FALSE),""))</f>
        <v>0</v>
      </c>
      <c r="S218" t="str">
        <f t="shared" ca="1" si="15"/>
        <v>Claro mais cara</v>
      </c>
      <c r="T218" t="str">
        <f t="shared" ca="1" si="16"/>
        <v>Mesma velocidade</v>
      </c>
      <c r="U218" s="9">
        <f t="shared" si="17"/>
        <v>46174</v>
      </c>
      <c r="V218" t="str">
        <f ca="1">IF(OR([1]Planilha1!$B218="",[1]Planilha1!$B218="NÃO MAPEADO"),"",TRIM([1]Planilha1!$B218))</f>
        <v>LITORAL</v>
      </c>
      <c r="W218" t="str">
        <f ca="1">IF([1]Planilha1!$C218="","",TRIM([1]Planilha1!$C218))</f>
        <v>ESPECIAL</v>
      </c>
      <c r="X218" t="str">
        <f ca="1">IFERROR(VLOOKUP($C218,[1]Planilha2!$B:$H,7,FALSE),"")</f>
        <v>11740-001</v>
      </c>
    </row>
    <row r="219" spans="1:24" x14ac:dyDescent="0.35">
      <c r="A219" t="str">
        <f ca="1">IF(LEFT(TEXT([1]Planilha1!$L219,"0000000"),1)="5","MS","SP")</f>
        <v>SP</v>
      </c>
      <c r="B219" t="str">
        <f ca="1">IF(RIGHT([1]Planilha1!$A219,5)=" - MS",LEFT([1]Planilha1!$A219,LEN([1]Planilha1!$A219)-5),TRIM([1]Planilha1!$A219))</f>
        <v>ITANHAEM</v>
      </c>
      <c r="C219" s="2">
        <f ca="1">[1]Planilha1!$L219</f>
        <v>3522109</v>
      </c>
      <c r="D219" t="str">
        <f>TRIM([1]Planilha1!$D219)</f>
        <v>ISP LOCAL</v>
      </c>
      <c r="E219" t="str">
        <f>IF(TRIM([1]Planilha1!$D219)="Claro","Claro","Concorrente")</f>
        <v>Concorrente</v>
      </c>
      <c r="F219" t="s">
        <v>65</v>
      </c>
      <c r="G219" t="str">
        <f t="shared" ca="1" si="13"/>
        <v>Banda Larga + Conteudo</v>
      </c>
      <c r="H219" t="str">
        <f ca="1">TRIM([1]Planilha1!$E219)</f>
        <v>ETECCNET - 600M R$109,90</v>
      </c>
      <c r="I219" t="str">
        <f ca="1">IF([1]Planilha1!$F219="","",TRIM([1]Planilha1!$F219))</f>
        <v>Fibra</v>
      </c>
      <c r="J219" s="3">
        <f ca="1">IF([1]Planilha1!$G219="","",[1]Planilha1!$G219)</f>
        <v>600</v>
      </c>
      <c r="K219" s="4" t="str" cm="1">
        <f t="array" aca="1" ref="K219" ca="1">IFERROR(VALUE(_xlfn.REGEXEXTRACT([1]Planilha1!$E219,"\+\s*(\d+)GB",2)),"")</f>
        <v/>
      </c>
      <c r="L219" s="5">
        <f ca="1">IF([1]Planilha1!$H219="","",[1]Planilha1!$H219)</f>
        <v>109.9</v>
      </c>
      <c r="M219" s="5" t="str">
        <f ca="1">IF([1]Planilha1!$I219="","",[1]Planilha1!$I219)</f>
        <v/>
      </c>
      <c r="N219" s="2" t="str" cm="1">
        <f t="array" aca="1" ref="N219" ca="1">IFERROR(VALUE(_xlfn.REGEXEXTRACT([1]Planilha1!$E219,"(\d+)\s*MESES",2)),IFERROR(VALUE(_xlfn.REGEXEXTRACT([1]Planilha1!$E219,"por\s*(\d+)\s*M",2)),IF(_xlfn.REGEXTEST([1]Planilha1!$E219,"1[ºª]"),1,"")))</f>
        <v/>
      </c>
      <c r="O219" s="6">
        <f t="shared" ca="1" si="14"/>
        <v>0.18316666666666667</v>
      </c>
      <c r="P219" t="str">
        <f ca="1">IF([1]Planilha1!$J219="","",TRIM([1]Planilha1!$J219))</f>
        <v>0</v>
      </c>
      <c r="Q219" s="7">
        <f ca="1">IF($D219="Claro","",IFERROR($L219-VLOOKUP($B219&amp;"|Claro",[1]AUX_CLARO!$A:$C,2,FALSE),""))</f>
        <v>-50</v>
      </c>
      <c r="R219" s="8">
        <f ca="1">IF($D219="Claro","",IFERROR($J219-VLOOKUP($B219&amp;"|Claro",[1]AUX_CLARO!$A:$C,3,FALSE),""))</f>
        <v>0</v>
      </c>
      <c r="S219" t="str">
        <f t="shared" ca="1" si="15"/>
        <v>Claro mais cara</v>
      </c>
      <c r="T219" t="str">
        <f t="shared" ca="1" si="16"/>
        <v>Mesma velocidade</v>
      </c>
      <c r="U219" s="9">
        <f t="shared" si="17"/>
        <v>46174</v>
      </c>
      <c r="V219" t="str">
        <f ca="1">IF(OR([1]Planilha1!$B219="",[1]Planilha1!$B219="NÃO MAPEADO"),"",TRIM([1]Planilha1!$B219))</f>
        <v>LITORAL</v>
      </c>
      <c r="W219" t="str">
        <f ca="1">IF([1]Planilha1!$C219="","",TRIM([1]Planilha1!$C219))</f>
        <v>ESPECIAL</v>
      </c>
      <c r="X219" t="str">
        <f ca="1">IFERROR(VLOOKUP($C219,[1]Planilha2!$B:$H,7,FALSE),"")</f>
        <v>11740-001</v>
      </c>
    </row>
    <row r="220" spans="1:24" x14ac:dyDescent="0.35">
      <c r="A220" t="str">
        <f ca="1">IF(LEFT(TEXT([1]Planilha1!$L220,"0000000"),1)="5","MS","SP")</f>
        <v>SP</v>
      </c>
      <c r="B220" t="str">
        <f ca="1">IF(RIGHT([1]Planilha1!$A220,5)=" - MS",LEFT([1]Planilha1!$A220,LEN([1]Planilha1!$A220)-5),TRIM([1]Planilha1!$A220))</f>
        <v>ITAPETININGA</v>
      </c>
      <c r="C220" s="2">
        <f ca="1">[1]Planilha1!$L220</f>
        <v>3522307</v>
      </c>
      <c r="D220" t="str">
        <f>TRIM([1]Planilha1!$D220)</f>
        <v>Claro</v>
      </c>
      <c r="E220" t="str">
        <f>IF(TRIM([1]Planilha1!$D220)="Claro","Claro","Concorrente")</f>
        <v>Claro</v>
      </c>
      <c r="F220" t="s">
        <v>24</v>
      </c>
      <c r="G220" t="str">
        <f t="shared" ca="1" si="13"/>
        <v>Banda Larga + Movel</v>
      </c>
      <c r="H220" t="str">
        <f ca="1">TRIM([1]Planilha1!$E220)</f>
        <v>600M+100GB=R$109,90 por 6M, após R$139,90</v>
      </c>
      <c r="I220" t="str">
        <f ca="1">IF([1]Planilha1!$F220="","",TRIM([1]Planilha1!$F220))</f>
        <v>Fibra</v>
      </c>
      <c r="J220" s="3">
        <f ca="1">IF([1]Planilha1!$G220="","",[1]Planilha1!$G220)</f>
        <v>600</v>
      </c>
      <c r="K220" s="4" cm="1">
        <f t="array" aca="1" ref="K220" ca="1">IFERROR(VALUE(_xlfn.REGEXEXTRACT([1]Planilha1!$E220,"\+\s*(\d+)GB",2)),"")</f>
        <v>100</v>
      </c>
      <c r="L220" s="5">
        <f ca="1">IF([1]Planilha1!$H220="","",[1]Planilha1!$H220)</f>
        <v>139.9</v>
      </c>
      <c r="M220" s="5">
        <f ca="1">IF([1]Planilha1!$I220="","",[1]Planilha1!$I220)</f>
        <v>109.9</v>
      </c>
      <c r="N220" s="2" cm="1">
        <f t="array" aca="1" ref="N220" ca="1">IFERROR(VALUE(_xlfn.REGEXEXTRACT([1]Planilha1!$E220,"(\d+)\s*MESES",2)),IFERROR(VALUE(_xlfn.REGEXEXTRACT([1]Planilha1!$E220,"por\s*(\d+)\s*M",2)),IF(_xlfn.REGEXTEST([1]Planilha1!$E220,"1[ºª]"),1,"")))</f>
        <v>6</v>
      </c>
      <c r="O220" s="6">
        <f t="shared" ca="1" si="14"/>
        <v>0.23316666666666669</v>
      </c>
      <c r="P220" t="str">
        <f ca="1">IF([1]Planilha1!$J220="","",TRIM([1]Planilha1!$J220))</f>
        <v>GLOBOPLAY</v>
      </c>
      <c r="Q220" s="7" t="str">
        <f>IF($D220="Claro","",IFERROR($L220-VLOOKUP($B220&amp;"|Claro",[1]AUX_CLARO!$A:$C,2,FALSE),""))</f>
        <v/>
      </c>
      <c r="R220" s="8" t="str">
        <f>IF($D220="Claro","",IFERROR($J220-VLOOKUP($B220&amp;"|Claro",[1]AUX_CLARO!$A:$C,3,FALSE),""))</f>
        <v/>
      </c>
      <c r="S220" t="str">
        <f t="shared" si="15"/>
        <v/>
      </c>
      <c r="T220" t="str">
        <f t="shared" si="16"/>
        <v/>
      </c>
      <c r="U220" s="9">
        <f t="shared" si="17"/>
        <v>46174</v>
      </c>
      <c r="V220" t="str">
        <f ca="1">IF(OR([1]Planilha1!$B220="",[1]Planilha1!$B220="NÃO MAPEADO"),"",TRIM([1]Planilha1!$B220))</f>
        <v>SUDESTE</v>
      </c>
      <c r="W220" t="str">
        <f ca="1">IF([1]Planilha1!$C220="","",TRIM([1]Planilha1!$C220))</f>
        <v>MD 2</v>
      </c>
      <c r="X220" s="12" t="str">
        <f ca="1">IFERROR(VLOOKUP($C220,[1]Planilha2!$B:$H,7,FALSE),"")</f>
        <v>18200-001</v>
      </c>
    </row>
    <row r="221" spans="1:24" x14ac:dyDescent="0.35">
      <c r="A221" t="str">
        <f ca="1">IF(LEFT(TEXT([1]Planilha1!$L221,"0000000"),1)="5","MS","SP")</f>
        <v>SP</v>
      </c>
      <c r="B221" t="str">
        <f ca="1">IF(RIGHT([1]Planilha1!$A221,5)=" - MS",LEFT([1]Planilha1!$A221,LEN([1]Planilha1!$A221)-5),TRIM([1]Planilha1!$A221))</f>
        <v>ITAPETININGA</v>
      </c>
      <c r="C221" s="2">
        <f ca="1">[1]Planilha1!$L221</f>
        <v>3522307</v>
      </c>
      <c r="D221" t="str">
        <f>TRIM([1]Planilha1!$D221)</f>
        <v>Vivo</v>
      </c>
      <c r="E221" t="str">
        <f>IF(TRIM([1]Planilha1!$D221)="Claro","Claro","Concorrente")</f>
        <v>Concorrente</v>
      </c>
      <c r="F221" t="s">
        <v>25</v>
      </c>
      <c r="G221" t="str">
        <f t="shared" ca="1" si="13"/>
        <v>Banda Larga + Movel</v>
      </c>
      <c r="H221" t="s">
        <v>26</v>
      </c>
      <c r="I221" t="str">
        <f ca="1">IF([1]Planilha1!$F221="","",TRIM([1]Planilha1!$F221))</f>
        <v>Fibra</v>
      </c>
      <c r="J221" s="11" t="s">
        <v>27</v>
      </c>
      <c r="K221" s="4" cm="1">
        <f t="array" aca="1" ref="K221" ca="1">IFERROR(VALUE(_xlfn.REGEXEXTRACT([1]Planilha1!$E221,"\+\s*(\d+)GB",2)),"")</f>
        <v>70</v>
      </c>
      <c r="L221" s="5">
        <v>160</v>
      </c>
      <c r="M221" s="5" t="str">
        <f ca="1">IF([1]Planilha1!$I221="","",[1]Planilha1!$I221)</f>
        <v/>
      </c>
      <c r="N221" s="2" t="str" cm="1">
        <f t="array" aca="1" ref="N221" ca="1">IFERROR(VALUE(_xlfn.REGEXEXTRACT([1]Planilha1!$E221,"(\d+)\s*MESES",2)),IFERROR(VALUE(_xlfn.REGEXEXTRACT([1]Planilha1!$E221,"por\s*(\d+)\s*M",2)),IF(_xlfn.REGEXTEST([1]Planilha1!$E221,"1[ºª]"),1,"")))</f>
        <v/>
      </c>
      <c r="O221" s="6" t="str">
        <f t="shared" si="14"/>
        <v/>
      </c>
      <c r="P221" t="str">
        <f ca="1">IF([1]Planilha1!$J221="","",TRIM([1]Planilha1!$J221))</f>
        <v>0</v>
      </c>
      <c r="Q221" s="7">
        <f ca="1">IF($D221="Claro","",IFERROR($L221-VLOOKUP($B221&amp;"|Claro",[1]AUX_CLARO!$A:$C,2,FALSE),""))</f>
        <v>20.099999999999994</v>
      </c>
      <c r="R221" s="8" t="str">
        <f ca="1">IF($D221="Claro","",IFERROR($J221-VLOOKUP($B221&amp;"|Claro",[1]AUX_CLARO!$A:$C,3,FALSE),""))</f>
        <v/>
      </c>
      <c r="S221" t="str">
        <f t="shared" ca="1" si="15"/>
        <v>Claro mais barata</v>
      </c>
      <c r="T221" t="str">
        <f t="shared" ca="1" si="16"/>
        <v/>
      </c>
      <c r="U221" s="9">
        <f t="shared" si="17"/>
        <v>46174</v>
      </c>
      <c r="V221" t="str">
        <f ca="1">IF(OR([1]Planilha1!$B221="",[1]Planilha1!$B221="NÃO MAPEADO"),"",TRIM([1]Planilha1!$B221))</f>
        <v>SUDESTE</v>
      </c>
      <c r="W221" t="str">
        <f ca="1">IF([1]Planilha1!$C221="","",TRIM([1]Planilha1!$C221))</f>
        <v>MD 2</v>
      </c>
      <c r="X221" s="12" t="str">
        <f ca="1">IFERROR(VLOOKUP($C221,[1]Planilha2!$B:$H,7,FALSE),"")</f>
        <v>18200-001</v>
      </c>
    </row>
    <row r="222" spans="1:24" x14ac:dyDescent="0.35">
      <c r="A222" t="str">
        <f ca="1">IF(LEFT(TEXT([1]Planilha1!$L222,"0000000"),1)="5","MS","SP")</f>
        <v>SP</v>
      </c>
      <c r="B222" t="str">
        <f ca="1">IF(RIGHT([1]Planilha1!$A222,5)=" - MS",LEFT([1]Planilha1!$A222,LEN([1]Planilha1!$A222)-5),TRIM([1]Planilha1!$A222))</f>
        <v>ITAPETININGA</v>
      </c>
      <c r="C222" s="2">
        <f ca="1">[1]Planilha1!$L222</f>
        <v>3522307</v>
      </c>
      <c r="D222" t="str">
        <f>TRIM([1]Planilha1!$D222)</f>
        <v>Desktop</v>
      </c>
      <c r="E222" t="str">
        <f>IF(TRIM([1]Planilha1!$D222)="Claro","Claro","Concorrente")</f>
        <v>Concorrente</v>
      </c>
      <c r="F222" t="s">
        <v>29</v>
      </c>
      <c r="G222" t="str">
        <f t="shared" ca="1" si="13"/>
        <v>Banda Larga + Conteudo</v>
      </c>
      <c r="H222" t="str">
        <f ca="1">TRIM([1]Planilha1!$E222)</f>
        <v>600M=R$49,99 por 2M, após R$89,99</v>
      </c>
      <c r="I222" t="str">
        <f ca="1">IF([1]Planilha1!$F222="","",TRIM([1]Planilha1!$F222))</f>
        <v>Fibra</v>
      </c>
      <c r="J222" s="3">
        <f ca="1">IF([1]Planilha1!$G222="","",[1]Planilha1!$G222)</f>
        <v>600</v>
      </c>
      <c r="K222" s="4" t="str" cm="1">
        <f t="array" aca="1" ref="K222" ca="1">IFERROR(VALUE(_xlfn.REGEXEXTRACT([1]Planilha1!$E222,"\+\s*(\d+)GB",2)),"")</f>
        <v/>
      </c>
      <c r="L222" s="5">
        <f ca="1">IF([1]Planilha1!$H222="","",[1]Planilha1!$H222)</f>
        <v>89.99</v>
      </c>
      <c r="M222" s="5">
        <f ca="1">IF([1]Planilha1!$I222="","",[1]Planilha1!$I222)</f>
        <v>49.99</v>
      </c>
      <c r="N222" s="2" cm="1">
        <f t="array" aca="1" ref="N222" ca="1">IFERROR(VALUE(_xlfn.REGEXEXTRACT([1]Planilha1!$E222,"(\d+)\s*MESES",2)),IFERROR(VALUE(_xlfn.REGEXEXTRACT([1]Planilha1!$E222,"por\s*(\d+)\s*M",2)),IF(_xlfn.REGEXTEST([1]Planilha1!$E222,"1[ºª]"),1,"")))</f>
        <v>2</v>
      </c>
      <c r="O222" s="6">
        <f t="shared" ca="1" si="14"/>
        <v>0.14998333333333333</v>
      </c>
      <c r="P222" t="str">
        <f ca="1">IF([1]Planilha1!$J222="","",TRIM([1]Planilha1!$J222))</f>
        <v>0</v>
      </c>
      <c r="Q222" s="7">
        <f ca="1">IF($D222="Claro","",IFERROR($L222-VLOOKUP($B222&amp;"|Claro",[1]AUX_CLARO!$A:$C,2,FALSE),""))</f>
        <v>-49.910000000000011</v>
      </c>
      <c r="R222" s="8">
        <f ca="1">IF($D222="Claro","",IFERROR($J222-VLOOKUP($B222&amp;"|Claro",[1]AUX_CLARO!$A:$C,3,FALSE),""))</f>
        <v>0</v>
      </c>
      <c r="S222" t="str">
        <f t="shared" ca="1" si="15"/>
        <v>Claro mais cara</v>
      </c>
      <c r="T222" t="str">
        <f t="shared" ca="1" si="16"/>
        <v>Mesma velocidade</v>
      </c>
      <c r="U222" s="9">
        <f t="shared" si="17"/>
        <v>46174</v>
      </c>
      <c r="V222" t="str">
        <f ca="1">IF(OR([1]Planilha1!$B222="",[1]Planilha1!$B222="NÃO MAPEADO"),"",TRIM([1]Planilha1!$B222))</f>
        <v>SUDESTE</v>
      </c>
      <c r="W222" t="str">
        <f ca="1">IF([1]Planilha1!$C222="","",TRIM([1]Planilha1!$C222))</f>
        <v>MD 2</v>
      </c>
      <c r="X222" s="12" t="str">
        <f ca="1">IFERROR(VLOOKUP($C222,[1]Planilha2!$B:$H,7,FALSE),"")</f>
        <v>18200-001</v>
      </c>
    </row>
    <row r="223" spans="1:24" x14ac:dyDescent="0.35">
      <c r="A223" t="str">
        <f ca="1">IF(LEFT(TEXT([1]Planilha1!$L223,"0000000"),1)="5","MS","SP")</f>
        <v>SP</v>
      </c>
      <c r="B223" t="str">
        <f ca="1">IF(RIGHT([1]Planilha1!$A223,5)=" - MS",LEFT([1]Planilha1!$A223,LEN([1]Planilha1!$A223)-5),TRIM([1]Planilha1!$A223))</f>
        <v>ITAPETININGA</v>
      </c>
      <c r="C223" s="2">
        <f ca="1">[1]Planilha1!$L223</f>
        <v>3522307</v>
      </c>
      <c r="D223" t="str">
        <f>TRIM([1]Planilha1!$D223)</f>
        <v>Alares</v>
      </c>
      <c r="E223" t="str">
        <f>IF(TRIM([1]Planilha1!$D223)="Claro","Claro","Concorrente")</f>
        <v>Concorrente</v>
      </c>
      <c r="F223" t="s">
        <v>32</v>
      </c>
      <c r="G223" t="str">
        <f t="shared" ca="1" si="13"/>
        <v>Banda Larga + Conteudo</v>
      </c>
      <c r="H223" t="str">
        <f ca="1">TRIM([1]Planilha1!$E223)</f>
        <v>1GB + GLOBOPLAY R$99,90</v>
      </c>
      <c r="I223" t="str">
        <f ca="1">IF([1]Planilha1!$F223="","",TRIM([1]Planilha1!$F223))</f>
        <v>Fibra</v>
      </c>
      <c r="J223" s="3">
        <f ca="1">IF([1]Planilha1!$G223="","",[1]Planilha1!$G223)</f>
        <v>1000</v>
      </c>
      <c r="K223" s="4" t="str" cm="1">
        <f t="array" aca="1" ref="K223" ca="1">IFERROR(VALUE(_xlfn.REGEXEXTRACT([1]Planilha1!$E223,"\+\s*(\d+)GB",2)),"")</f>
        <v/>
      </c>
      <c r="L223" s="5">
        <f ca="1">IF([1]Planilha1!$H223="","",[1]Planilha1!$H223)</f>
        <v>99.9</v>
      </c>
      <c r="M223" s="5" t="str">
        <f ca="1">IF([1]Planilha1!$I223="","",[1]Planilha1!$I223)</f>
        <v/>
      </c>
      <c r="N223" s="2" t="str" cm="1">
        <f t="array" aca="1" ref="N223" ca="1">IFERROR(VALUE(_xlfn.REGEXEXTRACT([1]Planilha1!$E223,"(\d+)\s*MESES",2)),IFERROR(VALUE(_xlfn.REGEXEXTRACT([1]Planilha1!$E223,"por\s*(\d+)\s*M",2)),IF(_xlfn.REGEXTEST([1]Planilha1!$E223,"1[ºª]"),1,"")))</f>
        <v/>
      </c>
      <c r="O223" s="6">
        <f t="shared" ca="1" si="14"/>
        <v>9.9900000000000003E-2</v>
      </c>
      <c r="P223" t="str">
        <f ca="1">IF([1]Planilha1!$J223="","",TRIM([1]Planilha1!$J223))</f>
        <v>GLOBOPLAY</v>
      </c>
      <c r="Q223" s="7">
        <f ca="1">IF($D223="Claro","",IFERROR($L223-VLOOKUP($B223&amp;"|Claro",[1]AUX_CLARO!$A:$C,2,FALSE),""))</f>
        <v>-40</v>
      </c>
      <c r="R223" s="8">
        <f ca="1">IF($D223="Claro","",IFERROR($J223-VLOOKUP($B223&amp;"|Claro",[1]AUX_CLARO!$A:$C,3,FALSE),""))</f>
        <v>400</v>
      </c>
      <c r="S223" t="str">
        <f t="shared" ca="1" si="15"/>
        <v>Claro mais cara</v>
      </c>
      <c r="T223" t="str">
        <f t="shared" ca="1" si="16"/>
        <v>Claro com menor velocidade</v>
      </c>
      <c r="U223" s="9">
        <f t="shared" si="17"/>
        <v>46174</v>
      </c>
      <c r="V223" t="str">
        <f ca="1">IF(OR([1]Planilha1!$B223="",[1]Planilha1!$B223="NÃO MAPEADO"),"",TRIM([1]Planilha1!$B223))</f>
        <v>SUDESTE</v>
      </c>
      <c r="W223" t="str">
        <f ca="1">IF([1]Planilha1!$C223="","",TRIM([1]Planilha1!$C223))</f>
        <v>MD 2</v>
      </c>
      <c r="X223" s="12" t="str">
        <f ca="1">IFERROR(VLOOKUP($C223,[1]Planilha2!$B:$H,7,FALSE),"")</f>
        <v>18200-001</v>
      </c>
    </row>
    <row r="224" spans="1:24" x14ac:dyDescent="0.35">
      <c r="A224" t="str">
        <f ca="1">IF(LEFT(TEXT([1]Planilha1!$L224,"0000000"),1)="5","MS","SP")</f>
        <v>SP</v>
      </c>
      <c r="B224" t="str">
        <f ca="1">IF(RIGHT([1]Planilha1!$A224,5)=" - MS",LEFT([1]Planilha1!$A224,LEN([1]Planilha1!$A224)-5),TRIM([1]Planilha1!$A224))</f>
        <v>ITAPETININGA</v>
      </c>
      <c r="C224" s="2">
        <f ca="1">[1]Planilha1!$L224</f>
        <v>3522307</v>
      </c>
      <c r="D224" t="str">
        <f>TRIM([1]Planilha1!$D224)</f>
        <v>ISP LOCAL</v>
      </c>
      <c r="E224" t="str">
        <f>IF(TRIM([1]Planilha1!$D224)="Claro","Claro","Concorrente")</f>
        <v>Concorrente</v>
      </c>
      <c r="F224" t="s">
        <v>66</v>
      </c>
      <c r="G224" t="str">
        <f t="shared" ca="1" si="13"/>
        <v>Banda Larga + Conteudo</v>
      </c>
      <c r="H224" t="str">
        <f ca="1">TRIM([1]Planilha1!$E224)</f>
        <v>MHNET - 500M R$99,90</v>
      </c>
      <c r="I224" t="str">
        <f ca="1">IF([1]Planilha1!$F224="","",TRIM([1]Planilha1!$F224))</f>
        <v>Fibra</v>
      </c>
      <c r="J224" s="3">
        <f ca="1">IF([1]Planilha1!$G224="","",[1]Planilha1!$G224)</f>
        <v>500</v>
      </c>
      <c r="K224" s="4" t="str" cm="1">
        <f t="array" aca="1" ref="K224" ca="1">IFERROR(VALUE(_xlfn.REGEXEXTRACT([1]Planilha1!$E224,"\+\s*(\d+)GB",2)),"")</f>
        <v/>
      </c>
      <c r="L224" s="5">
        <f ca="1">IF([1]Planilha1!$H224="","",[1]Planilha1!$H224)</f>
        <v>99.9</v>
      </c>
      <c r="M224" s="5" t="str">
        <f ca="1">IF([1]Planilha1!$I224="","",[1]Planilha1!$I224)</f>
        <v/>
      </c>
      <c r="N224" s="2" t="str" cm="1">
        <f t="array" aca="1" ref="N224" ca="1">IFERROR(VALUE(_xlfn.REGEXEXTRACT([1]Planilha1!$E224,"(\d+)\s*MESES",2)),IFERROR(VALUE(_xlfn.REGEXEXTRACT([1]Planilha1!$E224,"por\s*(\d+)\s*M",2)),IF(_xlfn.REGEXTEST([1]Planilha1!$E224,"1[ºª]"),1,"")))</f>
        <v/>
      </c>
      <c r="O224" s="6">
        <f t="shared" ca="1" si="14"/>
        <v>0.19980000000000001</v>
      </c>
      <c r="P224" t="str">
        <f ca="1">IF([1]Planilha1!$J224="","",TRIM([1]Planilha1!$J224))</f>
        <v>0</v>
      </c>
      <c r="Q224" s="7">
        <f ca="1">IF($D224="Claro","",IFERROR($L224-VLOOKUP($B224&amp;"|Claro",[1]AUX_CLARO!$A:$C,2,FALSE),""))</f>
        <v>-40</v>
      </c>
      <c r="R224" s="8">
        <f ca="1">IF($D224="Claro","",IFERROR($J224-VLOOKUP($B224&amp;"|Claro",[1]AUX_CLARO!$A:$C,3,FALSE),""))</f>
        <v>-100</v>
      </c>
      <c r="S224" t="str">
        <f t="shared" ca="1" si="15"/>
        <v>Claro mais cara</v>
      </c>
      <c r="T224" t="str">
        <f t="shared" ca="1" si="16"/>
        <v>Claro com maior velocidade</v>
      </c>
      <c r="U224" s="9">
        <f t="shared" si="17"/>
        <v>46174</v>
      </c>
      <c r="V224" t="str">
        <f ca="1">IF(OR([1]Planilha1!$B224="",[1]Planilha1!$B224="NÃO MAPEADO"),"",TRIM([1]Planilha1!$B224))</f>
        <v>SUDESTE</v>
      </c>
      <c r="W224" t="str">
        <f ca="1">IF([1]Planilha1!$C224="","",TRIM([1]Planilha1!$C224))</f>
        <v>MD 2</v>
      </c>
      <c r="X224" s="12" t="str">
        <f ca="1">IFERROR(VLOOKUP($C224,[1]Planilha2!$B:$H,7,FALSE),"")</f>
        <v>18200-001</v>
      </c>
    </row>
    <row r="225" spans="1:24" x14ac:dyDescent="0.35">
      <c r="A225" t="str">
        <f ca="1">IF(LEFT(TEXT([1]Planilha1!$L225,"0000000"),1)="5","MS","SP")</f>
        <v>SP</v>
      </c>
      <c r="B225" t="str">
        <f ca="1">IF(RIGHT([1]Planilha1!$A225,5)=" - MS",LEFT([1]Planilha1!$A225,LEN([1]Planilha1!$A225)-5),TRIM([1]Planilha1!$A225))</f>
        <v>ITAPEVA</v>
      </c>
      <c r="C225" s="2">
        <f ca="1">[1]Planilha1!$L225</f>
        <v>3522406</v>
      </c>
      <c r="D225" t="str">
        <f>TRIM([1]Planilha1!$D225)</f>
        <v>Claro</v>
      </c>
      <c r="E225" t="str">
        <f>IF(TRIM([1]Planilha1!$D225)="Claro","Claro","Concorrente")</f>
        <v>Claro</v>
      </c>
      <c r="F225" t="s">
        <v>24</v>
      </c>
      <c r="G225" t="str">
        <f t="shared" ca="1" si="13"/>
        <v>Banda Larga + Movel</v>
      </c>
      <c r="H225" t="str">
        <f ca="1">TRIM([1]Planilha1!$E225)</f>
        <v>600M+100GB=R$109,90 por 6M, após R$139,90</v>
      </c>
      <c r="I225" t="str">
        <f ca="1">IF([1]Planilha1!$F225="","",TRIM([1]Planilha1!$F225))</f>
        <v>Fibra</v>
      </c>
      <c r="J225" s="3">
        <f ca="1">IF([1]Planilha1!$G225="","",[1]Planilha1!$G225)</f>
        <v>600</v>
      </c>
      <c r="K225" s="4" cm="1">
        <f t="array" aca="1" ref="K225" ca="1">IFERROR(VALUE(_xlfn.REGEXEXTRACT([1]Planilha1!$E225,"\+\s*(\d+)GB",2)),"")</f>
        <v>100</v>
      </c>
      <c r="L225" s="5">
        <f ca="1">IF([1]Planilha1!$H225="","",[1]Planilha1!$H225)</f>
        <v>139.9</v>
      </c>
      <c r="M225" s="5">
        <f ca="1">IF([1]Planilha1!$I225="","",[1]Planilha1!$I225)</f>
        <v>109.9</v>
      </c>
      <c r="N225" s="2" cm="1">
        <f t="array" aca="1" ref="N225" ca="1">IFERROR(VALUE(_xlfn.REGEXEXTRACT([1]Planilha1!$E225,"(\d+)\s*MESES",2)),IFERROR(VALUE(_xlfn.REGEXEXTRACT([1]Planilha1!$E225,"por\s*(\d+)\s*M",2)),IF(_xlfn.REGEXTEST([1]Planilha1!$E225,"1[ºª]"),1,"")))</f>
        <v>6</v>
      </c>
      <c r="O225" s="6">
        <f t="shared" ca="1" si="14"/>
        <v>0.23316666666666669</v>
      </c>
      <c r="P225" t="str">
        <f ca="1">IF([1]Planilha1!$J225="","",TRIM([1]Planilha1!$J225))</f>
        <v>GLOBOPLAY</v>
      </c>
      <c r="Q225" s="7" t="str">
        <f>IF($D225="Claro","",IFERROR($L225-VLOOKUP($B225&amp;"|Claro",[1]AUX_CLARO!$A:$C,2,FALSE),""))</f>
        <v/>
      </c>
      <c r="R225" s="8" t="str">
        <f>IF($D225="Claro","",IFERROR($J225-VLOOKUP($B225&amp;"|Claro",[1]AUX_CLARO!$A:$C,3,FALSE),""))</f>
        <v/>
      </c>
      <c r="S225" t="str">
        <f t="shared" si="15"/>
        <v/>
      </c>
      <c r="T225" t="str">
        <f t="shared" si="16"/>
        <v/>
      </c>
      <c r="U225" s="9">
        <f t="shared" si="17"/>
        <v>46174</v>
      </c>
      <c r="V225" t="str">
        <f ca="1">IF(OR([1]Planilha1!$B225="",[1]Planilha1!$B225="NÃO MAPEADO"),"",TRIM([1]Planilha1!$B225))</f>
        <v>SUDESTE</v>
      </c>
      <c r="W225" t="str">
        <f ca="1">IF([1]Planilha1!$C225="","",TRIM([1]Planilha1!$C225))</f>
        <v>MD 2</v>
      </c>
      <c r="X225" s="12" t="str">
        <f ca="1">IFERROR(VLOOKUP($C225,[1]Planilha2!$B:$H,7,FALSE),"")</f>
        <v>18400-001</v>
      </c>
    </row>
    <row r="226" spans="1:24" x14ac:dyDescent="0.35">
      <c r="A226" t="str">
        <f ca="1">IF(LEFT(TEXT([1]Planilha1!$L226,"0000000"),1)="5","MS","SP")</f>
        <v>SP</v>
      </c>
      <c r="B226" t="str">
        <f ca="1">IF(RIGHT([1]Planilha1!$A226,5)=" - MS",LEFT([1]Planilha1!$A226,LEN([1]Planilha1!$A226)-5),TRIM([1]Planilha1!$A226))</f>
        <v>ITAPEVA</v>
      </c>
      <c r="C226" s="2">
        <f ca="1">[1]Planilha1!$L226</f>
        <v>3522406</v>
      </c>
      <c r="D226" t="str">
        <f>TRIM([1]Planilha1!$D226)</f>
        <v>Vivo</v>
      </c>
      <c r="E226" t="str">
        <f>IF(TRIM([1]Planilha1!$D226)="Claro","Claro","Concorrente")</f>
        <v>Concorrente</v>
      </c>
      <c r="F226" t="s">
        <v>25</v>
      </c>
      <c r="G226" t="str">
        <f t="shared" ca="1" si="13"/>
        <v>Banda Larga + Movel</v>
      </c>
      <c r="H226" t="s">
        <v>26</v>
      </c>
      <c r="I226" t="str">
        <f ca="1">IF([1]Planilha1!$F226="","",TRIM([1]Planilha1!$F226))</f>
        <v>Fibra</v>
      </c>
      <c r="J226" s="11" t="s">
        <v>27</v>
      </c>
      <c r="K226" s="4" cm="1">
        <f t="array" aca="1" ref="K226" ca="1">IFERROR(VALUE(_xlfn.REGEXEXTRACT([1]Planilha1!$E226,"\+\s*(\d+)GB",2)),"")</f>
        <v>70</v>
      </c>
      <c r="L226" s="5">
        <v>160</v>
      </c>
      <c r="M226" s="5" t="str">
        <f ca="1">IF([1]Planilha1!$I226="","",[1]Planilha1!$I226)</f>
        <v/>
      </c>
      <c r="N226" s="2" t="str" cm="1">
        <f t="array" aca="1" ref="N226" ca="1">IFERROR(VALUE(_xlfn.REGEXEXTRACT([1]Planilha1!$E226,"(\d+)\s*MESES",2)),IFERROR(VALUE(_xlfn.REGEXEXTRACT([1]Planilha1!$E226,"por\s*(\d+)\s*M",2)),IF(_xlfn.REGEXTEST([1]Planilha1!$E226,"1[ºª]"),1,"")))</f>
        <v/>
      </c>
      <c r="O226" s="6" t="str">
        <f t="shared" si="14"/>
        <v/>
      </c>
      <c r="P226" t="str">
        <f ca="1">IF([1]Planilha1!$J226="","",TRIM([1]Planilha1!$J226))</f>
        <v>0</v>
      </c>
      <c r="Q226" s="7">
        <f ca="1">IF($D226="Claro","",IFERROR($L226-VLOOKUP($B226&amp;"|Claro",[1]AUX_CLARO!$A:$C,2,FALSE),""))</f>
        <v>20.099999999999994</v>
      </c>
      <c r="R226" s="8" t="str">
        <f ca="1">IF($D226="Claro","",IFERROR($J226-VLOOKUP($B226&amp;"|Claro",[1]AUX_CLARO!$A:$C,3,FALSE),""))</f>
        <v/>
      </c>
      <c r="S226" t="str">
        <f t="shared" ca="1" si="15"/>
        <v>Claro mais barata</v>
      </c>
      <c r="T226" t="str">
        <f t="shared" ca="1" si="16"/>
        <v/>
      </c>
      <c r="U226" s="9">
        <f t="shared" si="17"/>
        <v>46174</v>
      </c>
      <c r="V226" t="str">
        <f ca="1">IF(OR([1]Planilha1!$B226="",[1]Planilha1!$B226="NÃO MAPEADO"),"",TRIM([1]Planilha1!$B226))</f>
        <v>SUDESTE</v>
      </c>
      <c r="W226" t="str">
        <f ca="1">IF([1]Planilha1!$C226="","",TRIM([1]Planilha1!$C226))</f>
        <v>MD 2</v>
      </c>
      <c r="X226" s="12" t="str">
        <f ca="1">IFERROR(VLOOKUP($C226,[1]Planilha2!$B:$H,7,FALSE),"")</f>
        <v>18400-001</v>
      </c>
    </row>
    <row r="227" spans="1:24" x14ac:dyDescent="0.35">
      <c r="A227" t="str">
        <f ca="1">IF(LEFT(TEXT([1]Planilha1!$L227,"0000000"),1)="5","MS","SP")</f>
        <v>SP</v>
      </c>
      <c r="B227" t="str">
        <f ca="1">IF(RIGHT([1]Planilha1!$A227,5)=" - MS",LEFT([1]Planilha1!$A227,LEN([1]Planilha1!$A227)-5),TRIM([1]Planilha1!$A227))</f>
        <v>ITAPEVA</v>
      </c>
      <c r="C227" s="2">
        <f ca="1">[1]Planilha1!$L227</f>
        <v>3522406</v>
      </c>
      <c r="D227" t="str">
        <f>TRIM([1]Planilha1!$D227)</f>
        <v>ISP LOCAL</v>
      </c>
      <c r="E227" t="str">
        <f>IF(TRIM([1]Planilha1!$D227)="Claro","Claro","Concorrente")</f>
        <v>Concorrente</v>
      </c>
      <c r="F227" t="s">
        <v>42</v>
      </c>
      <c r="G227" t="str">
        <f t="shared" ca="1" si="13"/>
        <v>Banda Larga + Conteudo</v>
      </c>
      <c r="H227" t="str">
        <f ca="1">TRIM([1]Planilha1!$E227)</f>
        <v>ZAAZ - 600M R$99,90</v>
      </c>
      <c r="I227" t="str">
        <f ca="1">IF([1]Planilha1!$F227="","",TRIM([1]Planilha1!$F227))</f>
        <v>Fibra</v>
      </c>
      <c r="J227" s="3">
        <f ca="1">IF([1]Planilha1!$G227="","",[1]Planilha1!$G227)</f>
        <v>600</v>
      </c>
      <c r="K227" s="4" t="str" cm="1">
        <f t="array" aca="1" ref="K227" ca="1">IFERROR(VALUE(_xlfn.REGEXEXTRACT([1]Planilha1!$E227,"\+\s*(\d+)GB",2)),"")</f>
        <v/>
      </c>
      <c r="L227" s="5">
        <f ca="1">IF([1]Planilha1!$H227="","",[1]Planilha1!$H227)</f>
        <v>99.9</v>
      </c>
      <c r="M227" s="5" t="str">
        <f ca="1">IF([1]Planilha1!$I227="","",[1]Planilha1!$I227)</f>
        <v/>
      </c>
      <c r="N227" s="2" t="str" cm="1">
        <f t="array" aca="1" ref="N227" ca="1">IFERROR(VALUE(_xlfn.REGEXEXTRACT([1]Planilha1!$E227,"(\d+)\s*MESES",2)),IFERROR(VALUE(_xlfn.REGEXEXTRACT([1]Planilha1!$E227,"por\s*(\d+)\s*M",2)),IF(_xlfn.REGEXTEST([1]Planilha1!$E227,"1[ºª]"),1,"")))</f>
        <v/>
      </c>
      <c r="O227" s="6">
        <f t="shared" ca="1" si="14"/>
        <v>0.16650000000000001</v>
      </c>
      <c r="P227" t="str">
        <f ca="1">IF([1]Planilha1!$J227="","",TRIM([1]Planilha1!$J227))</f>
        <v>0</v>
      </c>
      <c r="Q227" s="7">
        <f ca="1">IF($D227="Claro","",IFERROR($L227-VLOOKUP($B227&amp;"|Claro",[1]AUX_CLARO!$A:$C,2,FALSE),""))</f>
        <v>-40</v>
      </c>
      <c r="R227" s="8">
        <f ca="1">IF($D227="Claro","",IFERROR($J227-VLOOKUP($B227&amp;"|Claro",[1]AUX_CLARO!$A:$C,3,FALSE),""))</f>
        <v>0</v>
      </c>
      <c r="S227" t="str">
        <f t="shared" ca="1" si="15"/>
        <v>Claro mais cara</v>
      </c>
      <c r="T227" t="str">
        <f t="shared" ca="1" si="16"/>
        <v>Mesma velocidade</v>
      </c>
      <c r="U227" s="9">
        <f t="shared" si="17"/>
        <v>46174</v>
      </c>
      <c r="V227" t="str">
        <f ca="1">IF(OR([1]Planilha1!$B227="",[1]Planilha1!$B227="NÃO MAPEADO"),"",TRIM([1]Planilha1!$B227))</f>
        <v>SUDESTE</v>
      </c>
      <c r="W227" t="str">
        <f ca="1">IF([1]Planilha1!$C227="","",TRIM([1]Planilha1!$C227))</f>
        <v>MD 2</v>
      </c>
      <c r="X227" s="12" t="str">
        <f ca="1">IFERROR(VLOOKUP($C227,[1]Planilha2!$B:$H,7,FALSE),"")</f>
        <v>18400-001</v>
      </c>
    </row>
    <row r="228" spans="1:24" x14ac:dyDescent="0.35">
      <c r="A228" t="str">
        <f ca="1">IF(LEFT(TEXT([1]Planilha1!$L228,"0000000"),1)="5","MS","SP")</f>
        <v>SP</v>
      </c>
      <c r="B228" t="str">
        <f ca="1">IF(RIGHT([1]Planilha1!$A228,5)=" - MS",LEFT([1]Planilha1!$A228,LEN([1]Planilha1!$A228)-5),TRIM([1]Planilha1!$A228))</f>
        <v>ITAPIRA</v>
      </c>
      <c r="C228" s="2">
        <f ca="1">[1]Planilha1!$L228</f>
        <v>3522604</v>
      </c>
      <c r="D228" t="str">
        <f>TRIM([1]Planilha1!$D228)</f>
        <v>Claro</v>
      </c>
      <c r="E228" t="str">
        <f>IF(TRIM([1]Planilha1!$D228)="Claro","Claro","Concorrente")</f>
        <v>Claro</v>
      </c>
      <c r="F228" t="s">
        <v>24</v>
      </c>
      <c r="G228" t="str">
        <f t="shared" ca="1" si="13"/>
        <v>Banda Larga + Movel</v>
      </c>
      <c r="H228" t="str">
        <f ca="1">TRIM([1]Planilha1!$E228)</f>
        <v>600M+100GB=R$109,90 por 6M, após R$139,90</v>
      </c>
      <c r="I228" t="str">
        <f ca="1">IF([1]Planilha1!$F228="","",TRIM([1]Planilha1!$F228))</f>
        <v>Fibra</v>
      </c>
      <c r="J228" s="3">
        <f ca="1">IF([1]Planilha1!$G228="","",[1]Planilha1!$G228)</f>
        <v>600</v>
      </c>
      <c r="K228" s="4" cm="1">
        <f t="array" aca="1" ref="K228" ca="1">IFERROR(VALUE(_xlfn.REGEXEXTRACT([1]Planilha1!$E228,"\+\s*(\d+)GB",2)),"")</f>
        <v>100</v>
      </c>
      <c r="L228" s="5">
        <f ca="1">IF([1]Planilha1!$H228="","",[1]Planilha1!$H228)</f>
        <v>139.9</v>
      </c>
      <c r="M228" s="5">
        <f ca="1">IF([1]Planilha1!$I228="","",[1]Planilha1!$I228)</f>
        <v>109.9</v>
      </c>
      <c r="N228" s="2" cm="1">
        <f t="array" aca="1" ref="N228" ca="1">IFERROR(VALUE(_xlfn.REGEXEXTRACT([1]Planilha1!$E228,"(\d+)\s*MESES",2)),IFERROR(VALUE(_xlfn.REGEXEXTRACT([1]Planilha1!$E228,"por\s*(\d+)\s*M",2)),IF(_xlfn.REGEXTEST([1]Planilha1!$E228,"1[ºª]"),1,"")))</f>
        <v>6</v>
      </c>
      <c r="O228" s="6">
        <f t="shared" ca="1" si="14"/>
        <v>0.23316666666666669</v>
      </c>
      <c r="P228" t="str">
        <f ca="1">IF([1]Planilha1!$J228="","",TRIM([1]Planilha1!$J228))</f>
        <v>GLOBOPLAY</v>
      </c>
      <c r="Q228" s="7" t="str">
        <f>IF($D228="Claro","",IFERROR($L228-VLOOKUP($B228&amp;"|Claro",[1]AUX_CLARO!$A:$C,2,FALSE),""))</f>
        <v/>
      </c>
      <c r="R228" s="8" t="str">
        <f>IF($D228="Claro","",IFERROR($J228-VLOOKUP($B228&amp;"|Claro",[1]AUX_CLARO!$A:$C,3,FALSE),""))</f>
        <v/>
      </c>
      <c r="S228" t="str">
        <f t="shared" si="15"/>
        <v/>
      </c>
      <c r="T228" t="str">
        <f t="shared" si="16"/>
        <v/>
      </c>
      <c r="U228" s="9">
        <f t="shared" si="17"/>
        <v>46174</v>
      </c>
      <c r="V228" t="str">
        <f ca="1">IF(OR([1]Planilha1!$B228="",[1]Planilha1!$B228="NÃO MAPEADO"),"",TRIM([1]Planilha1!$B228))</f>
        <v>SUDESTE</v>
      </c>
      <c r="W228" t="str">
        <f ca="1">IF([1]Planilha1!$C228="","",TRIM([1]Planilha1!$C228))</f>
        <v>MD 2</v>
      </c>
      <c r="X228" s="12" t="str">
        <f ca="1">IFERROR(VLOOKUP($C228,[1]Planilha2!$B:$H,7,FALSE),"")</f>
        <v>13970-001</v>
      </c>
    </row>
    <row r="229" spans="1:24" x14ac:dyDescent="0.35">
      <c r="A229" t="str">
        <f ca="1">IF(LEFT(TEXT([1]Planilha1!$L229,"0000000"),1)="5","MS","SP")</f>
        <v>SP</v>
      </c>
      <c r="B229" t="str">
        <f ca="1">IF(RIGHT([1]Planilha1!$A229,5)=" - MS",LEFT([1]Planilha1!$A229,LEN([1]Planilha1!$A229)-5),TRIM([1]Planilha1!$A229))</f>
        <v>ITAPIRA</v>
      </c>
      <c r="C229" s="2">
        <f ca="1">[1]Planilha1!$L229</f>
        <v>3522604</v>
      </c>
      <c r="D229" t="str">
        <f>TRIM([1]Planilha1!$D229)</f>
        <v>Vivo</v>
      </c>
      <c r="E229" t="str">
        <f>IF(TRIM([1]Planilha1!$D229)="Claro","Claro","Concorrente")</f>
        <v>Concorrente</v>
      </c>
      <c r="F229" t="s">
        <v>25</v>
      </c>
      <c r="G229" t="str">
        <f t="shared" ca="1" si="13"/>
        <v>Banda Larga + Movel</v>
      </c>
      <c r="H229" t="s">
        <v>26</v>
      </c>
      <c r="I229" t="str">
        <f ca="1">IF([1]Planilha1!$F229="","",TRIM([1]Planilha1!$F229))</f>
        <v>Fibra</v>
      </c>
      <c r="J229" s="11" t="s">
        <v>27</v>
      </c>
      <c r="K229" s="4" cm="1">
        <f t="array" aca="1" ref="K229" ca="1">IFERROR(VALUE(_xlfn.REGEXEXTRACT([1]Planilha1!$E229,"\+\s*(\d+)GB",2)),"")</f>
        <v>70</v>
      </c>
      <c r="L229" s="5">
        <v>160</v>
      </c>
      <c r="M229" s="5" t="str">
        <f ca="1">IF([1]Planilha1!$I229="","",[1]Planilha1!$I229)</f>
        <v/>
      </c>
      <c r="N229" s="2" t="str" cm="1">
        <f t="array" aca="1" ref="N229" ca="1">IFERROR(VALUE(_xlfn.REGEXEXTRACT([1]Planilha1!$E229,"(\d+)\s*MESES",2)),IFERROR(VALUE(_xlfn.REGEXEXTRACT([1]Planilha1!$E229,"por\s*(\d+)\s*M",2)),IF(_xlfn.REGEXTEST([1]Planilha1!$E229,"1[ºª]"),1,"")))</f>
        <v/>
      </c>
      <c r="O229" s="6" t="str">
        <f t="shared" si="14"/>
        <v/>
      </c>
      <c r="P229" t="str">
        <f ca="1">IF([1]Planilha1!$J229="","",TRIM([1]Planilha1!$J229))</f>
        <v>0</v>
      </c>
      <c r="Q229" s="7">
        <f ca="1">IF($D229="Claro","",IFERROR($L229-VLOOKUP($B229&amp;"|Claro",[1]AUX_CLARO!$A:$C,2,FALSE),""))</f>
        <v>20.099999999999994</v>
      </c>
      <c r="R229" s="8" t="str">
        <f ca="1">IF($D229="Claro","",IFERROR($J229-VLOOKUP($B229&amp;"|Claro",[1]AUX_CLARO!$A:$C,3,FALSE),""))</f>
        <v/>
      </c>
      <c r="S229" t="str">
        <f t="shared" ca="1" si="15"/>
        <v>Claro mais barata</v>
      </c>
      <c r="T229" t="str">
        <f t="shared" ca="1" si="16"/>
        <v/>
      </c>
      <c r="U229" s="9">
        <f t="shared" si="17"/>
        <v>46174</v>
      </c>
      <c r="V229" t="str">
        <f ca="1">IF(OR([1]Planilha1!$B229="",[1]Planilha1!$B229="NÃO MAPEADO"),"",TRIM([1]Planilha1!$B229))</f>
        <v>SUDESTE</v>
      </c>
      <c r="W229" t="str">
        <f ca="1">IF([1]Planilha1!$C229="","",TRIM([1]Planilha1!$C229))</f>
        <v>MD 2</v>
      </c>
      <c r="X229" s="12" t="str">
        <f ca="1">IFERROR(VLOOKUP($C229,[1]Planilha2!$B:$H,7,FALSE),"")</f>
        <v>13970-001</v>
      </c>
    </row>
    <row r="230" spans="1:24" x14ac:dyDescent="0.35">
      <c r="A230" t="str">
        <f ca="1">IF(LEFT(TEXT([1]Planilha1!$L230,"0000000"),1)="5","MS","SP")</f>
        <v>SP</v>
      </c>
      <c r="B230" t="str">
        <f ca="1">IF(RIGHT([1]Planilha1!$A230,5)=" - MS",LEFT([1]Planilha1!$A230,LEN([1]Planilha1!$A230)-5),TRIM([1]Planilha1!$A230))</f>
        <v>ITAPIRA</v>
      </c>
      <c r="C230" s="2">
        <f ca="1">[1]Planilha1!$L230</f>
        <v>3522604</v>
      </c>
      <c r="D230" t="str">
        <f>TRIM([1]Planilha1!$D230)</f>
        <v>Weclix</v>
      </c>
      <c r="E230" t="str">
        <f>IF(TRIM([1]Planilha1!$D230)="Claro","Claro","Concorrente")</f>
        <v>Concorrente</v>
      </c>
      <c r="F230" t="s">
        <v>34</v>
      </c>
      <c r="G230" t="str">
        <f t="shared" ca="1" si="13"/>
        <v>Banda Larga + Conteudo</v>
      </c>
      <c r="H230" t="str">
        <f ca="1">TRIM([1]Planilha1!$E230)</f>
        <v>1GB R$59,90 - 1ª MENSALIDADE, APÓS R$99,90</v>
      </c>
      <c r="I230" t="str">
        <f ca="1">IF([1]Planilha1!$F230="","",TRIM([1]Planilha1!$F230))</f>
        <v>Fibra</v>
      </c>
      <c r="J230" s="3">
        <f ca="1">IF([1]Planilha1!$G230="","",[1]Planilha1!$G230)</f>
        <v>1000</v>
      </c>
      <c r="K230" s="4" t="str" cm="1">
        <f t="array" aca="1" ref="K230" ca="1">IFERROR(VALUE(_xlfn.REGEXEXTRACT([1]Planilha1!$E230,"\+\s*(\d+)GB",2)),"")</f>
        <v/>
      </c>
      <c r="L230" s="5">
        <f ca="1">IF([1]Planilha1!$H230="","",[1]Planilha1!$H230)</f>
        <v>99.9</v>
      </c>
      <c r="M230" s="5">
        <f ca="1">IF([1]Planilha1!$I230="","",[1]Planilha1!$I230)</f>
        <v>59.9</v>
      </c>
      <c r="N230" s="2" cm="1">
        <f t="array" aca="1" ref="N230" ca="1">IFERROR(VALUE(_xlfn.REGEXEXTRACT([1]Planilha1!$E230,"(\d+)\s*MESES",2)),IFERROR(VALUE(_xlfn.REGEXEXTRACT([1]Planilha1!$E230,"por\s*(\d+)\s*M",2)),IF(_xlfn.REGEXTEST([1]Planilha1!$E230,"1[ºª]"),1,"")))</f>
        <v>1</v>
      </c>
      <c r="O230" s="6">
        <f t="shared" ca="1" si="14"/>
        <v>9.9900000000000003E-2</v>
      </c>
      <c r="P230" t="str">
        <f ca="1">IF([1]Planilha1!$J230="","",TRIM([1]Planilha1!$J230))</f>
        <v>0</v>
      </c>
      <c r="Q230" s="7">
        <f ca="1">IF($D230="Claro","",IFERROR($L230-VLOOKUP($B230&amp;"|Claro",[1]AUX_CLARO!$A:$C,2,FALSE),""))</f>
        <v>-40</v>
      </c>
      <c r="R230" s="8">
        <f ca="1">IF($D230="Claro","",IFERROR($J230-VLOOKUP($B230&amp;"|Claro",[1]AUX_CLARO!$A:$C,3,FALSE),""))</f>
        <v>400</v>
      </c>
      <c r="S230" t="str">
        <f t="shared" ca="1" si="15"/>
        <v>Claro mais cara</v>
      </c>
      <c r="T230" t="str">
        <f t="shared" ca="1" si="16"/>
        <v>Claro com menor velocidade</v>
      </c>
      <c r="U230" s="9">
        <f t="shared" si="17"/>
        <v>46174</v>
      </c>
      <c r="V230" t="str">
        <f ca="1">IF(OR([1]Planilha1!$B230="",[1]Planilha1!$B230="NÃO MAPEADO"),"",TRIM([1]Planilha1!$B230))</f>
        <v>SUDESTE</v>
      </c>
      <c r="W230" t="str">
        <f ca="1">IF([1]Planilha1!$C230="","",TRIM([1]Planilha1!$C230))</f>
        <v>MD 2</v>
      </c>
      <c r="X230" s="12" t="str">
        <f ca="1">IFERROR(VLOOKUP($C230,[1]Planilha2!$B:$H,7,FALSE),"")</f>
        <v>13970-001</v>
      </c>
    </row>
    <row r="231" spans="1:24" x14ac:dyDescent="0.35">
      <c r="A231" t="str">
        <f ca="1">IF(LEFT(TEXT([1]Planilha1!$L231,"0000000"),1)="5","MS","SP")</f>
        <v>SP</v>
      </c>
      <c r="B231" t="str">
        <f ca="1">IF(RIGHT([1]Planilha1!$A231,5)=" - MS",LEFT([1]Planilha1!$A231,LEN([1]Planilha1!$A231)-5),TRIM([1]Planilha1!$A231))</f>
        <v>ITAPIRA</v>
      </c>
      <c r="C231" s="2">
        <f ca="1">[1]Planilha1!$L231</f>
        <v>3522604</v>
      </c>
      <c r="D231" t="str">
        <f>TRIM([1]Planilha1!$D231)</f>
        <v>ISP LOCAL</v>
      </c>
      <c r="E231" t="str">
        <f>IF(TRIM([1]Planilha1!$D231)="Claro","Claro","Concorrente")</f>
        <v>Concorrente</v>
      </c>
      <c r="F231" t="s">
        <v>67</v>
      </c>
      <c r="G231" t="str">
        <f t="shared" ca="1" si="13"/>
        <v>Banda Larga + Conteudo</v>
      </c>
      <c r="H231" t="str">
        <f ca="1">TRIM([1]Planilha1!$E231)</f>
        <v>BS CONECT - 600M R$99,90</v>
      </c>
      <c r="I231" t="str">
        <f ca="1">IF([1]Planilha1!$F231="","",TRIM([1]Planilha1!$F231))</f>
        <v>Fibra</v>
      </c>
      <c r="J231" s="3">
        <f ca="1">IF([1]Planilha1!$G231="","",[1]Planilha1!$G231)</f>
        <v>600</v>
      </c>
      <c r="K231" s="4" t="str" cm="1">
        <f t="array" aca="1" ref="K231" ca="1">IFERROR(VALUE(_xlfn.REGEXEXTRACT([1]Planilha1!$E231,"\+\s*(\d+)GB",2)),"")</f>
        <v/>
      </c>
      <c r="L231" s="5">
        <f ca="1">IF([1]Planilha1!$H231="","",[1]Planilha1!$H231)</f>
        <v>99.9</v>
      </c>
      <c r="M231" s="5" t="str">
        <f ca="1">IF([1]Planilha1!$I231="","",[1]Planilha1!$I231)</f>
        <v/>
      </c>
      <c r="N231" s="2" t="str" cm="1">
        <f t="array" aca="1" ref="N231" ca="1">IFERROR(VALUE(_xlfn.REGEXEXTRACT([1]Planilha1!$E231,"(\d+)\s*MESES",2)),IFERROR(VALUE(_xlfn.REGEXEXTRACT([1]Planilha1!$E231,"por\s*(\d+)\s*M",2)),IF(_xlfn.REGEXTEST([1]Planilha1!$E231,"1[ºª]"),1,"")))</f>
        <v/>
      </c>
      <c r="O231" s="6">
        <f t="shared" ca="1" si="14"/>
        <v>0.16650000000000001</v>
      </c>
      <c r="P231" t="str">
        <f ca="1">IF([1]Planilha1!$J231="","",TRIM([1]Planilha1!$J231))</f>
        <v>0</v>
      </c>
      <c r="Q231" s="7">
        <f ca="1">IF($D231="Claro","",IFERROR($L231-VLOOKUP($B231&amp;"|Claro",[1]AUX_CLARO!$A:$C,2,FALSE),""))</f>
        <v>-40</v>
      </c>
      <c r="R231" s="8">
        <f ca="1">IF($D231="Claro","",IFERROR($J231-VLOOKUP($B231&amp;"|Claro",[1]AUX_CLARO!$A:$C,3,FALSE),""))</f>
        <v>0</v>
      </c>
      <c r="S231" t="str">
        <f t="shared" ca="1" si="15"/>
        <v>Claro mais cara</v>
      </c>
      <c r="T231" t="str">
        <f t="shared" ca="1" si="16"/>
        <v>Mesma velocidade</v>
      </c>
      <c r="U231" s="9">
        <f t="shared" si="17"/>
        <v>46174</v>
      </c>
      <c r="V231" t="str">
        <f ca="1">IF(OR([1]Planilha1!$B231="",[1]Planilha1!$B231="NÃO MAPEADO"),"",TRIM([1]Planilha1!$B231))</f>
        <v>SUDESTE</v>
      </c>
      <c r="W231" t="str">
        <f ca="1">IF([1]Planilha1!$C231="","",TRIM([1]Planilha1!$C231))</f>
        <v>MD 2</v>
      </c>
      <c r="X231" s="12" t="str">
        <f ca="1">IFERROR(VLOOKUP($C231,[1]Planilha2!$B:$H,7,FALSE),"")</f>
        <v>13970-001</v>
      </c>
    </row>
    <row r="232" spans="1:24" x14ac:dyDescent="0.35">
      <c r="A232" t="str">
        <f ca="1">IF(LEFT(TEXT([1]Planilha1!$L232,"0000000"),1)="5","MS","SP")</f>
        <v>SP</v>
      </c>
      <c r="B232" t="str">
        <f ca="1">IF(RIGHT([1]Planilha1!$A232,5)=" - MS",LEFT([1]Planilha1!$A232,LEN([1]Planilha1!$A232)-5),TRIM([1]Planilha1!$A232))</f>
        <v>ITUVERAVA</v>
      </c>
      <c r="C232" s="2">
        <f ca="1">[1]Planilha1!$L232</f>
        <v>3524105</v>
      </c>
      <c r="D232" t="str">
        <f>TRIM([1]Planilha1!$D232)</f>
        <v>Claro</v>
      </c>
      <c r="E232" t="str">
        <f>IF(TRIM([1]Planilha1!$D232)="Claro","Claro","Concorrente")</f>
        <v>Claro</v>
      </c>
      <c r="F232" t="s">
        <v>24</v>
      </c>
      <c r="G232" t="str">
        <f t="shared" ca="1" si="13"/>
        <v>Banda Larga + Movel</v>
      </c>
      <c r="H232" t="str">
        <f ca="1">TRIM([1]Planilha1!$E232)</f>
        <v>600M+100GB=R$109,90 por 6M, após R$139,90</v>
      </c>
      <c r="I232" t="str">
        <f ca="1">IF([1]Planilha1!$F232="","",TRIM([1]Planilha1!$F232))</f>
        <v>Fibra</v>
      </c>
      <c r="J232" s="3">
        <f ca="1">IF([1]Planilha1!$G232="","",[1]Planilha1!$G232)</f>
        <v>600</v>
      </c>
      <c r="K232" s="4" cm="1">
        <f t="array" aca="1" ref="K232" ca="1">IFERROR(VALUE(_xlfn.REGEXEXTRACT([1]Planilha1!$E232,"\+\s*(\d+)GB",2)),"")</f>
        <v>100</v>
      </c>
      <c r="L232" s="5">
        <f ca="1">IF([1]Planilha1!$H232="","",[1]Planilha1!$H232)</f>
        <v>139.9</v>
      </c>
      <c r="M232" s="5">
        <f ca="1">IF([1]Planilha1!$I232="","",[1]Planilha1!$I232)</f>
        <v>109.9</v>
      </c>
      <c r="N232" s="2" cm="1">
        <f t="array" aca="1" ref="N232" ca="1">IFERROR(VALUE(_xlfn.REGEXEXTRACT([1]Planilha1!$E232,"(\d+)\s*MESES",2)),IFERROR(VALUE(_xlfn.REGEXEXTRACT([1]Planilha1!$E232,"por\s*(\d+)\s*M",2)),IF(_xlfn.REGEXTEST([1]Planilha1!$E232,"1[ºª]"),1,"")))</f>
        <v>6</v>
      </c>
      <c r="O232" s="6">
        <f t="shared" ca="1" si="14"/>
        <v>0.23316666666666669</v>
      </c>
      <c r="P232" t="str">
        <f ca="1">IF([1]Planilha1!$J232="","",TRIM([1]Planilha1!$J232))</f>
        <v>GLOBOPLAY</v>
      </c>
      <c r="Q232" s="7" t="str">
        <f>IF($D232="Claro","",IFERROR($L232-VLOOKUP($B232&amp;"|Claro",[1]AUX_CLARO!$A:$C,2,FALSE),""))</f>
        <v/>
      </c>
      <c r="R232" s="8" t="str">
        <f>IF($D232="Claro","",IFERROR($J232-VLOOKUP($B232&amp;"|Claro",[1]AUX_CLARO!$A:$C,3,FALSE),""))</f>
        <v/>
      </c>
      <c r="S232" t="str">
        <f t="shared" si="15"/>
        <v/>
      </c>
      <c r="T232" t="str">
        <f t="shared" si="16"/>
        <v/>
      </c>
      <c r="U232" s="9">
        <f t="shared" si="17"/>
        <v>46174</v>
      </c>
      <c r="V232" t="str">
        <f ca="1">IF(OR([1]Planilha1!$B232="",[1]Planilha1!$B232="NÃO MAPEADO"),"",TRIM([1]Planilha1!$B232))</f>
        <v>NOROESTE</v>
      </c>
      <c r="W232" t="str">
        <f ca="1">IF([1]Planilha1!$C232="","",TRIM([1]Planilha1!$C232))</f>
        <v>MD 2</v>
      </c>
      <c r="X232" t="str">
        <f ca="1">IFERROR(VLOOKUP($C232,[1]Planilha2!$B:$H,7,FALSE),"")</f>
        <v>14500-001</v>
      </c>
    </row>
    <row r="233" spans="1:24" x14ac:dyDescent="0.35">
      <c r="A233" t="str">
        <f ca="1">IF(LEFT(TEXT([1]Planilha1!$L233,"0000000"),1)="5","MS","SP")</f>
        <v>SP</v>
      </c>
      <c r="B233" t="str">
        <f ca="1">IF(RIGHT([1]Planilha1!$A233,5)=" - MS",LEFT([1]Planilha1!$A233,LEN([1]Planilha1!$A233)-5),TRIM([1]Planilha1!$A233))</f>
        <v>ITUVERAVA</v>
      </c>
      <c r="C233" s="2">
        <f ca="1">[1]Planilha1!$L233</f>
        <v>3524105</v>
      </c>
      <c r="D233" t="str">
        <f>TRIM([1]Planilha1!$D233)</f>
        <v>Algar</v>
      </c>
      <c r="E233" t="str">
        <f>IF(TRIM([1]Planilha1!$D233)="Claro","Claro","Concorrente")</f>
        <v>Concorrente</v>
      </c>
      <c r="F233" t="s">
        <v>38</v>
      </c>
      <c r="G233" t="str">
        <f t="shared" ca="1" si="13"/>
        <v>Banda Larga + Conteudo</v>
      </c>
      <c r="H233" t="str">
        <f ca="1">TRIM([1]Planilha1!$E233)</f>
        <v>800M R$99,90</v>
      </c>
      <c r="I233" t="str">
        <f ca="1">IF([1]Planilha1!$F233="","",TRIM([1]Planilha1!$F233))</f>
        <v>Fibra</v>
      </c>
      <c r="J233" s="3">
        <f ca="1">IF([1]Planilha1!$G233="","",[1]Planilha1!$G233)</f>
        <v>800</v>
      </c>
      <c r="K233" s="4" t="str" cm="1">
        <f t="array" aca="1" ref="K233" ca="1">IFERROR(VALUE(_xlfn.REGEXEXTRACT([1]Planilha1!$E233,"\+\s*(\d+)GB",2)),"")</f>
        <v/>
      </c>
      <c r="L233" s="5">
        <f ca="1">IF([1]Planilha1!$H233="","",[1]Planilha1!$H233)</f>
        <v>99.9</v>
      </c>
      <c r="M233" s="5" t="str">
        <f ca="1">IF([1]Planilha1!$I233="","",[1]Planilha1!$I233)</f>
        <v/>
      </c>
      <c r="N233" s="2" t="str" cm="1">
        <f t="array" aca="1" ref="N233" ca="1">IFERROR(VALUE(_xlfn.REGEXEXTRACT([1]Planilha1!$E233,"(\d+)\s*MESES",2)),IFERROR(VALUE(_xlfn.REGEXEXTRACT([1]Planilha1!$E233,"por\s*(\d+)\s*M",2)),IF(_xlfn.REGEXTEST([1]Planilha1!$E233,"1[ºª]"),1,"")))</f>
        <v/>
      </c>
      <c r="O233" s="6">
        <f t="shared" ca="1" si="14"/>
        <v>0.12487500000000001</v>
      </c>
      <c r="P233" t="str">
        <f ca="1">IF([1]Planilha1!$J233="","",TRIM([1]Planilha1!$J233))</f>
        <v>0</v>
      </c>
      <c r="Q233" s="7">
        <f ca="1">IF($D233="Claro","",IFERROR($L233-VLOOKUP($B233&amp;"|Claro",[1]AUX_CLARO!$A:$C,2,FALSE),""))</f>
        <v>-40</v>
      </c>
      <c r="R233" s="8">
        <f ca="1">IF($D233="Claro","",IFERROR($J233-VLOOKUP($B233&amp;"|Claro",[1]AUX_CLARO!$A:$C,3,FALSE),""))</f>
        <v>200</v>
      </c>
      <c r="S233" t="str">
        <f t="shared" ca="1" si="15"/>
        <v>Claro mais cara</v>
      </c>
      <c r="T233" t="str">
        <f t="shared" ca="1" si="16"/>
        <v>Claro com menor velocidade</v>
      </c>
      <c r="U233" s="9">
        <f t="shared" si="17"/>
        <v>46174</v>
      </c>
      <c r="V233" t="str">
        <f ca="1">IF(OR([1]Planilha1!$B233="",[1]Planilha1!$B233="NÃO MAPEADO"),"",TRIM([1]Planilha1!$B233))</f>
        <v>NOROESTE</v>
      </c>
      <c r="W233" t="str">
        <f ca="1">IF([1]Planilha1!$C233="","",TRIM([1]Planilha1!$C233))</f>
        <v>MD 2</v>
      </c>
      <c r="X233" t="str">
        <f ca="1">IFERROR(VLOOKUP($C233,[1]Planilha2!$B:$H,7,FALSE),"")</f>
        <v>14500-001</v>
      </c>
    </row>
    <row r="234" spans="1:24" x14ac:dyDescent="0.35">
      <c r="A234" t="str">
        <f ca="1">IF(LEFT(TEXT([1]Planilha1!$L234,"0000000"),1)="5","MS","SP")</f>
        <v>SP</v>
      </c>
      <c r="B234" t="str">
        <f ca="1">IF(RIGHT([1]Planilha1!$A234,5)=" - MS",LEFT([1]Planilha1!$A234,LEN([1]Planilha1!$A234)-5),TRIM([1]Planilha1!$A234))</f>
        <v>ITUVERAVA</v>
      </c>
      <c r="C234" s="2">
        <f ca="1">[1]Planilha1!$L234</f>
        <v>3524105</v>
      </c>
      <c r="D234" t="str">
        <f>TRIM([1]Planilha1!$D234)</f>
        <v>ISP LOCAL</v>
      </c>
      <c r="E234" t="str">
        <f>IF(TRIM([1]Planilha1!$D234)="Claro","Claro","Concorrente")</f>
        <v>Concorrente</v>
      </c>
      <c r="F234" t="s">
        <v>68</v>
      </c>
      <c r="G234" t="str">
        <f t="shared" ca="1" si="13"/>
        <v>Banda Larga + Conteudo</v>
      </c>
      <c r="H234" t="str">
        <f ca="1">TRIM([1]Planilha1!$E234)</f>
        <v>WEB ROUTE - 600M R$99,90</v>
      </c>
      <c r="I234" t="str">
        <f ca="1">IF([1]Planilha1!$F234="","",TRIM([1]Planilha1!$F234))</f>
        <v>Fibra</v>
      </c>
      <c r="J234" s="3">
        <f ca="1">IF([1]Planilha1!$G234="","",[1]Planilha1!$G234)</f>
        <v>600</v>
      </c>
      <c r="K234" s="4" t="str" cm="1">
        <f t="array" aca="1" ref="K234" ca="1">IFERROR(VALUE(_xlfn.REGEXEXTRACT([1]Planilha1!$E234,"\+\s*(\d+)GB",2)),"")</f>
        <v/>
      </c>
      <c r="L234" s="5">
        <f ca="1">IF([1]Planilha1!$H234="","",[1]Planilha1!$H234)</f>
        <v>99.9</v>
      </c>
      <c r="M234" s="5" t="str">
        <f ca="1">IF([1]Planilha1!$I234="","",[1]Planilha1!$I234)</f>
        <v/>
      </c>
      <c r="N234" s="2" t="str" cm="1">
        <f t="array" aca="1" ref="N234" ca="1">IFERROR(VALUE(_xlfn.REGEXEXTRACT([1]Planilha1!$E234,"(\d+)\s*MESES",2)),IFERROR(VALUE(_xlfn.REGEXEXTRACT([1]Planilha1!$E234,"por\s*(\d+)\s*M",2)),IF(_xlfn.REGEXTEST([1]Planilha1!$E234,"1[ºª]"),1,"")))</f>
        <v/>
      </c>
      <c r="O234" s="6">
        <f t="shared" ca="1" si="14"/>
        <v>0.16650000000000001</v>
      </c>
      <c r="P234" t="str">
        <f ca="1">IF([1]Planilha1!$J234="","",TRIM([1]Planilha1!$J234))</f>
        <v>0</v>
      </c>
      <c r="Q234" s="7">
        <f ca="1">IF($D234="Claro","",IFERROR($L234-VLOOKUP($B234&amp;"|Claro",[1]AUX_CLARO!$A:$C,2,FALSE),""))</f>
        <v>-40</v>
      </c>
      <c r="R234" s="8">
        <f ca="1">IF($D234="Claro","",IFERROR($J234-VLOOKUP($B234&amp;"|Claro",[1]AUX_CLARO!$A:$C,3,FALSE),""))</f>
        <v>0</v>
      </c>
      <c r="S234" t="str">
        <f t="shared" ca="1" si="15"/>
        <v>Claro mais cara</v>
      </c>
      <c r="T234" t="str">
        <f t="shared" ca="1" si="16"/>
        <v>Mesma velocidade</v>
      </c>
      <c r="U234" s="9">
        <f t="shared" si="17"/>
        <v>46174</v>
      </c>
      <c r="V234" t="str">
        <f ca="1">IF(OR([1]Planilha1!$B234="",[1]Planilha1!$B234="NÃO MAPEADO"),"",TRIM([1]Planilha1!$B234))</f>
        <v>NOROESTE</v>
      </c>
      <c r="W234" t="str">
        <f ca="1">IF([1]Planilha1!$C234="","",TRIM([1]Planilha1!$C234))</f>
        <v>MD 2</v>
      </c>
      <c r="X234" t="str">
        <f ca="1">IFERROR(VLOOKUP($C234,[1]Planilha2!$B:$H,7,FALSE),"")</f>
        <v>14500-001</v>
      </c>
    </row>
    <row r="235" spans="1:24" x14ac:dyDescent="0.35">
      <c r="A235" t="str">
        <f ca="1">IF(LEFT(TEXT([1]Planilha1!$L235,"0000000"),1)="5","MS","SP")</f>
        <v>SP</v>
      </c>
      <c r="B235" t="str">
        <f ca="1">IF(RIGHT([1]Planilha1!$A235,5)=" - MS",LEFT([1]Planilha1!$A235,LEN([1]Planilha1!$A235)-5),TRIM([1]Planilha1!$A235))</f>
        <v>JABOTICABAL</v>
      </c>
      <c r="C235" s="2">
        <f ca="1">[1]Planilha1!$L235</f>
        <v>3524303</v>
      </c>
      <c r="D235" t="str">
        <f>TRIM([1]Planilha1!$D235)</f>
        <v>Claro</v>
      </c>
      <c r="E235" t="str">
        <f>IF(TRIM([1]Planilha1!$D235)="Claro","Claro","Concorrente")</f>
        <v>Claro</v>
      </c>
      <c r="F235" t="s">
        <v>24</v>
      </c>
      <c r="G235" t="str">
        <f t="shared" ca="1" si="13"/>
        <v>Banda Larga + Movel</v>
      </c>
      <c r="H235" t="str">
        <f ca="1">TRIM([1]Planilha1!$E235)</f>
        <v>600M+100GB=R$109,90 por 6M, após R$139,90</v>
      </c>
      <c r="I235" t="str">
        <f ca="1">IF([1]Planilha1!$F235="","",TRIM([1]Planilha1!$F235))</f>
        <v>Fibra</v>
      </c>
      <c r="J235" s="3">
        <f ca="1">IF([1]Planilha1!$G235="","",[1]Planilha1!$G235)</f>
        <v>600</v>
      </c>
      <c r="K235" s="4" cm="1">
        <f t="array" aca="1" ref="K235" ca="1">IFERROR(VALUE(_xlfn.REGEXEXTRACT([1]Planilha1!$E235,"\+\s*(\d+)GB",2)),"")</f>
        <v>100</v>
      </c>
      <c r="L235" s="5">
        <f ca="1">IF([1]Planilha1!$H235="","",[1]Planilha1!$H235)</f>
        <v>139.9</v>
      </c>
      <c r="M235" s="5">
        <f ca="1">IF([1]Planilha1!$I235="","",[1]Planilha1!$I235)</f>
        <v>109.9</v>
      </c>
      <c r="N235" s="2" cm="1">
        <f t="array" aca="1" ref="N235" ca="1">IFERROR(VALUE(_xlfn.REGEXEXTRACT([1]Planilha1!$E235,"(\d+)\s*MESES",2)),IFERROR(VALUE(_xlfn.REGEXEXTRACT([1]Planilha1!$E235,"por\s*(\d+)\s*M",2)),IF(_xlfn.REGEXTEST([1]Planilha1!$E235,"1[ºª]"),1,"")))</f>
        <v>6</v>
      </c>
      <c r="O235" s="6">
        <f t="shared" ca="1" si="14"/>
        <v>0.23316666666666669</v>
      </c>
      <c r="P235" t="str">
        <f ca="1">IF([1]Planilha1!$J235="","",TRIM([1]Planilha1!$J235))</f>
        <v>GLOBOPLAY</v>
      </c>
      <c r="Q235" s="7" t="str">
        <f>IF($D235="Claro","",IFERROR($L235-VLOOKUP($B235&amp;"|Claro",[1]AUX_CLARO!$A:$C,2,FALSE),""))</f>
        <v/>
      </c>
      <c r="R235" s="8" t="str">
        <f>IF($D235="Claro","",IFERROR($J235-VLOOKUP($B235&amp;"|Claro",[1]AUX_CLARO!$A:$C,3,FALSE),""))</f>
        <v/>
      </c>
      <c r="S235" t="str">
        <f t="shared" si="15"/>
        <v/>
      </c>
      <c r="T235" t="str">
        <f t="shared" si="16"/>
        <v/>
      </c>
      <c r="U235" s="9">
        <f t="shared" si="17"/>
        <v>46174</v>
      </c>
      <c r="V235" t="str">
        <f ca="1">IF(OR([1]Planilha1!$B235="",[1]Planilha1!$B235="NÃO MAPEADO"),"",TRIM([1]Planilha1!$B235))</f>
        <v>NOROESTE</v>
      </c>
      <c r="W235" t="str">
        <f ca="1">IF([1]Planilha1!$C235="","",TRIM([1]Planilha1!$C235))</f>
        <v>MD 2</v>
      </c>
      <c r="X235" t="str">
        <f ca="1">IFERROR(VLOOKUP($C235,[1]Planilha2!$B:$H,7,FALSE),"")</f>
        <v>14870-001</v>
      </c>
    </row>
    <row r="236" spans="1:24" x14ac:dyDescent="0.35">
      <c r="A236" t="str">
        <f ca="1">IF(LEFT(TEXT([1]Planilha1!$L236,"0000000"),1)="5","MS","SP")</f>
        <v>SP</v>
      </c>
      <c r="B236" t="str">
        <f ca="1">IF(RIGHT([1]Planilha1!$A236,5)=" - MS",LEFT([1]Planilha1!$A236,LEN([1]Planilha1!$A236)-5),TRIM([1]Planilha1!$A236))</f>
        <v>JABOTICABAL</v>
      </c>
      <c r="C236" s="2">
        <f ca="1">[1]Planilha1!$L236</f>
        <v>3524303</v>
      </c>
      <c r="D236" t="str">
        <f>TRIM([1]Planilha1!$D236)</f>
        <v>Vivo</v>
      </c>
      <c r="E236" t="str">
        <f>IF(TRIM([1]Planilha1!$D236)="Claro","Claro","Concorrente")</f>
        <v>Concorrente</v>
      </c>
      <c r="F236" t="s">
        <v>25</v>
      </c>
      <c r="G236" t="str">
        <f t="shared" ca="1" si="13"/>
        <v>Banda Larga + Movel</v>
      </c>
      <c r="H236" t="s">
        <v>26</v>
      </c>
      <c r="I236" t="str">
        <f ca="1">IF([1]Planilha1!$F236="","",TRIM([1]Planilha1!$F236))</f>
        <v>Fibra</v>
      </c>
      <c r="J236" s="11" t="s">
        <v>27</v>
      </c>
      <c r="K236" s="4" cm="1">
        <f t="array" aca="1" ref="K236" ca="1">IFERROR(VALUE(_xlfn.REGEXEXTRACT([1]Planilha1!$E236,"\+\s*(\d+)GB",2)),"")</f>
        <v>70</v>
      </c>
      <c r="L236" s="5">
        <v>160</v>
      </c>
      <c r="M236" s="5" t="str">
        <f ca="1">IF([1]Planilha1!$I236="","",[1]Planilha1!$I236)</f>
        <v/>
      </c>
      <c r="N236" s="2" t="str" cm="1">
        <f t="array" aca="1" ref="N236" ca="1">IFERROR(VALUE(_xlfn.REGEXEXTRACT([1]Planilha1!$E236,"(\d+)\s*MESES",2)),IFERROR(VALUE(_xlfn.REGEXEXTRACT([1]Planilha1!$E236,"por\s*(\d+)\s*M",2)),IF(_xlfn.REGEXTEST([1]Planilha1!$E236,"1[ºª]"),1,"")))</f>
        <v/>
      </c>
      <c r="O236" s="6" t="str">
        <f t="shared" si="14"/>
        <v/>
      </c>
      <c r="P236" t="str">
        <f ca="1">IF([1]Planilha1!$J236="","",TRIM([1]Planilha1!$J236))</f>
        <v>0</v>
      </c>
      <c r="Q236" s="7">
        <f ca="1">IF($D236="Claro","",IFERROR($L236-VLOOKUP($B236&amp;"|Claro",[1]AUX_CLARO!$A:$C,2,FALSE),""))</f>
        <v>20.099999999999994</v>
      </c>
      <c r="R236" s="8" t="str">
        <f ca="1">IF($D236="Claro","",IFERROR($J236-VLOOKUP($B236&amp;"|Claro",[1]AUX_CLARO!$A:$C,3,FALSE),""))</f>
        <v/>
      </c>
      <c r="S236" t="str">
        <f t="shared" ca="1" si="15"/>
        <v>Claro mais barata</v>
      </c>
      <c r="T236" t="str">
        <f t="shared" ca="1" si="16"/>
        <v/>
      </c>
      <c r="U236" s="9">
        <f t="shared" si="17"/>
        <v>46174</v>
      </c>
      <c r="V236" t="str">
        <f ca="1">IF(OR([1]Planilha1!$B236="",[1]Planilha1!$B236="NÃO MAPEADO"),"",TRIM([1]Planilha1!$B236))</f>
        <v>NOROESTE</v>
      </c>
      <c r="W236" t="str">
        <f ca="1">IF([1]Planilha1!$C236="","",TRIM([1]Planilha1!$C236))</f>
        <v>MD 2</v>
      </c>
      <c r="X236" t="str">
        <f ca="1">IFERROR(VLOOKUP($C236,[1]Planilha2!$B:$H,7,FALSE),"")</f>
        <v>14870-001</v>
      </c>
    </row>
    <row r="237" spans="1:24" x14ac:dyDescent="0.35">
      <c r="A237" t="str">
        <f ca="1">IF(LEFT(TEXT([1]Planilha1!$L237,"0000000"),1)="5","MS","SP")</f>
        <v>SP</v>
      </c>
      <c r="B237" t="str">
        <f ca="1">IF(RIGHT([1]Planilha1!$A237,5)=" - MS",LEFT([1]Planilha1!$A237,LEN([1]Planilha1!$A237)-5),TRIM([1]Planilha1!$A237))</f>
        <v>JABOTICABAL</v>
      </c>
      <c r="C237" s="2">
        <f ca="1">[1]Planilha1!$L237</f>
        <v>3524303</v>
      </c>
      <c r="D237" t="str">
        <f>TRIM([1]Planilha1!$D237)</f>
        <v>Desktop</v>
      </c>
      <c r="E237" t="str">
        <f>IF(TRIM([1]Planilha1!$D237)="Claro","Claro","Concorrente")</f>
        <v>Concorrente</v>
      </c>
      <c r="F237" t="s">
        <v>29</v>
      </c>
      <c r="G237" t="str">
        <f t="shared" ca="1" si="13"/>
        <v>Banda Larga + Movel</v>
      </c>
      <c r="H237" t="str">
        <f ca="1">TRIM([1]Planilha1!$E237)</f>
        <v>600M+15GB=R$129,99 - 6 MESES, APÓS R$139,99</v>
      </c>
      <c r="I237" t="str">
        <f ca="1">IF([1]Planilha1!$F237="","",TRIM([1]Planilha1!$F237))</f>
        <v>Fibra</v>
      </c>
      <c r="J237" s="3">
        <f ca="1">IF([1]Planilha1!$G237="","",[1]Planilha1!$G237)</f>
        <v>600</v>
      </c>
      <c r="K237" s="4" cm="1">
        <f t="array" aca="1" ref="K237" ca="1">IFERROR(VALUE(_xlfn.REGEXEXTRACT([1]Planilha1!$E237,"\+\s*(\d+)GB",2)),"")</f>
        <v>15</v>
      </c>
      <c r="L237" s="5">
        <f ca="1">IF([1]Planilha1!$H237="","",[1]Planilha1!$H237)</f>
        <v>139.99</v>
      </c>
      <c r="M237" s="5">
        <f ca="1">IF([1]Planilha1!$I237="","",[1]Planilha1!$I237)</f>
        <v>129.99</v>
      </c>
      <c r="N237" s="2" cm="1">
        <f t="array" aca="1" ref="N237" ca="1">IFERROR(VALUE(_xlfn.REGEXEXTRACT([1]Planilha1!$E237,"(\d+)\s*MESES",2)),IFERROR(VALUE(_xlfn.REGEXEXTRACT([1]Planilha1!$E237,"por\s*(\d+)\s*M",2)),IF(_xlfn.REGEXTEST([1]Planilha1!$E237,"1[ºª]"),1,"")))</f>
        <v>6</v>
      </c>
      <c r="O237" s="6">
        <f t="shared" ca="1" si="14"/>
        <v>0.23331666666666667</v>
      </c>
      <c r="P237" t="str">
        <f ca="1">IF([1]Planilha1!$J237="","",TRIM([1]Planilha1!$J237))</f>
        <v>0</v>
      </c>
      <c r="Q237" s="7">
        <f ca="1">IF($D237="Claro","",IFERROR($L237-VLOOKUP($B237&amp;"|Claro",[1]AUX_CLARO!$A:$C,2,FALSE),""))</f>
        <v>9.0000000000003411E-2</v>
      </c>
      <c r="R237" s="8">
        <f ca="1">IF($D237="Claro","",IFERROR($J237-VLOOKUP($B237&amp;"|Claro",[1]AUX_CLARO!$A:$C,3,FALSE),""))</f>
        <v>0</v>
      </c>
      <c r="S237" t="str">
        <f t="shared" ca="1" si="15"/>
        <v>Claro mais barata</v>
      </c>
      <c r="T237" t="str">
        <f t="shared" ca="1" si="16"/>
        <v>Mesma velocidade</v>
      </c>
      <c r="U237" s="9">
        <f t="shared" si="17"/>
        <v>46174</v>
      </c>
      <c r="V237" t="str">
        <f ca="1">IF(OR([1]Planilha1!$B237="",[1]Planilha1!$B237="NÃO MAPEADO"),"",TRIM([1]Planilha1!$B237))</f>
        <v>NOROESTE</v>
      </c>
      <c r="W237" t="str">
        <f ca="1">IF([1]Planilha1!$C237="","",TRIM([1]Planilha1!$C237))</f>
        <v>MD 2</v>
      </c>
      <c r="X237" t="str">
        <f ca="1">IFERROR(VLOOKUP($C237,[1]Planilha2!$B:$H,7,FALSE),"")</f>
        <v>14870-001</v>
      </c>
    </row>
    <row r="238" spans="1:24" x14ac:dyDescent="0.35">
      <c r="A238" t="str">
        <f ca="1">IF(LEFT(TEXT([1]Planilha1!$L238,"0000000"),1)="5","MS","SP")</f>
        <v>SP</v>
      </c>
      <c r="B238" t="str">
        <f ca="1">IF(RIGHT([1]Planilha1!$A238,5)=" - MS",LEFT([1]Planilha1!$A238,LEN([1]Planilha1!$A238)-5),TRIM([1]Planilha1!$A238))</f>
        <v>JABOTICABAL</v>
      </c>
      <c r="C238" s="2">
        <f ca="1">[1]Planilha1!$L238</f>
        <v>3524303</v>
      </c>
      <c r="D238" t="str">
        <f>TRIM([1]Planilha1!$D238)</f>
        <v>Algar</v>
      </c>
      <c r="E238" t="str">
        <f>IF(TRIM([1]Planilha1!$D238)="Claro","Claro","Concorrente")</f>
        <v>Concorrente</v>
      </c>
      <c r="F238" t="s">
        <v>38</v>
      </c>
      <c r="G238" t="str">
        <f t="shared" ca="1" si="13"/>
        <v>Banda Larga + Conteudo</v>
      </c>
      <c r="H238" t="str">
        <f ca="1">TRIM([1]Planilha1!$E238)</f>
        <v>800M R$99,90</v>
      </c>
      <c r="I238" t="str">
        <f ca="1">IF([1]Planilha1!$F238="","",TRIM([1]Planilha1!$F238))</f>
        <v>Fibra</v>
      </c>
      <c r="J238" s="3">
        <f ca="1">IF([1]Planilha1!$G238="","",[1]Planilha1!$G238)</f>
        <v>800</v>
      </c>
      <c r="K238" s="4" t="str" cm="1">
        <f t="array" aca="1" ref="K238" ca="1">IFERROR(VALUE(_xlfn.REGEXEXTRACT([1]Planilha1!$E238,"\+\s*(\d+)GB",2)),"")</f>
        <v/>
      </c>
      <c r="L238" s="5">
        <f ca="1">IF([1]Planilha1!$H238="","",[1]Planilha1!$H238)</f>
        <v>99.9</v>
      </c>
      <c r="M238" s="5" t="str">
        <f ca="1">IF([1]Planilha1!$I238="","",[1]Planilha1!$I238)</f>
        <v/>
      </c>
      <c r="N238" s="2" t="str" cm="1">
        <f t="array" aca="1" ref="N238" ca="1">IFERROR(VALUE(_xlfn.REGEXEXTRACT([1]Planilha1!$E238,"(\d+)\s*MESES",2)),IFERROR(VALUE(_xlfn.REGEXEXTRACT([1]Planilha1!$E238,"por\s*(\d+)\s*M",2)),IF(_xlfn.REGEXTEST([1]Planilha1!$E238,"1[ºª]"),1,"")))</f>
        <v/>
      </c>
      <c r="O238" s="6">
        <f t="shared" ca="1" si="14"/>
        <v>0.12487500000000001</v>
      </c>
      <c r="P238" t="str">
        <f ca="1">IF([1]Planilha1!$J238="","",TRIM([1]Planilha1!$J238))</f>
        <v>0</v>
      </c>
      <c r="Q238" s="7">
        <f ca="1">IF($D238="Claro","",IFERROR($L238-VLOOKUP($B238&amp;"|Claro",[1]AUX_CLARO!$A:$C,2,FALSE),""))</f>
        <v>-40</v>
      </c>
      <c r="R238" s="8">
        <f ca="1">IF($D238="Claro","",IFERROR($J238-VLOOKUP($B238&amp;"|Claro",[1]AUX_CLARO!$A:$C,3,FALSE),""))</f>
        <v>200</v>
      </c>
      <c r="S238" t="str">
        <f t="shared" ca="1" si="15"/>
        <v>Claro mais cara</v>
      </c>
      <c r="T238" t="str">
        <f t="shared" ca="1" si="16"/>
        <v>Claro com menor velocidade</v>
      </c>
      <c r="U238" s="9">
        <f t="shared" si="17"/>
        <v>46174</v>
      </c>
      <c r="V238" t="str">
        <f ca="1">IF(OR([1]Planilha1!$B238="",[1]Planilha1!$B238="NÃO MAPEADO"),"",TRIM([1]Planilha1!$B238))</f>
        <v>NOROESTE</v>
      </c>
      <c r="W238" t="str">
        <f ca="1">IF([1]Planilha1!$C238="","",TRIM([1]Planilha1!$C238))</f>
        <v>MD 2</v>
      </c>
      <c r="X238" t="str">
        <f ca="1">IFERROR(VLOOKUP($C238,[1]Planilha2!$B:$H,7,FALSE),"")</f>
        <v>14870-001</v>
      </c>
    </row>
    <row r="239" spans="1:24" x14ac:dyDescent="0.35">
      <c r="A239" t="str">
        <f ca="1">IF(LEFT(TEXT([1]Planilha1!$L239,"0000000"),1)="5","MS","SP")</f>
        <v>SP</v>
      </c>
      <c r="B239" t="str">
        <f ca="1">IF(RIGHT([1]Planilha1!$A239,5)=" - MS",LEFT([1]Planilha1!$A239,LEN([1]Planilha1!$A239)-5),TRIM([1]Planilha1!$A239))</f>
        <v>JABOTICABAL</v>
      </c>
      <c r="C239" s="2">
        <f ca="1">[1]Planilha1!$L239</f>
        <v>3524303</v>
      </c>
      <c r="D239" t="str">
        <f>TRIM([1]Planilha1!$D239)</f>
        <v>Weclix</v>
      </c>
      <c r="E239" t="str">
        <f>IF(TRIM([1]Planilha1!$D239)="Claro","Claro","Concorrente")</f>
        <v>Concorrente</v>
      </c>
      <c r="F239" t="s">
        <v>34</v>
      </c>
      <c r="G239" t="str">
        <f t="shared" ca="1" si="13"/>
        <v>Banda Larga + Conteudo</v>
      </c>
      <c r="H239" t="str">
        <f ca="1">TRIM([1]Planilha1!$E239)</f>
        <v>1GB R$59,90 - 1ª MENSALIDADE, APÓS R$99,90</v>
      </c>
      <c r="I239" t="str">
        <f ca="1">IF([1]Planilha1!$F239="","",TRIM([1]Planilha1!$F239))</f>
        <v>Fibra</v>
      </c>
      <c r="J239" s="3">
        <f ca="1">IF([1]Planilha1!$G239="","",[1]Planilha1!$G239)</f>
        <v>1000</v>
      </c>
      <c r="K239" s="4" t="str" cm="1">
        <f t="array" aca="1" ref="K239" ca="1">IFERROR(VALUE(_xlfn.REGEXEXTRACT([1]Planilha1!$E239,"\+\s*(\d+)GB",2)),"")</f>
        <v/>
      </c>
      <c r="L239" s="5">
        <f ca="1">IF([1]Planilha1!$H239="","",[1]Planilha1!$H239)</f>
        <v>99.9</v>
      </c>
      <c r="M239" s="5">
        <f ca="1">IF([1]Planilha1!$I239="","",[1]Planilha1!$I239)</f>
        <v>59.9</v>
      </c>
      <c r="N239" s="2" cm="1">
        <f t="array" aca="1" ref="N239" ca="1">IFERROR(VALUE(_xlfn.REGEXEXTRACT([1]Planilha1!$E239,"(\d+)\s*MESES",2)),IFERROR(VALUE(_xlfn.REGEXEXTRACT([1]Planilha1!$E239,"por\s*(\d+)\s*M",2)),IF(_xlfn.REGEXTEST([1]Planilha1!$E239,"1[ºª]"),1,"")))</f>
        <v>1</v>
      </c>
      <c r="O239" s="6">
        <f t="shared" ca="1" si="14"/>
        <v>9.9900000000000003E-2</v>
      </c>
      <c r="P239" t="str">
        <f ca="1">IF([1]Planilha1!$J239="","",TRIM([1]Planilha1!$J239))</f>
        <v>0</v>
      </c>
      <c r="Q239" s="7">
        <f ca="1">IF($D239="Claro","",IFERROR($L239-VLOOKUP($B239&amp;"|Claro",[1]AUX_CLARO!$A:$C,2,FALSE),""))</f>
        <v>-40</v>
      </c>
      <c r="R239" s="8">
        <f ca="1">IF($D239="Claro","",IFERROR($J239-VLOOKUP($B239&amp;"|Claro",[1]AUX_CLARO!$A:$C,3,FALSE),""))</f>
        <v>400</v>
      </c>
      <c r="S239" t="str">
        <f t="shared" ca="1" si="15"/>
        <v>Claro mais cara</v>
      </c>
      <c r="T239" t="str">
        <f t="shared" ca="1" si="16"/>
        <v>Claro com menor velocidade</v>
      </c>
      <c r="U239" s="9">
        <f t="shared" si="17"/>
        <v>46174</v>
      </c>
      <c r="V239" t="str">
        <f ca="1">IF(OR([1]Planilha1!$B239="",[1]Planilha1!$B239="NÃO MAPEADO"),"",TRIM([1]Planilha1!$B239))</f>
        <v>NOROESTE</v>
      </c>
      <c r="W239" t="str">
        <f ca="1">IF([1]Planilha1!$C239="","",TRIM([1]Planilha1!$C239))</f>
        <v>MD 2</v>
      </c>
      <c r="X239" t="str">
        <f ca="1">IFERROR(VLOOKUP($C239,[1]Planilha2!$B:$H,7,FALSE),"")</f>
        <v>14870-001</v>
      </c>
    </row>
    <row r="240" spans="1:24" x14ac:dyDescent="0.35">
      <c r="A240" t="str">
        <f ca="1">IF(LEFT(TEXT([1]Planilha1!$L240,"0000000"),1)="5","MS","SP")</f>
        <v>SP</v>
      </c>
      <c r="B240" t="str">
        <f ca="1">IF(RIGHT([1]Planilha1!$A240,5)=" - MS",LEFT([1]Planilha1!$A240,LEN([1]Planilha1!$A240)-5),TRIM([1]Planilha1!$A240))</f>
        <v>JABOTICABAL</v>
      </c>
      <c r="C240" s="2">
        <f ca="1">[1]Planilha1!$L240</f>
        <v>3524303</v>
      </c>
      <c r="D240" t="str">
        <f>TRIM([1]Planilha1!$D240)</f>
        <v>ISP LOCAL</v>
      </c>
      <c r="E240" t="str">
        <f>IF(TRIM([1]Planilha1!$D240)="Claro","Claro","Concorrente")</f>
        <v>Concorrente</v>
      </c>
      <c r="F240" t="s">
        <v>45</v>
      </c>
      <c r="G240" t="str">
        <f t="shared" ca="1" si="13"/>
        <v>Banda Larga + Conteudo</v>
      </c>
      <c r="H240" t="str">
        <f ca="1">TRIM([1]Planilha1!$E240)</f>
        <v>ALCANS - 1GB R$109,00</v>
      </c>
      <c r="I240" t="str">
        <f ca="1">IF([1]Planilha1!$F240="","",TRIM([1]Planilha1!$F240))</f>
        <v>Fibra</v>
      </c>
      <c r="J240" s="3">
        <f ca="1">IF([1]Planilha1!$G240="","",[1]Planilha1!$G240)</f>
        <v>1000</v>
      </c>
      <c r="K240" s="4" t="str" cm="1">
        <f t="array" aca="1" ref="K240" ca="1">IFERROR(VALUE(_xlfn.REGEXEXTRACT([1]Planilha1!$E240,"\+\s*(\d+)GB",2)),"")</f>
        <v/>
      </c>
      <c r="L240" s="5">
        <f ca="1">IF([1]Planilha1!$H240="","",[1]Planilha1!$H240)</f>
        <v>109</v>
      </c>
      <c r="M240" s="5" t="str">
        <f ca="1">IF([1]Planilha1!$I240="","",[1]Planilha1!$I240)</f>
        <v/>
      </c>
      <c r="N240" s="2" t="str" cm="1">
        <f t="array" aca="1" ref="N240" ca="1">IFERROR(VALUE(_xlfn.REGEXEXTRACT([1]Planilha1!$E240,"(\d+)\s*MESES",2)),IFERROR(VALUE(_xlfn.REGEXEXTRACT([1]Planilha1!$E240,"por\s*(\d+)\s*M",2)),IF(_xlfn.REGEXTEST([1]Planilha1!$E240,"1[ºª]"),1,"")))</f>
        <v/>
      </c>
      <c r="O240" s="6">
        <f t="shared" ca="1" si="14"/>
        <v>0.109</v>
      </c>
      <c r="P240" t="str">
        <f ca="1">IF([1]Planilha1!$J240="","",TRIM([1]Planilha1!$J240))</f>
        <v>0</v>
      </c>
      <c r="Q240" s="7">
        <f ca="1">IF($D240="Claro","",IFERROR($L240-VLOOKUP($B240&amp;"|Claro",[1]AUX_CLARO!$A:$C,2,FALSE),""))</f>
        <v>-30.900000000000006</v>
      </c>
      <c r="R240" s="8">
        <f ca="1">IF($D240="Claro","",IFERROR($J240-VLOOKUP($B240&amp;"|Claro",[1]AUX_CLARO!$A:$C,3,FALSE),""))</f>
        <v>400</v>
      </c>
      <c r="S240" t="str">
        <f t="shared" ca="1" si="15"/>
        <v>Claro mais cara</v>
      </c>
      <c r="T240" t="str">
        <f t="shared" ca="1" si="16"/>
        <v>Claro com menor velocidade</v>
      </c>
      <c r="U240" s="9">
        <f t="shared" si="17"/>
        <v>46174</v>
      </c>
      <c r="V240" t="str">
        <f ca="1">IF(OR([1]Planilha1!$B240="",[1]Planilha1!$B240="NÃO MAPEADO"),"",TRIM([1]Planilha1!$B240))</f>
        <v>NOROESTE</v>
      </c>
      <c r="W240" t="str">
        <f ca="1">IF([1]Planilha1!$C240="","",TRIM([1]Planilha1!$C240))</f>
        <v>MD 2</v>
      </c>
      <c r="X240" t="str">
        <f ca="1">IFERROR(VLOOKUP($C240,[1]Planilha2!$B:$H,7,FALSE),"")</f>
        <v>14870-001</v>
      </c>
    </row>
    <row r="241" spans="1:24" x14ac:dyDescent="0.35">
      <c r="A241" t="str">
        <f ca="1">IF(LEFT(TEXT([1]Planilha1!$L241,"0000000"),1)="5","MS","SP")</f>
        <v>SP</v>
      </c>
      <c r="B241" t="str">
        <f ca="1">IF(RIGHT([1]Planilha1!$A241,5)=" - MS",LEFT([1]Planilha1!$A241,LEN([1]Planilha1!$A241)-5),TRIM([1]Planilha1!$A241))</f>
        <v>JACAREI</v>
      </c>
      <c r="C241" s="2">
        <f ca="1">[1]Planilha1!$L241</f>
        <v>3524402</v>
      </c>
      <c r="D241" t="str">
        <f>TRIM([1]Planilha1!$D241)</f>
        <v>Claro</v>
      </c>
      <c r="E241" t="str">
        <f>IF(TRIM([1]Planilha1!$D241)="Claro","Claro","Concorrente")</f>
        <v>Claro</v>
      </c>
      <c r="F241" t="s">
        <v>24</v>
      </c>
      <c r="G241" t="str">
        <f t="shared" ca="1" si="13"/>
        <v>Banda Larga + Movel</v>
      </c>
      <c r="H241" t="str">
        <f ca="1">TRIM([1]Planilha1!$E241)</f>
        <v>600M+100GB=R$159,90</v>
      </c>
      <c r="I241" t="str">
        <f ca="1">IF([1]Planilha1!$F241="","",TRIM([1]Planilha1!$F241))</f>
        <v>Fibra</v>
      </c>
      <c r="J241" s="3">
        <f ca="1">IF([1]Planilha1!$G241="","",[1]Planilha1!$G241)</f>
        <v>600</v>
      </c>
      <c r="K241" s="4" cm="1">
        <f t="array" aca="1" ref="K241" ca="1">IFERROR(VALUE(_xlfn.REGEXEXTRACT([1]Planilha1!$E241,"\+\s*(\d+)GB",2)),"")</f>
        <v>100</v>
      </c>
      <c r="L241" s="5">
        <f ca="1">IF([1]Planilha1!$H241="","",[1]Planilha1!$H241)</f>
        <v>159.9</v>
      </c>
      <c r="M241" s="5" t="str">
        <f ca="1">IF([1]Planilha1!$I241="","",[1]Planilha1!$I241)</f>
        <v/>
      </c>
      <c r="N241" s="2" t="str" cm="1">
        <f t="array" aca="1" ref="N241" ca="1">IFERROR(VALUE(_xlfn.REGEXEXTRACT([1]Planilha1!$E241,"(\d+)\s*MESES",2)),IFERROR(VALUE(_xlfn.REGEXEXTRACT([1]Planilha1!$E241,"por\s*(\d+)\s*M",2)),IF(_xlfn.REGEXTEST([1]Planilha1!$E241,"1[ºª]"),1,"")))</f>
        <v/>
      </c>
      <c r="O241" s="6">
        <f t="shared" ca="1" si="14"/>
        <v>0.26650000000000001</v>
      </c>
      <c r="P241" t="str">
        <f ca="1">IF([1]Planilha1!$J241="","",TRIM([1]Planilha1!$J241))</f>
        <v>GLOBOPLAY</v>
      </c>
      <c r="Q241" s="7" t="str">
        <f>IF($D241="Claro","",IFERROR($L241-VLOOKUP($B241&amp;"|Claro",[1]AUX_CLARO!$A:$C,2,FALSE),""))</f>
        <v/>
      </c>
      <c r="R241" s="8" t="str">
        <f>IF($D241="Claro","",IFERROR($J241-VLOOKUP($B241&amp;"|Claro",[1]AUX_CLARO!$A:$C,3,FALSE),""))</f>
        <v/>
      </c>
      <c r="S241" t="str">
        <f t="shared" si="15"/>
        <v/>
      </c>
      <c r="T241" t="str">
        <f t="shared" si="16"/>
        <v/>
      </c>
      <c r="U241" s="9">
        <f t="shared" si="17"/>
        <v>46174</v>
      </c>
      <c r="V241" t="str">
        <f ca="1">IF(OR([1]Planilha1!$B241="",[1]Planilha1!$B241="NÃO MAPEADO"),"",TRIM([1]Planilha1!$B241))</f>
        <v>LITORAL</v>
      </c>
      <c r="W241" t="str">
        <f ca="1">IF([1]Planilha1!$C241="","",TRIM([1]Planilha1!$C241))</f>
        <v>PADRÃO</v>
      </c>
      <c r="X241" t="str">
        <f ca="1">IFERROR(VLOOKUP($C241,[1]Planilha2!$B:$H,7,FALSE),"")</f>
        <v>12300-001</v>
      </c>
    </row>
    <row r="242" spans="1:24" x14ac:dyDescent="0.35">
      <c r="A242" t="str">
        <f ca="1">IF(LEFT(TEXT([1]Planilha1!$L242,"0000000"),1)="5","MS","SP")</f>
        <v>SP</v>
      </c>
      <c r="B242" t="str">
        <f ca="1">IF(RIGHT([1]Planilha1!$A242,5)=" - MS",LEFT([1]Planilha1!$A242,LEN([1]Planilha1!$A242)-5),TRIM([1]Planilha1!$A242))</f>
        <v>JACAREI</v>
      </c>
      <c r="C242" s="2">
        <f ca="1">[1]Planilha1!$L242</f>
        <v>3524402</v>
      </c>
      <c r="D242" t="str">
        <f>TRIM([1]Planilha1!$D242)</f>
        <v>Vivo</v>
      </c>
      <c r="E242" t="str">
        <f>IF(TRIM([1]Planilha1!$D242)="Claro","Claro","Concorrente")</f>
        <v>Concorrente</v>
      </c>
      <c r="F242" t="s">
        <v>25</v>
      </c>
      <c r="G242" t="str">
        <f t="shared" ca="1" si="13"/>
        <v>Banda Larga + Movel</v>
      </c>
      <c r="H242" t="s">
        <v>26</v>
      </c>
      <c r="I242" t="str">
        <f ca="1">IF([1]Planilha1!$F242="","",TRIM([1]Planilha1!$F242))</f>
        <v>Fibra</v>
      </c>
      <c r="J242" s="11" t="s">
        <v>27</v>
      </c>
      <c r="K242" s="4" cm="1">
        <f t="array" aca="1" ref="K242" ca="1">IFERROR(VALUE(_xlfn.REGEXEXTRACT([1]Planilha1!$E242,"\+\s*(\d+)GB",2)),"")</f>
        <v>70</v>
      </c>
      <c r="L242" s="5">
        <v>160</v>
      </c>
      <c r="M242" s="5" t="str">
        <f ca="1">IF([1]Planilha1!$I242="","",[1]Planilha1!$I242)</f>
        <v/>
      </c>
      <c r="N242" s="2" t="str" cm="1">
        <f t="array" aca="1" ref="N242" ca="1">IFERROR(VALUE(_xlfn.REGEXEXTRACT([1]Planilha1!$E242,"(\d+)\s*MESES",2)),IFERROR(VALUE(_xlfn.REGEXEXTRACT([1]Planilha1!$E242,"por\s*(\d+)\s*M",2)),IF(_xlfn.REGEXTEST([1]Planilha1!$E242,"1[ºª]"),1,"")))</f>
        <v/>
      </c>
      <c r="O242" s="6" t="str">
        <f t="shared" si="14"/>
        <v/>
      </c>
      <c r="P242" t="str">
        <f ca="1">IF([1]Planilha1!$J242="","",TRIM([1]Planilha1!$J242))</f>
        <v>0</v>
      </c>
      <c r="Q242" s="7">
        <f ca="1">IF($D242="Claro","",IFERROR($L242-VLOOKUP($B242&amp;"|Claro",[1]AUX_CLARO!$A:$C,2,FALSE),""))</f>
        <v>9.9999999999994316E-2</v>
      </c>
      <c r="R242" s="8" t="str">
        <f ca="1">IF($D242="Claro","",IFERROR($J242-VLOOKUP($B242&amp;"|Claro",[1]AUX_CLARO!$A:$C,3,FALSE),""))</f>
        <v/>
      </c>
      <c r="S242" t="str">
        <f t="shared" ca="1" si="15"/>
        <v>Claro mais barata</v>
      </c>
      <c r="T242" t="str">
        <f t="shared" ca="1" si="16"/>
        <v/>
      </c>
      <c r="U242" s="9">
        <f t="shared" si="17"/>
        <v>46174</v>
      </c>
      <c r="V242" t="str">
        <f ca="1">IF(OR([1]Planilha1!$B242="",[1]Planilha1!$B242="NÃO MAPEADO"),"",TRIM([1]Planilha1!$B242))</f>
        <v>LITORAL</v>
      </c>
      <c r="W242" t="str">
        <f ca="1">IF([1]Planilha1!$C242="","",TRIM([1]Planilha1!$C242))</f>
        <v>PADRÃO</v>
      </c>
      <c r="X242" t="str">
        <f ca="1">IFERROR(VLOOKUP($C242,[1]Planilha2!$B:$H,7,FALSE),"")</f>
        <v>12300-001</v>
      </c>
    </row>
    <row r="243" spans="1:24" x14ac:dyDescent="0.35">
      <c r="A243" t="str">
        <f ca="1">IF(LEFT(TEXT([1]Planilha1!$L243,"0000000"),1)="5","MS","SP")</f>
        <v>SP</v>
      </c>
      <c r="B243" t="str">
        <f ca="1">IF(RIGHT([1]Planilha1!$A243,5)=" - MS",LEFT([1]Planilha1!$A243,LEN([1]Planilha1!$A243)-5),TRIM([1]Planilha1!$A243))</f>
        <v>JACAREI</v>
      </c>
      <c r="C243" s="2">
        <f ca="1">[1]Planilha1!$L243</f>
        <v>3524402</v>
      </c>
      <c r="D243" t="str">
        <f>TRIM([1]Planilha1!$D243)</f>
        <v>Desktop</v>
      </c>
      <c r="E243" t="str">
        <f>IF(TRIM([1]Planilha1!$D243)="Claro","Claro","Concorrente")</f>
        <v>Concorrente</v>
      </c>
      <c r="F243" t="s">
        <v>29</v>
      </c>
      <c r="G243" t="str">
        <f t="shared" ca="1" si="13"/>
        <v>Banda Larga + Movel</v>
      </c>
      <c r="H243" t="str">
        <f ca="1">TRIM([1]Planilha1!$E243)</f>
        <v>600M+15GB=R$129,99 - 6 MESES, APÓS R$139,99</v>
      </c>
      <c r="I243" t="str">
        <f ca="1">IF([1]Planilha1!$F243="","",TRIM([1]Planilha1!$F243))</f>
        <v>Fibra</v>
      </c>
      <c r="J243" s="3">
        <f ca="1">IF([1]Planilha1!$G243="","",[1]Planilha1!$G243)</f>
        <v>600</v>
      </c>
      <c r="K243" s="4" cm="1">
        <f t="array" aca="1" ref="K243" ca="1">IFERROR(VALUE(_xlfn.REGEXEXTRACT([1]Planilha1!$E243,"\+\s*(\d+)GB",2)),"")</f>
        <v>15</v>
      </c>
      <c r="L243" s="5">
        <f ca="1">IF([1]Planilha1!$H243="","",[1]Planilha1!$H243)</f>
        <v>139.99</v>
      </c>
      <c r="M243" s="5">
        <f ca="1">IF([1]Planilha1!$I243="","",[1]Planilha1!$I243)</f>
        <v>129.99</v>
      </c>
      <c r="N243" s="2" cm="1">
        <f t="array" aca="1" ref="N243" ca="1">IFERROR(VALUE(_xlfn.REGEXEXTRACT([1]Planilha1!$E243,"(\d+)\s*MESES",2)),IFERROR(VALUE(_xlfn.REGEXEXTRACT([1]Planilha1!$E243,"por\s*(\d+)\s*M",2)),IF(_xlfn.REGEXTEST([1]Planilha1!$E243,"1[ºª]"),1,"")))</f>
        <v>6</v>
      </c>
      <c r="O243" s="6">
        <f t="shared" ca="1" si="14"/>
        <v>0.23331666666666667</v>
      </c>
      <c r="P243" t="str">
        <f ca="1">IF([1]Planilha1!$J243="","",TRIM([1]Planilha1!$J243))</f>
        <v>0</v>
      </c>
      <c r="Q243" s="7">
        <f ca="1">IF($D243="Claro","",IFERROR($L243-VLOOKUP($B243&amp;"|Claro",[1]AUX_CLARO!$A:$C,2,FALSE),""))</f>
        <v>-19.909999999999997</v>
      </c>
      <c r="R243" s="8">
        <f ca="1">IF($D243="Claro","",IFERROR($J243-VLOOKUP($B243&amp;"|Claro",[1]AUX_CLARO!$A:$C,3,FALSE),""))</f>
        <v>0</v>
      </c>
      <c r="S243" t="str">
        <f t="shared" ca="1" si="15"/>
        <v>Claro mais cara</v>
      </c>
      <c r="T243" t="str">
        <f t="shared" ca="1" si="16"/>
        <v>Mesma velocidade</v>
      </c>
      <c r="U243" s="9">
        <f t="shared" si="17"/>
        <v>46174</v>
      </c>
      <c r="V243" t="str">
        <f ca="1">IF(OR([1]Planilha1!$B243="",[1]Planilha1!$B243="NÃO MAPEADO"),"",TRIM([1]Planilha1!$B243))</f>
        <v>LITORAL</v>
      </c>
      <c r="W243" t="str">
        <f ca="1">IF([1]Planilha1!$C243="","",TRIM([1]Planilha1!$C243))</f>
        <v>PADRÃO</v>
      </c>
      <c r="X243" t="str">
        <f ca="1">IFERROR(VLOOKUP($C243,[1]Planilha2!$B:$H,7,FALSE),"")</f>
        <v>12300-001</v>
      </c>
    </row>
    <row r="244" spans="1:24" x14ac:dyDescent="0.35">
      <c r="A244" t="str">
        <f ca="1">IF(LEFT(TEXT([1]Planilha1!$L244,"0000000"),1)="5","MS","SP")</f>
        <v>SP</v>
      </c>
      <c r="B244" t="str">
        <f ca="1">IF(RIGHT([1]Planilha1!$A244,5)=" - MS",LEFT([1]Planilha1!$A244,LEN([1]Planilha1!$A244)-5),TRIM([1]Planilha1!$A244))</f>
        <v>JACAREI</v>
      </c>
      <c r="C244" s="2">
        <f ca="1">[1]Planilha1!$L244</f>
        <v>3524402</v>
      </c>
      <c r="D244" t="str">
        <f>TRIM([1]Planilha1!$D244)</f>
        <v>ISP LOCAL</v>
      </c>
      <c r="E244" t="str">
        <f>IF(TRIM([1]Planilha1!$D244)="Claro","Claro","Concorrente")</f>
        <v>Concorrente</v>
      </c>
      <c r="F244" t="s">
        <v>69</v>
      </c>
      <c r="G244" t="str">
        <f t="shared" ca="1" si="13"/>
        <v>Banda Larga + Conteudo</v>
      </c>
      <c r="H244" t="str">
        <f ca="1">TRIM([1]Planilha1!$E244)</f>
        <v>NETJACAREÍ - 600M R$109,90</v>
      </c>
      <c r="I244" t="str">
        <f ca="1">IF([1]Planilha1!$F244="","",TRIM([1]Planilha1!$F244))</f>
        <v>Fibra</v>
      </c>
      <c r="J244" s="3">
        <f ca="1">IF([1]Planilha1!$G244="","",[1]Planilha1!$G244)</f>
        <v>600</v>
      </c>
      <c r="K244" s="4" t="str" cm="1">
        <f t="array" aca="1" ref="K244" ca="1">IFERROR(VALUE(_xlfn.REGEXEXTRACT([1]Planilha1!$E244,"\+\s*(\d+)GB",2)),"")</f>
        <v/>
      </c>
      <c r="L244" s="5">
        <f ca="1">IF([1]Planilha1!$H244="","",[1]Planilha1!$H244)</f>
        <v>109.9</v>
      </c>
      <c r="M244" s="5" t="str">
        <f ca="1">IF([1]Planilha1!$I244="","",[1]Planilha1!$I244)</f>
        <v/>
      </c>
      <c r="N244" s="2" t="str" cm="1">
        <f t="array" aca="1" ref="N244" ca="1">IFERROR(VALUE(_xlfn.REGEXEXTRACT([1]Planilha1!$E244,"(\d+)\s*MESES",2)),IFERROR(VALUE(_xlfn.REGEXEXTRACT([1]Planilha1!$E244,"por\s*(\d+)\s*M",2)),IF(_xlfn.REGEXTEST([1]Planilha1!$E244,"1[ºª]"),1,"")))</f>
        <v/>
      </c>
      <c r="O244" s="6">
        <f t="shared" ca="1" si="14"/>
        <v>0.18316666666666667</v>
      </c>
      <c r="P244" t="str">
        <f ca="1">IF([1]Planilha1!$J244="","",TRIM([1]Planilha1!$J244))</f>
        <v>0</v>
      </c>
      <c r="Q244" s="7">
        <f ca="1">IF($D244="Claro","",IFERROR($L244-VLOOKUP($B244&amp;"|Claro",[1]AUX_CLARO!$A:$C,2,FALSE),""))</f>
        <v>-50</v>
      </c>
      <c r="R244" s="8">
        <f ca="1">IF($D244="Claro","",IFERROR($J244-VLOOKUP($B244&amp;"|Claro",[1]AUX_CLARO!$A:$C,3,FALSE),""))</f>
        <v>0</v>
      </c>
      <c r="S244" t="str">
        <f t="shared" ca="1" si="15"/>
        <v>Claro mais cara</v>
      </c>
      <c r="T244" t="str">
        <f t="shared" ca="1" si="16"/>
        <v>Mesma velocidade</v>
      </c>
      <c r="U244" s="9">
        <f t="shared" si="17"/>
        <v>46174</v>
      </c>
      <c r="V244" t="str">
        <f ca="1">IF(OR([1]Planilha1!$B244="",[1]Planilha1!$B244="NÃO MAPEADO"),"",TRIM([1]Planilha1!$B244))</f>
        <v>LITORAL</v>
      </c>
      <c r="W244" t="str">
        <f ca="1">IF([1]Planilha1!$C244="","",TRIM([1]Planilha1!$C244))</f>
        <v>PADRÃO</v>
      </c>
      <c r="X244" t="str">
        <f ca="1">IFERROR(VLOOKUP($C244,[1]Planilha2!$B:$H,7,FALSE),"")</f>
        <v>12300-001</v>
      </c>
    </row>
    <row r="245" spans="1:24" x14ac:dyDescent="0.35">
      <c r="A245" t="str">
        <f ca="1">IF(LEFT(TEXT([1]Planilha1!$L245,"0000000"),1)="5","MS","SP")</f>
        <v>SP</v>
      </c>
      <c r="B245" t="str">
        <f ca="1">IF(RIGHT([1]Planilha1!$A245,5)=" - MS",LEFT([1]Planilha1!$A245,LEN([1]Planilha1!$A245)-5),TRIM([1]Planilha1!$A245))</f>
        <v>JAGUARIUNA</v>
      </c>
      <c r="C245" s="2">
        <f ca="1">[1]Planilha1!$L245</f>
        <v>3524709</v>
      </c>
      <c r="D245" t="str">
        <f>TRIM([1]Planilha1!$D245)</f>
        <v>Claro</v>
      </c>
      <c r="E245" t="str">
        <f>IF(TRIM([1]Planilha1!$D245)="Claro","Claro","Concorrente")</f>
        <v>Claro</v>
      </c>
      <c r="F245" t="s">
        <v>24</v>
      </c>
      <c r="G245" t="str">
        <f t="shared" ca="1" si="13"/>
        <v>Banda Larga + Movel</v>
      </c>
      <c r="H245" t="str">
        <f ca="1">TRIM([1]Planilha1!$E245)</f>
        <v>600M+100GB=R$119,90 por 3M, após R$159,90</v>
      </c>
      <c r="I245" t="str">
        <f ca="1">IF([1]Planilha1!$F245="","",TRIM([1]Planilha1!$F245))</f>
        <v>Fibra</v>
      </c>
      <c r="J245" s="3">
        <f ca="1">IF([1]Planilha1!$G245="","",[1]Planilha1!$G245)</f>
        <v>600</v>
      </c>
      <c r="K245" s="4" cm="1">
        <f t="array" aca="1" ref="K245" ca="1">IFERROR(VALUE(_xlfn.REGEXEXTRACT([1]Planilha1!$E245,"\+\s*(\d+)GB",2)),"")</f>
        <v>100</v>
      </c>
      <c r="L245" s="5">
        <f ca="1">IF([1]Planilha1!$H245="","",[1]Planilha1!$H245)</f>
        <v>159.9</v>
      </c>
      <c r="M245" s="5">
        <f ca="1">IF([1]Planilha1!$I245="","",[1]Planilha1!$I245)</f>
        <v>119.9</v>
      </c>
      <c r="N245" s="2" cm="1">
        <f t="array" aca="1" ref="N245" ca="1">IFERROR(VALUE(_xlfn.REGEXEXTRACT([1]Planilha1!$E245,"(\d+)\s*MESES",2)),IFERROR(VALUE(_xlfn.REGEXEXTRACT([1]Planilha1!$E245,"por\s*(\d+)\s*M",2)),IF(_xlfn.REGEXTEST([1]Planilha1!$E245,"1[ºª]"),1,"")))</f>
        <v>3</v>
      </c>
      <c r="O245" s="6">
        <f t="shared" ca="1" si="14"/>
        <v>0.26650000000000001</v>
      </c>
      <c r="P245" t="str">
        <f ca="1">IF([1]Planilha1!$J245="","",TRIM([1]Planilha1!$J245))</f>
        <v>GLOBOPLAY</v>
      </c>
      <c r="Q245" s="7" t="str">
        <f>IF($D245="Claro","",IFERROR($L245-VLOOKUP($B245&amp;"|Claro",[1]AUX_CLARO!$A:$C,2,FALSE),""))</f>
        <v/>
      </c>
      <c r="R245" s="8" t="str">
        <f>IF($D245="Claro","",IFERROR($J245-VLOOKUP($B245&amp;"|Claro",[1]AUX_CLARO!$A:$C,3,FALSE),""))</f>
        <v/>
      </c>
      <c r="S245" t="str">
        <f t="shared" si="15"/>
        <v/>
      </c>
      <c r="T245" t="str">
        <f t="shared" si="16"/>
        <v/>
      </c>
      <c r="U245" s="9">
        <f t="shared" si="17"/>
        <v>46174</v>
      </c>
      <c r="V245" t="str">
        <f ca="1">IF(OR([1]Planilha1!$B245="",[1]Planilha1!$B245="NÃO MAPEADO"),"",TRIM([1]Planilha1!$B245))</f>
        <v>CENTRAL</v>
      </c>
      <c r="W245" t="str">
        <f ca="1">IF([1]Planilha1!$C245="","",TRIM([1]Planilha1!$C245))</f>
        <v>ESPECIAL</v>
      </c>
      <c r="X245" t="str">
        <f ca="1">IFERROR(VLOOKUP($C245,[1]Planilha2!$B:$H,7,FALSE),"")</f>
        <v>13910-001</v>
      </c>
    </row>
    <row r="246" spans="1:24" x14ac:dyDescent="0.35">
      <c r="A246" t="str">
        <f ca="1">IF(LEFT(TEXT([1]Planilha1!$L246,"0000000"),1)="5","MS","SP")</f>
        <v>SP</v>
      </c>
      <c r="B246" t="str">
        <f ca="1">IF(RIGHT([1]Planilha1!$A246,5)=" - MS",LEFT([1]Planilha1!$A246,LEN([1]Planilha1!$A246)-5),TRIM([1]Planilha1!$A246))</f>
        <v>JAGUARIUNA</v>
      </c>
      <c r="C246" s="2">
        <f ca="1">[1]Planilha1!$L246</f>
        <v>3524709</v>
      </c>
      <c r="D246" t="str">
        <f>TRIM([1]Planilha1!$D246)</f>
        <v>Vivo</v>
      </c>
      <c r="E246" t="str">
        <f>IF(TRIM([1]Planilha1!$D246)="Claro","Claro","Concorrente")</f>
        <v>Concorrente</v>
      </c>
      <c r="F246" t="s">
        <v>25</v>
      </c>
      <c r="G246" t="str">
        <f t="shared" ca="1" si="13"/>
        <v>Banda Larga + Movel</v>
      </c>
      <c r="H246" t="s">
        <v>26</v>
      </c>
      <c r="I246" t="str">
        <f ca="1">IF([1]Planilha1!$F246="","",TRIM([1]Planilha1!$F246))</f>
        <v>Fibra</v>
      </c>
      <c r="J246" s="11" t="s">
        <v>27</v>
      </c>
      <c r="K246" s="4" cm="1">
        <f t="array" aca="1" ref="K246" ca="1">IFERROR(VALUE(_xlfn.REGEXEXTRACT([1]Planilha1!$E246,"\+\s*(\d+)GB",2)),"")</f>
        <v>70</v>
      </c>
      <c r="L246" s="5">
        <v>160</v>
      </c>
      <c r="M246" s="5" t="str">
        <f ca="1">IF([1]Planilha1!$I246="","",[1]Planilha1!$I246)</f>
        <v/>
      </c>
      <c r="N246" s="2" t="str" cm="1">
        <f t="array" aca="1" ref="N246" ca="1">IFERROR(VALUE(_xlfn.REGEXEXTRACT([1]Planilha1!$E246,"(\d+)\s*MESES",2)),IFERROR(VALUE(_xlfn.REGEXEXTRACT([1]Planilha1!$E246,"por\s*(\d+)\s*M",2)),IF(_xlfn.REGEXTEST([1]Planilha1!$E246,"1[ºª]"),1,"")))</f>
        <v/>
      </c>
      <c r="O246" s="6" t="str">
        <f t="shared" si="14"/>
        <v/>
      </c>
      <c r="P246" t="str">
        <f ca="1">IF([1]Planilha1!$J246="","",TRIM([1]Planilha1!$J246))</f>
        <v>0</v>
      </c>
      <c r="Q246" s="7">
        <f ca="1">IF($D246="Claro","",IFERROR($L246-VLOOKUP($B246&amp;"|Claro",[1]AUX_CLARO!$A:$C,2,FALSE),""))</f>
        <v>9.9999999999994316E-2</v>
      </c>
      <c r="R246" s="8" t="str">
        <f ca="1">IF($D246="Claro","",IFERROR($J246-VLOOKUP($B246&amp;"|Claro",[1]AUX_CLARO!$A:$C,3,FALSE),""))</f>
        <v/>
      </c>
      <c r="S246" t="str">
        <f t="shared" ca="1" si="15"/>
        <v>Claro mais barata</v>
      </c>
      <c r="T246" t="str">
        <f t="shared" ca="1" si="16"/>
        <v/>
      </c>
      <c r="U246" s="9">
        <f t="shared" si="17"/>
        <v>46174</v>
      </c>
      <c r="V246" t="str">
        <f ca="1">IF(OR([1]Planilha1!$B246="",[1]Planilha1!$B246="NÃO MAPEADO"),"",TRIM([1]Planilha1!$B246))</f>
        <v>CENTRAL</v>
      </c>
      <c r="W246" t="str">
        <f ca="1">IF([1]Planilha1!$C246="","",TRIM([1]Planilha1!$C246))</f>
        <v>ESPECIAL</v>
      </c>
      <c r="X246" t="str">
        <f ca="1">IFERROR(VLOOKUP($C246,[1]Planilha2!$B:$H,7,FALSE),"")</f>
        <v>13910-001</v>
      </c>
    </row>
    <row r="247" spans="1:24" x14ac:dyDescent="0.35">
      <c r="A247" t="str">
        <f ca="1">IF(LEFT(TEXT([1]Planilha1!$L247,"0000000"),1)="5","MS","SP")</f>
        <v>SP</v>
      </c>
      <c r="B247" t="str">
        <f ca="1">IF(RIGHT([1]Planilha1!$A247,5)=" - MS",LEFT([1]Planilha1!$A247,LEN([1]Planilha1!$A247)-5),TRIM([1]Planilha1!$A247))</f>
        <v>JAGUARIUNA</v>
      </c>
      <c r="C247" s="2">
        <f ca="1">[1]Planilha1!$L247</f>
        <v>3524709</v>
      </c>
      <c r="D247" t="str">
        <f>TRIM([1]Planilha1!$D247)</f>
        <v>Desktop</v>
      </c>
      <c r="E247" t="str">
        <f>IF(TRIM([1]Planilha1!$D247)="Claro","Claro","Concorrente")</f>
        <v>Concorrente</v>
      </c>
      <c r="F247" t="s">
        <v>29</v>
      </c>
      <c r="G247" t="str">
        <f t="shared" ca="1" si="13"/>
        <v>Banda Larga + Movel</v>
      </c>
      <c r="H247" t="str">
        <f ca="1">TRIM([1]Planilha1!$E247)</f>
        <v>600M+15GB=R$129,99 - 6 MESES, APÓS R$139,99</v>
      </c>
      <c r="I247" t="str">
        <f ca="1">IF([1]Planilha1!$F247="","",TRIM([1]Planilha1!$F247))</f>
        <v>Fibra</v>
      </c>
      <c r="J247" s="3">
        <f ca="1">IF([1]Planilha1!$G247="","",[1]Planilha1!$G247)</f>
        <v>600</v>
      </c>
      <c r="K247" s="4" cm="1">
        <f t="array" aca="1" ref="K247" ca="1">IFERROR(VALUE(_xlfn.REGEXEXTRACT([1]Planilha1!$E247,"\+\s*(\d+)GB",2)),"")</f>
        <v>15</v>
      </c>
      <c r="L247" s="5">
        <f ca="1">IF([1]Planilha1!$H247="","",[1]Planilha1!$H247)</f>
        <v>139.99</v>
      </c>
      <c r="M247" s="5">
        <f ca="1">IF([1]Planilha1!$I247="","",[1]Planilha1!$I247)</f>
        <v>129.99</v>
      </c>
      <c r="N247" s="2" cm="1">
        <f t="array" aca="1" ref="N247" ca="1">IFERROR(VALUE(_xlfn.REGEXEXTRACT([1]Planilha1!$E247,"(\d+)\s*MESES",2)),IFERROR(VALUE(_xlfn.REGEXEXTRACT([1]Planilha1!$E247,"por\s*(\d+)\s*M",2)),IF(_xlfn.REGEXTEST([1]Planilha1!$E247,"1[ºª]"),1,"")))</f>
        <v>6</v>
      </c>
      <c r="O247" s="6">
        <f t="shared" ca="1" si="14"/>
        <v>0.23331666666666667</v>
      </c>
      <c r="P247" t="str">
        <f ca="1">IF([1]Planilha1!$J247="","",TRIM([1]Planilha1!$J247))</f>
        <v>0</v>
      </c>
      <c r="Q247" s="7">
        <f ca="1">IF($D247="Claro","",IFERROR($L247-VLOOKUP($B247&amp;"|Claro",[1]AUX_CLARO!$A:$C,2,FALSE),""))</f>
        <v>-19.909999999999997</v>
      </c>
      <c r="R247" s="8">
        <f ca="1">IF($D247="Claro","",IFERROR($J247-VLOOKUP($B247&amp;"|Claro",[1]AUX_CLARO!$A:$C,3,FALSE),""))</f>
        <v>0</v>
      </c>
      <c r="S247" t="str">
        <f t="shared" ca="1" si="15"/>
        <v>Claro mais cara</v>
      </c>
      <c r="T247" t="str">
        <f t="shared" ca="1" si="16"/>
        <v>Mesma velocidade</v>
      </c>
      <c r="U247" s="9">
        <f t="shared" si="17"/>
        <v>46174</v>
      </c>
      <c r="V247" t="str">
        <f ca="1">IF(OR([1]Planilha1!$B247="",[1]Planilha1!$B247="NÃO MAPEADO"),"",TRIM([1]Planilha1!$B247))</f>
        <v>CENTRAL</v>
      </c>
      <c r="W247" t="str">
        <f ca="1">IF([1]Planilha1!$C247="","",TRIM([1]Planilha1!$C247))</f>
        <v>ESPECIAL</v>
      </c>
      <c r="X247" t="str">
        <f ca="1">IFERROR(VLOOKUP($C247,[1]Planilha2!$B:$H,7,FALSE),"")</f>
        <v>13910-001</v>
      </c>
    </row>
    <row r="248" spans="1:24" x14ac:dyDescent="0.35">
      <c r="A248" t="str">
        <f ca="1">IF(LEFT(TEXT([1]Planilha1!$L248,"0000000"),1)="5","MS","SP")</f>
        <v>SP</v>
      </c>
      <c r="B248" t="str">
        <f ca="1">IF(RIGHT([1]Planilha1!$A248,5)=" - MS",LEFT([1]Planilha1!$A248,LEN([1]Planilha1!$A248)-5),TRIM([1]Planilha1!$A248))</f>
        <v>JAGUARIUNA</v>
      </c>
      <c r="C248" s="2">
        <f ca="1">[1]Planilha1!$L248</f>
        <v>3524709</v>
      </c>
      <c r="D248" t="str">
        <f>TRIM([1]Planilha1!$D248)</f>
        <v>ISP LOCAL</v>
      </c>
      <c r="E248" t="str">
        <f>IF(TRIM([1]Planilha1!$D248)="Claro","Claro","Concorrente")</f>
        <v>Concorrente</v>
      </c>
      <c r="F248" t="s">
        <v>35</v>
      </c>
      <c r="G248" t="str">
        <f t="shared" ca="1" si="13"/>
        <v>Banda Larga + Conteudo</v>
      </c>
      <c r="H248" t="str">
        <f ca="1">TRIM([1]Planilha1!$E248)</f>
        <v>TELESON - 500M R$159,90</v>
      </c>
      <c r="I248" t="str">
        <f ca="1">IF([1]Planilha1!$F248="","",TRIM([1]Planilha1!$F248))</f>
        <v>Fibra</v>
      </c>
      <c r="J248" s="3">
        <f ca="1">IF([1]Planilha1!$G248="","",[1]Planilha1!$G248)</f>
        <v>500</v>
      </c>
      <c r="K248" s="4" t="str" cm="1">
        <f t="array" aca="1" ref="K248" ca="1">IFERROR(VALUE(_xlfn.REGEXEXTRACT([1]Planilha1!$E248,"\+\s*(\d+)GB",2)),"")</f>
        <v/>
      </c>
      <c r="L248" s="5">
        <f ca="1">IF([1]Planilha1!$H248="","",[1]Planilha1!$H248)</f>
        <v>159.9</v>
      </c>
      <c r="M248" s="5" t="str">
        <f ca="1">IF([1]Planilha1!$I248="","",[1]Planilha1!$I248)</f>
        <v/>
      </c>
      <c r="N248" s="2" t="str" cm="1">
        <f t="array" aca="1" ref="N248" ca="1">IFERROR(VALUE(_xlfn.REGEXEXTRACT([1]Planilha1!$E248,"(\d+)\s*MESES",2)),IFERROR(VALUE(_xlfn.REGEXEXTRACT([1]Planilha1!$E248,"por\s*(\d+)\s*M",2)),IF(_xlfn.REGEXTEST([1]Planilha1!$E248,"1[ºª]"),1,"")))</f>
        <v/>
      </c>
      <c r="O248" s="6">
        <f t="shared" ca="1" si="14"/>
        <v>0.31980000000000003</v>
      </c>
      <c r="P248" t="str">
        <f ca="1">IF([1]Planilha1!$J248="","",TRIM([1]Planilha1!$J248))</f>
        <v>0</v>
      </c>
      <c r="Q248" s="7">
        <f ca="1">IF($D248="Claro","",IFERROR($L248-VLOOKUP($B248&amp;"|Claro",[1]AUX_CLARO!$A:$C,2,FALSE),""))</f>
        <v>0</v>
      </c>
      <c r="R248" s="8">
        <f ca="1">IF($D248="Claro","",IFERROR($J248-VLOOKUP($B248&amp;"|Claro",[1]AUX_CLARO!$A:$C,3,FALSE),""))</f>
        <v>-100</v>
      </c>
      <c r="S248" t="str">
        <f t="shared" ca="1" si="15"/>
        <v>Mesmo preco</v>
      </c>
      <c r="T248" t="str">
        <f t="shared" ca="1" si="16"/>
        <v>Claro com maior velocidade</v>
      </c>
      <c r="U248" s="9">
        <f t="shared" si="17"/>
        <v>46174</v>
      </c>
      <c r="V248" t="str">
        <f ca="1">IF(OR([1]Planilha1!$B248="",[1]Planilha1!$B248="NÃO MAPEADO"),"",TRIM([1]Planilha1!$B248))</f>
        <v>CENTRAL</v>
      </c>
      <c r="W248" t="str">
        <f ca="1">IF([1]Planilha1!$C248="","",TRIM([1]Planilha1!$C248))</f>
        <v>ESPECIAL</v>
      </c>
      <c r="X248" t="str">
        <f ca="1">IFERROR(VLOOKUP($C248,[1]Planilha2!$B:$H,7,FALSE),"")</f>
        <v>13910-001</v>
      </c>
    </row>
    <row r="249" spans="1:24" x14ac:dyDescent="0.35">
      <c r="A249" t="str">
        <f ca="1">IF(LEFT(TEXT([1]Planilha1!$L249,"0000000"),1)="5","MS","SP")</f>
        <v>SP</v>
      </c>
      <c r="B249" t="str">
        <f ca="1">IF(RIGHT([1]Planilha1!$A249,5)=" - MS",LEFT([1]Planilha1!$A249,LEN([1]Planilha1!$A249)-5),TRIM([1]Planilha1!$A249))</f>
        <v>JALES</v>
      </c>
      <c r="C249" s="2">
        <f ca="1">[1]Planilha1!$L249</f>
        <v>3524808</v>
      </c>
      <c r="D249" t="str">
        <f>TRIM([1]Planilha1!$D249)</f>
        <v>Claro</v>
      </c>
      <c r="E249" t="str">
        <f>IF(TRIM([1]Planilha1!$D249)="Claro","Claro","Concorrente")</f>
        <v>Claro</v>
      </c>
      <c r="F249" t="s">
        <v>24</v>
      </c>
      <c r="G249" t="str">
        <f t="shared" ca="1" si="13"/>
        <v>Banda Larga + Movel</v>
      </c>
      <c r="H249" t="str">
        <f ca="1">TRIM([1]Planilha1!$E249)</f>
        <v>600M+100GB=R$109,90 por 6M, após R$139,90</v>
      </c>
      <c r="I249" t="str">
        <f ca="1">IF([1]Planilha1!$F249="","",TRIM([1]Planilha1!$F249))</f>
        <v>Fibra</v>
      </c>
      <c r="J249" s="3">
        <f ca="1">IF([1]Planilha1!$G249="","",[1]Planilha1!$G249)</f>
        <v>600</v>
      </c>
      <c r="K249" s="4" cm="1">
        <f t="array" aca="1" ref="K249" ca="1">IFERROR(VALUE(_xlfn.REGEXEXTRACT([1]Planilha1!$E249,"\+\s*(\d+)GB",2)),"")</f>
        <v>100</v>
      </c>
      <c r="L249" s="5">
        <f ca="1">IF([1]Planilha1!$H249="","",[1]Planilha1!$H249)</f>
        <v>139.9</v>
      </c>
      <c r="M249" s="5">
        <f ca="1">IF([1]Planilha1!$I249="","",[1]Planilha1!$I249)</f>
        <v>109.9</v>
      </c>
      <c r="N249" s="2" cm="1">
        <f t="array" aca="1" ref="N249" ca="1">IFERROR(VALUE(_xlfn.REGEXEXTRACT([1]Planilha1!$E249,"(\d+)\s*MESES",2)),IFERROR(VALUE(_xlfn.REGEXEXTRACT([1]Planilha1!$E249,"por\s*(\d+)\s*M",2)),IF(_xlfn.REGEXTEST([1]Planilha1!$E249,"1[ºª]"),1,"")))</f>
        <v>6</v>
      </c>
      <c r="O249" s="6">
        <f t="shared" ca="1" si="14"/>
        <v>0.23316666666666669</v>
      </c>
      <c r="P249" t="str">
        <f ca="1">IF([1]Planilha1!$J249="","",TRIM([1]Planilha1!$J249))</f>
        <v>GLOBOPLAY</v>
      </c>
      <c r="Q249" s="7" t="str">
        <f>IF($D249="Claro","",IFERROR($L249-VLOOKUP($B249&amp;"|Claro",[1]AUX_CLARO!$A:$C,2,FALSE),""))</f>
        <v/>
      </c>
      <c r="R249" s="8" t="str">
        <f>IF($D249="Claro","",IFERROR($J249-VLOOKUP($B249&amp;"|Claro",[1]AUX_CLARO!$A:$C,3,FALSE),""))</f>
        <v/>
      </c>
      <c r="S249" t="str">
        <f t="shared" si="15"/>
        <v/>
      </c>
      <c r="T249" t="str">
        <f t="shared" si="16"/>
        <v/>
      </c>
      <c r="U249" s="9">
        <f t="shared" si="17"/>
        <v>46174</v>
      </c>
      <c r="V249" t="str">
        <f ca="1">IF(OR([1]Planilha1!$B249="",[1]Planilha1!$B249="NÃO MAPEADO"),"",TRIM([1]Planilha1!$B249))</f>
        <v>NOROESTE</v>
      </c>
      <c r="W249" t="str">
        <f ca="1">IF([1]Planilha1!$C249="","",TRIM([1]Planilha1!$C249))</f>
        <v>MD 2</v>
      </c>
      <c r="X249" t="str">
        <f ca="1">IFERROR(VLOOKUP($C249,[1]Planilha2!$B:$H,7,FALSE),"")</f>
        <v>15700-001</v>
      </c>
    </row>
    <row r="250" spans="1:24" x14ac:dyDescent="0.35">
      <c r="A250" t="str">
        <f ca="1">IF(LEFT(TEXT([1]Planilha1!$L250,"0000000"),1)="5","MS","SP")</f>
        <v>SP</v>
      </c>
      <c r="B250" t="str">
        <f ca="1">IF(RIGHT([1]Planilha1!$A250,5)=" - MS",LEFT([1]Planilha1!$A250,LEN([1]Planilha1!$A250)-5),TRIM([1]Planilha1!$A250))</f>
        <v>JALES</v>
      </c>
      <c r="C250" s="2">
        <f ca="1">[1]Planilha1!$L250</f>
        <v>3524808</v>
      </c>
      <c r="D250" t="str">
        <f>TRIM([1]Planilha1!$D250)</f>
        <v>Vivo</v>
      </c>
      <c r="E250" t="str">
        <f>IF(TRIM([1]Planilha1!$D250)="Claro","Claro","Concorrente")</f>
        <v>Concorrente</v>
      </c>
      <c r="F250" t="s">
        <v>25</v>
      </c>
      <c r="G250" t="str">
        <f t="shared" ca="1" si="13"/>
        <v>Banda Larga + Movel</v>
      </c>
      <c r="H250" t="s">
        <v>26</v>
      </c>
      <c r="I250" t="str">
        <f ca="1">IF([1]Planilha1!$F250="","",TRIM([1]Planilha1!$F250))</f>
        <v>Fibra</v>
      </c>
      <c r="J250" s="11" t="s">
        <v>27</v>
      </c>
      <c r="K250" s="4" cm="1">
        <f t="array" aca="1" ref="K250" ca="1">IFERROR(VALUE(_xlfn.REGEXEXTRACT([1]Planilha1!$E250,"\+\s*(\d+)GB",2)),"")</f>
        <v>70</v>
      </c>
      <c r="L250" s="5">
        <v>160</v>
      </c>
      <c r="M250" s="5" t="str">
        <f ca="1">IF([1]Planilha1!$I250="","",[1]Planilha1!$I250)</f>
        <v/>
      </c>
      <c r="N250" s="2" t="str" cm="1">
        <f t="array" aca="1" ref="N250" ca="1">IFERROR(VALUE(_xlfn.REGEXEXTRACT([1]Planilha1!$E250,"(\d+)\s*MESES",2)),IFERROR(VALUE(_xlfn.REGEXEXTRACT([1]Planilha1!$E250,"por\s*(\d+)\s*M",2)),IF(_xlfn.REGEXTEST([1]Planilha1!$E250,"1[ºª]"),1,"")))</f>
        <v/>
      </c>
      <c r="O250" s="6" t="str">
        <f t="shared" si="14"/>
        <v/>
      </c>
      <c r="P250" t="str">
        <f ca="1">IF([1]Planilha1!$J250="","",TRIM([1]Planilha1!$J250))</f>
        <v>0</v>
      </c>
      <c r="Q250" s="7">
        <f ca="1">IF($D250="Claro","",IFERROR($L250-VLOOKUP($B250&amp;"|Claro",[1]AUX_CLARO!$A:$C,2,FALSE),""))</f>
        <v>20.099999999999994</v>
      </c>
      <c r="R250" s="8" t="str">
        <f ca="1">IF($D250="Claro","",IFERROR($J250-VLOOKUP($B250&amp;"|Claro",[1]AUX_CLARO!$A:$C,3,FALSE),""))</f>
        <v/>
      </c>
      <c r="S250" t="str">
        <f t="shared" ca="1" si="15"/>
        <v>Claro mais barata</v>
      </c>
      <c r="T250" t="str">
        <f t="shared" ca="1" si="16"/>
        <v/>
      </c>
      <c r="U250" s="9">
        <f t="shared" si="17"/>
        <v>46174</v>
      </c>
      <c r="V250" t="str">
        <f ca="1">IF(OR([1]Planilha1!$B250="",[1]Planilha1!$B250="NÃO MAPEADO"),"",TRIM([1]Planilha1!$B250))</f>
        <v>NOROESTE</v>
      </c>
      <c r="W250" t="str">
        <f ca="1">IF([1]Planilha1!$C250="","",TRIM([1]Planilha1!$C250))</f>
        <v>MD 2</v>
      </c>
      <c r="X250" t="str">
        <f ca="1">IFERROR(VLOOKUP($C250,[1]Planilha2!$B:$H,7,FALSE),"")</f>
        <v>15700-001</v>
      </c>
    </row>
    <row r="251" spans="1:24" x14ac:dyDescent="0.35">
      <c r="A251" t="str">
        <f ca="1">IF(LEFT(TEXT([1]Planilha1!$L251,"0000000"),1)="5","MS","SP")</f>
        <v>SP</v>
      </c>
      <c r="B251" t="str">
        <f ca="1">IF(RIGHT([1]Planilha1!$A251,5)=" - MS",LEFT([1]Planilha1!$A251,LEN([1]Planilha1!$A251)-5),TRIM([1]Planilha1!$A251))</f>
        <v>JALES</v>
      </c>
      <c r="C251" s="2">
        <f ca="1">[1]Planilha1!$L251</f>
        <v>3524808</v>
      </c>
      <c r="D251" t="str">
        <f>TRIM([1]Planilha1!$D251)</f>
        <v>Vero</v>
      </c>
      <c r="E251" t="str">
        <f>IF(TRIM([1]Planilha1!$D251)="Claro","Claro","Concorrente")</f>
        <v>Concorrente</v>
      </c>
      <c r="F251" t="s">
        <v>30</v>
      </c>
      <c r="G251" t="str">
        <f t="shared" ca="1" si="13"/>
        <v>Banda Larga + Movel</v>
      </c>
      <c r="H251" t="str">
        <f ca="1">TRIM([1]Planilha1!$E251)</f>
        <v>850M+60GB=R$149,99 (C/ GLOBOPLAY, HBO, DISNEY+)</v>
      </c>
      <c r="I251" t="str">
        <f ca="1">IF([1]Planilha1!$F251="","",TRIM([1]Planilha1!$F251))</f>
        <v>Fibra</v>
      </c>
      <c r="J251" s="3">
        <f ca="1">IF([1]Planilha1!$G251="","",[1]Planilha1!$G251)</f>
        <v>850</v>
      </c>
      <c r="K251" s="4" cm="1">
        <f t="array" aca="1" ref="K251" ca="1">IFERROR(VALUE(_xlfn.REGEXEXTRACT([1]Planilha1!$E251,"\+\s*(\d+)GB",2)),"")</f>
        <v>60</v>
      </c>
      <c r="L251" s="5">
        <f ca="1">IF([1]Planilha1!$H251="","",[1]Planilha1!$H251)</f>
        <v>149.99</v>
      </c>
      <c r="M251" s="5" t="str">
        <f ca="1">IF([1]Planilha1!$I251="","",[1]Planilha1!$I251)</f>
        <v/>
      </c>
      <c r="N251" s="2" t="str" cm="1">
        <f t="array" aca="1" ref="N251" ca="1">IFERROR(VALUE(_xlfn.REGEXEXTRACT([1]Planilha1!$E251,"(\d+)\s*MESES",2)),IFERROR(VALUE(_xlfn.REGEXEXTRACT([1]Planilha1!$E251,"por\s*(\d+)\s*M",2)),IF(_xlfn.REGEXTEST([1]Planilha1!$E251,"1[ºª]"),1,"")))</f>
        <v/>
      </c>
      <c r="O251" s="6">
        <f t="shared" ca="1" si="14"/>
        <v>0.17645882352941178</v>
      </c>
      <c r="P251" t="str">
        <f ca="1">IF([1]Planilha1!$J251="","",TRIM([1]Planilha1!$J251))</f>
        <v>GLOBOPLAY, HBO, DISNEY+</v>
      </c>
      <c r="Q251" s="7">
        <f ca="1">IF($D251="Claro","",IFERROR($L251-VLOOKUP($B251&amp;"|Claro",[1]AUX_CLARO!$A:$C,2,FALSE),""))</f>
        <v>10.090000000000003</v>
      </c>
      <c r="R251" s="8">
        <f ca="1">IF($D251="Claro","",IFERROR($J251-VLOOKUP($B251&amp;"|Claro",[1]AUX_CLARO!$A:$C,3,FALSE),""))</f>
        <v>250</v>
      </c>
      <c r="S251" t="str">
        <f t="shared" ca="1" si="15"/>
        <v>Claro mais barata</v>
      </c>
      <c r="T251" t="str">
        <f t="shared" ca="1" si="16"/>
        <v>Claro com menor velocidade</v>
      </c>
      <c r="U251" s="9">
        <f t="shared" si="17"/>
        <v>46174</v>
      </c>
      <c r="V251" t="str">
        <f ca="1">IF(OR([1]Planilha1!$B251="",[1]Planilha1!$B251="NÃO MAPEADO"),"",TRIM([1]Planilha1!$B251))</f>
        <v>NOROESTE</v>
      </c>
      <c r="W251" t="str">
        <f ca="1">IF([1]Planilha1!$C251="","",TRIM([1]Planilha1!$C251))</f>
        <v>MD 2</v>
      </c>
      <c r="X251" t="str">
        <f ca="1">IFERROR(VLOOKUP($C251,[1]Planilha2!$B:$H,7,FALSE),"")</f>
        <v>15700-001</v>
      </c>
    </row>
    <row r="252" spans="1:24" x14ac:dyDescent="0.35">
      <c r="A252" t="str">
        <f ca="1">IF(LEFT(TEXT([1]Planilha1!$L252,"0000000"),1)="5","MS","SP")</f>
        <v>SP</v>
      </c>
      <c r="B252" t="str">
        <f ca="1">IF(RIGHT([1]Planilha1!$A252,5)=" - MS",LEFT([1]Planilha1!$A252,LEN([1]Planilha1!$A252)-5),TRIM([1]Planilha1!$A252))</f>
        <v>JALES</v>
      </c>
      <c r="C252" s="2">
        <f ca="1">[1]Planilha1!$L252</f>
        <v>3524808</v>
      </c>
      <c r="D252" t="str">
        <f>TRIM([1]Planilha1!$D252)</f>
        <v>ISP LOCAL</v>
      </c>
      <c r="E252" t="str">
        <f>IF(TRIM([1]Planilha1!$D252)="Claro","Claro","Concorrente")</f>
        <v>Concorrente</v>
      </c>
      <c r="F252" t="s">
        <v>70</v>
      </c>
      <c r="G252" t="str">
        <f t="shared" ca="1" si="13"/>
        <v>Banda Larga + Conteudo</v>
      </c>
      <c r="H252" t="str">
        <f ca="1">TRIM([1]Planilha1!$E252)</f>
        <v>MELFINET - 400 R$99,39</v>
      </c>
      <c r="I252" t="str">
        <f ca="1">IF([1]Planilha1!$F252="","",TRIM([1]Planilha1!$F252))</f>
        <v>Fibra</v>
      </c>
      <c r="J252" s="3" t="str">
        <f ca="1">IF([1]Planilha1!$G252="","",[1]Planilha1!$G252)</f>
        <v/>
      </c>
      <c r="K252" s="4" t="str" cm="1">
        <f t="array" aca="1" ref="K252" ca="1">IFERROR(VALUE(_xlfn.REGEXEXTRACT([1]Planilha1!$E252,"\+\s*(\d+)GB",2)),"")</f>
        <v/>
      </c>
      <c r="L252" s="5">
        <f ca="1">IF([1]Planilha1!$H252="","",[1]Planilha1!$H252)</f>
        <v>99.39</v>
      </c>
      <c r="M252" s="5" t="str">
        <f ca="1">IF([1]Planilha1!$I252="","",[1]Planilha1!$I252)</f>
        <v/>
      </c>
      <c r="N252" s="2" t="str" cm="1">
        <f t="array" aca="1" ref="N252" ca="1">IFERROR(VALUE(_xlfn.REGEXEXTRACT([1]Planilha1!$E252,"(\d+)\s*MESES",2)),IFERROR(VALUE(_xlfn.REGEXEXTRACT([1]Planilha1!$E252,"por\s*(\d+)\s*M",2)),IF(_xlfn.REGEXTEST([1]Planilha1!$E252,"1[ºª]"),1,"")))</f>
        <v/>
      </c>
      <c r="O252" s="6" t="str">
        <f t="shared" ca="1" si="14"/>
        <v/>
      </c>
      <c r="P252" t="str">
        <f ca="1">IF([1]Planilha1!$J252="","",TRIM([1]Planilha1!$J252))</f>
        <v>0</v>
      </c>
      <c r="Q252" s="7">
        <f ca="1">IF($D252="Claro","",IFERROR($L252-VLOOKUP($B252&amp;"|Claro",[1]AUX_CLARO!$A:$C,2,FALSE),""))</f>
        <v>-40.510000000000005</v>
      </c>
      <c r="R252" s="8" t="str">
        <f ca="1">IF($D252="Claro","",IFERROR($J252-VLOOKUP($B252&amp;"|Claro",[1]AUX_CLARO!$A:$C,3,FALSE),""))</f>
        <v/>
      </c>
      <c r="S252" t="str">
        <f t="shared" ca="1" si="15"/>
        <v>Claro mais cara</v>
      </c>
      <c r="T252" t="str">
        <f t="shared" ca="1" si="16"/>
        <v/>
      </c>
      <c r="U252" s="9">
        <f t="shared" si="17"/>
        <v>46174</v>
      </c>
      <c r="V252" t="str">
        <f ca="1">IF(OR([1]Planilha1!$B252="",[1]Planilha1!$B252="NÃO MAPEADO"),"",TRIM([1]Planilha1!$B252))</f>
        <v>NOROESTE</v>
      </c>
      <c r="W252" t="str">
        <f ca="1">IF([1]Planilha1!$C252="","",TRIM([1]Planilha1!$C252))</f>
        <v>MD 2</v>
      </c>
      <c r="X252" t="str">
        <f ca="1">IFERROR(VLOOKUP($C252,[1]Planilha2!$B:$H,7,FALSE),"")</f>
        <v>15700-001</v>
      </c>
    </row>
    <row r="253" spans="1:24" x14ac:dyDescent="0.35">
      <c r="A253" t="str">
        <f ca="1">IF(LEFT(TEXT([1]Planilha1!$L253,"0000000"),1)="5","MS","SP")</f>
        <v>SP</v>
      </c>
      <c r="B253" t="str">
        <f ca="1">IF(RIGHT([1]Planilha1!$A253,5)=" - MS",LEFT([1]Planilha1!$A253,LEN([1]Planilha1!$A253)-5),TRIM([1]Planilha1!$A253))</f>
        <v>JARDINOPOLIS</v>
      </c>
      <c r="C253" s="2">
        <f ca="1">[1]Planilha1!$L253</f>
        <v>3525102</v>
      </c>
      <c r="D253" t="str">
        <f>TRIM([1]Planilha1!$D253)</f>
        <v>Claro</v>
      </c>
      <c r="E253" t="str">
        <f>IF(TRIM([1]Planilha1!$D253)="Claro","Claro","Concorrente")</f>
        <v>Claro</v>
      </c>
      <c r="F253" t="s">
        <v>24</v>
      </c>
      <c r="G253" t="str">
        <f t="shared" ca="1" si="13"/>
        <v>Banda Larga + Movel</v>
      </c>
      <c r="H253" t="str">
        <f ca="1">TRIM([1]Planilha1!$E253)</f>
        <v>600M+100GB=R$109,90 por 6M, após R$139,90</v>
      </c>
      <c r="I253" t="str">
        <f ca="1">IF([1]Planilha1!$F253="","",TRIM([1]Planilha1!$F253))</f>
        <v>Fibra</v>
      </c>
      <c r="J253" s="3">
        <f ca="1">IF([1]Planilha1!$G253="","",[1]Planilha1!$G253)</f>
        <v>600</v>
      </c>
      <c r="K253" s="4" cm="1">
        <f t="array" aca="1" ref="K253" ca="1">IFERROR(VALUE(_xlfn.REGEXEXTRACT([1]Planilha1!$E253,"\+\s*(\d+)GB",2)),"")</f>
        <v>100</v>
      </c>
      <c r="L253" s="5">
        <f ca="1">IF([1]Planilha1!$H253="","",[1]Planilha1!$H253)</f>
        <v>139.9</v>
      </c>
      <c r="M253" s="5">
        <f ca="1">IF([1]Planilha1!$I253="","",[1]Planilha1!$I253)</f>
        <v>109.9</v>
      </c>
      <c r="N253" s="2" cm="1">
        <f t="array" aca="1" ref="N253" ca="1">IFERROR(VALUE(_xlfn.REGEXEXTRACT([1]Planilha1!$E253,"(\d+)\s*MESES",2)),IFERROR(VALUE(_xlfn.REGEXEXTRACT([1]Planilha1!$E253,"por\s*(\d+)\s*M",2)),IF(_xlfn.REGEXTEST([1]Planilha1!$E253,"1[ºª]"),1,"")))</f>
        <v>6</v>
      </c>
      <c r="O253" s="6">
        <f t="shared" ca="1" si="14"/>
        <v>0.23316666666666669</v>
      </c>
      <c r="P253" t="str">
        <f ca="1">IF([1]Planilha1!$J253="","",TRIM([1]Planilha1!$J253))</f>
        <v>GLOBOPLAY</v>
      </c>
      <c r="Q253" s="7" t="str">
        <f>IF($D253="Claro","",IFERROR($L253-VLOOKUP($B253&amp;"|Claro",[1]AUX_CLARO!$A:$C,2,FALSE),""))</f>
        <v/>
      </c>
      <c r="R253" s="8" t="str">
        <f>IF($D253="Claro","",IFERROR($J253-VLOOKUP($B253&amp;"|Claro",[1]AUX_CLARO!$A:$C,3,FALSE),""))</f>
        <v/>
      </c>
      <c r="S253" t="str">
        <f t="shared" si="15"/>
        <v/>
      </c>
      <c r="T253" t="str">
        <f t="shared" si="16"/>
        <v/>
      </c>
      <c r="U253" s="9">
        <f t="shared" si="17"/>
        <v>46174</v>
      </c>
      <c r="V253" t="str">
        <f ca="1">IF(OR([1]Planilha1!$B253="",[1]Planilha1!$B253="NÃO MAPEADO"),"",TRIM([1]Planilha1!$B253))</f>
        <v>NOROESTE</v>
      </c>
      <c r="W253" t="str">
        <f ca="1">IF([1]Planilha1!$C253="","",TRIM([1]Planilha1!$C253))</f>
        <v>MD 2</v>
      </c>
      <c r="X253" t="str">
        <f ca="1">IFERROR(VLOOKUP($C253,[1]Planilha2!$B:$H,7,FALSE),"")</f>
        <v>14680-001</v>
      </c>
    </row>
    <row r="254" spans="1:24" x14ac:dyDescent="0.35">
      <c r="A254" t="str">
        <f ca="1">IF(LEFT(TEXT([1]Planilha1!$L254,"0000000"),1)="5","MS","SP")</f>
        <v>SP</v>
      </c>
      <c r="B254" t="str">
        <f ca="1">IF(RIGHT([1]Planilha1!$A254,5)=" - MS",LEFT([1]Planilha1!$A254,LEN([1]Planilha1!$A254)-5),TRIM([1]Planilha1!$A254))</f>
        <v>JARDINOPOLIS</v>
      </c>
      <c r="C254" s="2">
        <f ca="1">[1]Planilha1!$L254</f>
        <v>3525102</v>
      </c>
      <c r="D254" t="str">
        <f>TRIM([1]Planilha1!$D254)</f>
        <v>Algar</v>
      </c>
      <c r="E254" t="str">
        <f>IF(TRIM([1]Planilha1!$D254)="Claro","Claro","Concorrente")</f>
        <v>Concorrente</v>
      </c>
      <c r="F254" t="s">
        <v>38</v>
      </c>
      <c r="G254" t="str">
        <f t="shared" ca="1" si="13"/>
        <v>Banda Larga + Conteudo</v>
      </c>
      <c r="H254" t="str">
        <f ca="1">TRIM([1]Planilha1!$E254)</f>
        <v>800M R$99,90</v>
      </c>
      <c r="I254" t="str">
        <f ca="1">IF([1]Planilha1!$F254="","",TRIM([1]Planilha1!$F254))</f>
        <v>Fibra</v>
      </c>
      <c r="J254" s="3">
        <f ca="1">IF([1]Planilha1!$G254="","",[1]Planilha1!$G254)</f>
        <v>800</v>
      </c>
      <c r="K254" s="4" t="str" cm="1">
        <f t="array" aca="1" ref="K254" ca="1">IFERROR(VALUE(_xlfn.REGEXEXTRACT([1]Planilha1!$E254,"\+\s*(\d+)GB",2)),"")</f>
        <v/>
      </c>
      <c r="L254" s="5">
        <f ca="1">IF([1]Planilha1!$H254="","",[1]Planilha1!$H254)</f>
        <v>99.9</v>
      </c>
      <c r="M254" s="5" t="str">
        <f ca="1">IF([1]Planilha1!$I254="","",[1]Planilha1!$I254)</f>
        <v/>
      </c>
      <c r="N254" s="2" t="str" cm="1">
        <f t="array" aca="1" ref="N254" ca="1">IFERROR(VALUE(_xlfn.REGEXEXTRACT([1]Planilha1!$E254,"(\d+)\s*MESES",2)),IFERROR(VALUE(_xlfn.REGEXEXTRACT([1]Planilha1!$E254,"por\s*(\d+)\s*M",2)),IF(_xlfn.REGEXTEST([1]Planilha1!$E254,"1[ºª]"),1,"")))</f>
        <v/>
      </c>
      <c r="O254" s="6">
        <f t="shared" ca="1" si="14"/>
        <v>0.12487500000000001</v>
      </c>
      <c r="P254" t="str">
        <f ca="1">IF([1]Planilha1!$J254="","",TRIM([1]Planilha1!$J254))</f>
        <v>0</v>
      </c>
      <c r="Q254" s="7">
        <f ca="1">IF($D254="Claro","",IFERROR($L254-VLOOKUP($B254&amp;"|Claro",[1]AUX_CLARO!$A:$C,2,FALSE),""))</f>
        <v>-40</v>
      </c>
      <c r="R254" s="8">
        <f ca="1">IF($D254="Claro","",IFERROR($J254-VLOOKUP($B254&amp;"|Claro",[1]AUX_CLARO!$A:$C,3,FALSE),""))</f>
        <v>200</v>
      </c>
      <c r="S254" t="str">
        <f t="shared" ca="1" si="15"/>
        <v>Claro mais cara</v>
      </c>
      <c r="T254" t="str">
        <f t="shared" ca="1" si="16"/>
        <v>Claro com menor velocidade</v>
      </c>
      <c r="U254" s="9">
        <f t="shared" si="17"/>
        <v>46174</v>
      </c>
      <c r="V254" t="str">
        <f ca="1">IF(OR([1]Planilha1!$B254="",[1]Planilha1!$B254="NÃO MAPEADO"),"",TRIM([1]Planilha1!$B254))</f>
        <v>NOROESTE</v>
      </c>
      <c r="W254" t="str">
        <f ca="1">IF([1]Planilha1!$C254="","",TRIM([1]Planilha1!$C254))</f>
        <v>MD 2</v>
      </c>
      <c r="X254" t="str">
        <f ca="1">IFERROR(VLOOKUP($C254,[1]Planilha2!$B:$H,7,FALSE),"")</f>
        <v>14680-001</v>
      </c>
    </row>
    <row r="255" spans="1:24" x14ac:dyDescent="0.35">
      <c r="A255" t="str">
        <f ca="1">IF(LEFT(TEXT([1]Planilha1!$L255,"0000000"),1)="5","MS","SP")</f>
        <v>SP</v>
      </c>
      <c r="B255" t="str">
        <f ca="1">IF(RIGHT([1]Planilha1!$A255,5)=" - MS",LEFT([1]Planilha1!$A255,LEN([1]Planilha1!$A255)-5),TRIM([1]Planilha1!$A255))</f>
        <v>JARDINOPOLIS</v>
      </c>
      <c r="C255" s="2">
        <f ca="1">[1]Planilha1!$L255</f>
        <v>3525102</v>
      </c>
      <c r="D255" t="str">
        <f>TRIM([1]Planilha1!$D255)</f>
        <v>Weclix</v>
      </c>
      <c r="E255" t="str">
        <f>IF(TRIM([1]Planilha1!$D255)="Claro","Claro","Concorrente")</f>
        <v>Concorrente</v>
      </c>
      <c r="F255" t="s">
        <v>34</v>
      </c>
      <c r="G255" t="str">
        <f t="shared" ca="1" si="13"/>
        <v>Banda Larga + Conteudo</v>
      </c>
      <c r="H255" t="str">
        <f ca="1">TRIM([1]Planilha1!$E255)</f>
        <v>1GB R$59,90 - 1ª MENSALIDADE, APÓS R$99,90</v>
      </c>
      <c r="I255" t="str">
        <f ca="1">IF([1]Planilha1!$F255="","",TRIM([1]Planilha1!$F255))</f>
        <v>Fibra</v>
      </c>
      <c r="J255" s="3">
        <f ca="1">IF([1]Planilha1!$G255="","",[1]Planilha1!$G255)</f>
        <v>1000</v>
      </c>
      <c r="K255" s="4" t="str" cm="1">
        <f t="array" aca="1" ref="K255" ca="1">IFERROR(VALUE(_xlfn.REGEXEXTRACT([1]Planilha1!$E255,"\+\s*(\d+)GB",2)),"")</f>
        <v/>
      </c>
      <c r="L255" s="5">
        <f ca="1">IF([1]Planilha1!$H255="","",[1]Planilha1!$H255)</f>
        <v>99.9</v>
      </c>
      <c r="M255" s="5">
        <f ca="1">IF([1]Planilha1!$I255="","",[1]Planilha1!$I255)</f>
        <v>59.9</v>
      </c>
      <c r="N255" s="2" cm="1">
        <f t="array" aca="1" ref="N255" ca="1">IFERROR(VALUE(_xlfn.REGEXEXTRACT([1]Planilha1!$E255,"(\d+)\s*MESES",2)),IFERROR(VALUE(_xlfn.REGEXEXTRACT([1]Planilha1!$E255,"por\s*(\d+)\s*M",2)),IF(_xlfn.REGEXTEST([1]Planilha1!$E255,"1[ºª]"),1,"")))</f>
        <v>1</v>
      </c>
      <c r="O255" s="6">
        <f t="shared" ca="1" si="14"/>
        <v>9.9900000000000003E-2</v>
      </c>
      <c r="P255" t="str">
        <f ca="1">IF([1]Planilha1!$J255="","",TRIM([1]Planilha1!$J255))</f>
        <v>0</v>
      </c>
      <c r="Q255" s="7">
        <f ca="1">IF($D255="Claro","",IFERROR($L255-VLOOKUP($B255&amp;"|Claro",[1]AUX_CLARO!$A:$C,2,FALSE),""))</f>
        <v>-40</v>
      </c>
      <c r="R255" s="8">
        <f ca="1">IF($D255="Claro","",IFERROR($J255-VLOOKUP($B255&amp;"|Claro",[1]AUX_CLARO!$A:$C,3,FALSE),""))</f>
        <v>400</v>
      </c>
      <c r="S255" t="str">
        <f t="shared" ca="1" si="15"/>
        <v>Claro mais cara</v>
      </c>
      <c r="T255" t="str">
        <f t="shared" ca="1" si="16"/>
        <v>Claro com menor velocidade</v>
      </c>
      <c r="U255" s="9">
        <f t="shared" si="17"/>
        <v>46174</v>
      </c>
      <c r="V255" t="str">
        <f ca="1">IF(OR([1]Planilha1!$B255="",[1]Planilha1!$B255="NÃO MAPEADO"),"",TRIM([1]Planilha1!$B255))</f>
        <v>NOROESTE</v>
      </c>
      <c r="W255" t="str">
        <f ca="1">IF([1]Planilha1!$C255="","",TRIM([1]Planilha1!$C255))</f>
        <v>MD 2</v>
      </c>
      <c r="X255" t="str">
        <f ca="1">IFERROR(VLOOKUP($C255,[1]Planilha2!$B:$H,7,FALSE),"")</f>
        <v>14680-001</v>
      </c>
    </row>
    <row r="256" spans="1:24" x14ac:dyDescent="0.35">
      <c r="A256" t="str">
        <f ca="1">IF(LEFT(TEXT([1]Planilha1!$L256,"0000000"),1)="5","MS","SP")</f>
        <v>SP</v>
      </c>
      <c r="B256" t="str">
        <f ca="1">IF(RIGHT([1]Planilha1!$A256,5)=" - MS",LEFT([1]Planilha1!$A256,LEN([1]Planilha1!$A256)-5),TRIM([1]Planilha1!$A256))</f>
        <v>JARDINOPOLIS</v>
      </c>
      <c r="C256" s="2">
        <f ca="1">[1]Planilha1!$L256</f>
        <v>3525102</v>
      </c>
      <c r="D256" t="str">
        <f>TRIM([1]Planilha1!$D256)</f>
        <v>ISP LOCAL</v>
      </c>
      <c r="E256" t="str">
        <f>IF(TRIM([1]Planilha1!$D256)="Claro","Claro","Concorrente")</f>
        <v>Concorrente</v>
      </c>
      <c r="F256" t="s">
        <v>45</v>
      </c>
      <c r="G256" t="str">
        <f t="shared" ca="1" si="13"/>
        <v>Banda Larga + Conteudo</v>
      </c>
      <c r="H256" t="str">
        <f ca="1">TRIM([1]Planilha1!$E256)</f>
        <v>ALCANS - 1GB R$109,00</v>
      </c>
      <c r="I256" t="str">
        <f ca="1">IF([1]Planilha1!$F256="","",TRIM([1]Planilha1!$F256))</f>
        <v>Fibra</v>
      </c>
      <c r="J256" s="3">
        <f ca="1">IF([1]Planilha1!$G256="","",[1]Planilha1!$G256)</f>
        <v>1000</v>
      </c>
      <c r="K256" s="4" t="str" cm="1">
        <f t="array" aca="1" ref="K256" ca="1">IFERROR(VALUE(_xlfn.REGEXEXTRACT([1]Planilha1!$E256,"\+\s*(\d+)GB",2)),"")</f>
        <v/>
      </c>
      <c r="L256" s="5">
        <f ca="1">IF([1]Planilha1!$H256="","",[1]Planilha1!$H256)</f>
        <v>109</v>
      </c>
      <c r="M256" s="5" t="str">
        <f ca="1">IF([1]Planilha1!$I256="","",[1]Planilha1!$I256)</f>
        <v/>
      </c>
      <c r="N256" s="2" t="str" cm="1">
        <f t="array" aca="1" ref="N256" ca="1">IFERROR(VALUE(_xlfn.REGEXEXTRACT([1]Planilha1!$E256,"(\d+)\s*MESES",2)),IFERROR(VALUE(_xlfn.REGEXEXTRACT([1]Planilha1!$E256,"por\s*(\d+)\s*M",2)),IF(_xlfn.REGEXTEST([1]Planilha1!$E256,"1[ºª]"),1,"")))</f>
        <v/>
      </c>
      <c r="O256" s="6">
        <f t="shared" ca="1" si="14"/>
        <v>0.109</v>
      </c>
      <c r="P256" t="str">
        <f ca="1">IF([1]Planilha1!$J256="","",TRIM([1]Planilha1!$J256))</f>
        <v>0</v>
      </c>
      <c r="Q256" s="7">
        <f ca="1">IF($D256="Claro","",IFERROR($L256-VLOOKUP($B256&amp;"|Claro",[1]AUX_CLARO!$A:$C,2,FALSE),""))</f>
        <v>-30.900000000000006</v>
      </c>
      <c r="R256" s="8">
        <f ca="1">IF($D256="Claro","",IFERROR($J256-VLOOKUP($B256&amp;"|Claro",[1]AUX_CLARO!$A:$C,3,FALSE),""))</f>
        <v>400</v>
      </c>
      <c r="S256" t="str">
        <f t="shared" ca="1" si="15"/>
        <v>Claro mais cara</v>
      </c>
      <c r="T256" t="str">
        <f t="shared" ca="1" si="16"/>
        <v>Claro com menor velocidade</v>
      </c>
      <c r="U256" s="9">
        <f t="shared" si="17"/>
        <v>46174</v>
      </c>
      <c r="V256" t="str">
        <f ca="1">IF(OR([1]Planilha1!$B256="",[1]Planilha1!$B256="NÃO MAPEADO"),"",TRIM([1]Planilha1!$B256))</f>
        <v>NOROESTE</v>
      </c>
      <c r="W256" t="str">
        <f ca="1">IF([1]Planilha1!$C256="","",TRIM([1]Planilha1!$C256))</f>
        <v>MD 2</v>
      </c>
      <c r="X256" t="str">
        <f ca="1">IFERROR(VLOOKUP($C256,[1]Planilha2!$B:$H,7,FALSE),"")</f>
        <v>14680-001</v>
      </c>
    </row>
    <row r="257" spans="1:24" x14ac:dyDescent="0.35">
      <c r="A257" t="str">
        <f ca="1">IF(LEFT(TEXT([1]Planilha1!$L257,"0000000"),1)="5","MS","SP")</f>
        <v>SP</v>
      </c>
      <c r="B257" t="str">
        <f ca="1">IF(RIGHT([1]Planilha1!$A257,5)=" - MS",LEFT([1]Planilha1!$A257,LEN([1]Planilha1!$A257)-5),TRIM([1]Planilha1!$A257))</f>
        <v>JAU</v>
      </c>
      <c r="C257" s="2">
        <f ca="1">[1]Planilha1!$L257</f>
        <v>3525300</v>
      </c>
      <c r="D257" t="str">
        <f>TRIM([1]Planilha1!$D257)</f>
        <v>Claro</v>
      </c>
      <c r="E257" t="str">
        <f>IF(TRIM([1]Planilha1!$D257)="Claro","Claro","Concorrente")</f>
        <v>Claro</v>
      </c>
      <c r="F257" t="s">
        <v>24</v>
      </c>
      <c r="G257" t="str">
        <f t="shared" ref="G257:G320" ca="1" si="18">IF($K257&lt;&gt;"","Banda Larga + Movel",IF($P257&lt;&gt;"","Banda Larga + Conteudo","Banda Larga"))</f>
        <v>Banda Larga + Movel</v>
      </c>
      <c r="H257" t="str">
        <f ca="1">TRIM([1]Planilha1!$E257)</f>
        <v>1GB+100GB = R$99,90</v>
      </c>
      <c r="I257" t="str">
        <f ca="1">IF([1]Planilha1!$F257="","",TRIM([1]Planilha1!$F257))</f>
        <v>Fibra</v>
      </c>
      <c r="J257" s="3">
        <f ca="1">IF([1]Planilha1!$G257="","",[1]Planilha1!$G257)</f>
        <v>1000</v>
      </c>
      <c r="K257" s="4" cm="1">
        <f t="array" aca="1" ref="K257" ca="1">IFERROR(VALUE(_xlfn.REGEXEXTRACT([1]Planilha1!$E257,"\+\s*(\d+)GB",2)),"")</f>
        <v>100</v>
      </c>
      <c r="L257" s="5">
        <f ca="1">IF([1]Planilha1!$H257="","",[1]Planilha1!$H257)</f>
        <v>99.9</v>
      </c>
      <c r="M257" s="5" t="str">
        <f ca="1">IF([1]Planilha1!$I257="","",[1]Planilha1!$I257)</f>
        <v/>
      </c>
      <c r="N257" s="2" t="str" cm="1">
        <f t="array" aca="1" ref="N257" ca="1">IFERROR(VALUE(_xlfn.REGEXEXTRACT([1]Planilha1!$E257,"(\d+)\s*MESES",2)),IFERROR(VALUE(_xlfn.REGEXEXTRACT([1]Planilha1!$E257,"por\s*(\d+)\s*M",2)),IF(_xlfn.REGEXTEST([1]Planilha1!$E257,"1[ºª]"),1,"")))</f>
        <v/>
      </c>
      <c r="O257" s="6">
        <f t="shared" ca="1" si="14"/>
        <v>9.9900000000000003E-2</v>
      </c>
      <c r="P257" t="str">
        <f ca="1">IF([1]Planilha1!$J257="","",TRIM([1]Planilha1!$J257))</f>
        <v>GLOBOPLAY</v>
      </c>
      <c r="Q257" s="7" t="str">
        <f>IF($D257="Claro","",IFERROR($L257-VLOOKUP($B257&amp;"|Claro",[1]AUX_CLARO!$A:$C,2,FALSE),""))</f>
        <v/>
      </c>
      <c r="R257" s="8" t="str">
        <f>IF($D257="Claro","",IFERROR($J257-VLOOKUP($B257&amp;"|Claro",[1]AUX_CLARO!$A:$C,3,FALSE),""))</f>
        <v/>
      </c>
      <c r="S257" t="str">
        <f t="shared" si="15"/>
        <v/>
      </c>
      <c r="T257" t="str">
        <f t="shared" si="16"/>
        <v/>
      </c>
      <c r="U257" s="9">
        <f t="shared" si="17"/>
        <v>46174</v>
      </c>
      <c r="V257" t="str">
        <f ca="1">IF(OR([1]Planilha1!$B257="",[1]Planilha1!$B257="NÃO MAPEADO"),"",TRIM([1]Planilha1!$B257))</f>
        <v>OESTE</v>
      </c>
      <c r="W257" t="str">
        <f ca="1">IF([1]Planilha1!$C257="","",TRIM([1]Planilha1!$C257))</f>
        <v>RUBI</v>
      </c>
      <c r="X257" t="str">
        <f ca="1">IFERROR(VLOOKUP($C257,[1]Planilha2!$B:$H,7,FALSE),"")</f>
        <v>17200-001</v>
      </c>
    </row>
    <row r="258" spans="1:24" x14ac:dyDescent="0.35">
      <c r="A258" t="str">
        <f ca="1">IF(LEFT(TEXT([1]Planilha1!$L258,"0000000"),1)="5","MS","SP")</f>
        <v>SP</v>
      </c>
      <c r="B258" t="str">
        <f ca="1">IF(RIGHT([1]Planilha1!$A258,5)=" - MS",LEFT([1]Planilha1!$A258,LEN([1]Planilha1!$A258)-5),TRIM([1]Planilha1!$A258))</f>
        <v>JAU</v>
      </c>
      <c r="C258" s="2">
        <f ca="1">[1]Planilha1!$L258</f>
        <v>3525300</v>
      </c>
      <c r="D258" t="str">
        <f>TRIM([1]Planilha1!$D258)</f>
        <v>Vivo</v>
      </c>
      <c r="E258" t="str">
        <f>IF(TRIM([1]Planilha1!$D258)="Claro","Claro","Concorrente")</f>
        <v>Concorrente</v>
      </c>
      <c r="F258" t="s">
        <v>25</v>
      </c>
      <c r="G258" t="str">
        <f t="shared" ca="1" si="18"/>
        <v>Banda Larga + Movel</v>
      </c>
      <c r="H258" t="s">
        <v>26</v>
      </c>
      <c r="I258" t="str">
        <f ca="1">IF([1]Planilha1!$F258="","",TRIM([1]Planilha1!$F258))</f>
        <v>Fibra</v>
      </c>
      <c r="J258" s="11" t="s">
        <v>27</v>
      </c>
      <c r="K258" s="4" cm="1">
        <f t="array" aca="1" ref="K258" ca="1">IFERROR(VALUE(_xlfn.REGEXEXTRACT([1]Planilha1!$E258,"\+\s*(\d+)GB",2)),"")</f>
        <v>70</v>
      </c>
      <c r="L258" s="5">
        <v>160</v>
      </c>
      <c r="M258" s="5" t="str">
        <f ca="1">IF([1]Planilha1!$I258="","",[1]Planilha1!$I258)</f>
        <v/>
      </c>
      <c r="N258" s="2" t="str" cm="1">
        <f t="array" aca="1" ref="N258" ca="1">IFERROR(VALUE(_xlfn.REGEXEXTRACT([1]Planilha1!$E258,"(\d+)\s*MESES",2)),IFERROR(VALUE(_xlfn.REGEXEXTRACT([1]Planilha1!$E258,"por\s*(\d+)\s*M",2)),IF(_xlfn.REGEXTEST([1]Planilha1!$E258,"1[ºª]"),1,"")))</f>
        <v/>
      </c>
      <c r="O258" s="6" t="str">
        <f t="shared" si="14"/>
        <v/>
      </c>
      <c r="P258" t="str">
        <f ca="1">IF([1]Planilha1!$J258="","",TRIM([1]Planilha1!$J258))</f>
        <v>0</v>
      </c>
      <c r="Q258" s="7">
        <f ca="1">IF($D258="Claro","",IFERROR($L258-VLOOKUP($B258&amp;"|Claro",[1]AUX_CLARO!$A:$C,2,FALSE),""))</f>
        <v>60.099999999999994</v>
      </c>
      <c r="R258" s="8" t="str">
        <f ca="1">IF($D258="Claro","",IFERROR($J258-VLOOKUP($B258&amp;"|Claro",[1]AUX_CLARO!$A:$C,3,FALSE),""))</f>
        <v/>
      </c>
      <c r="S258" t="str">
        <f t="shared" ca="1" si="15"/>
        <v>Claro mais barata</v>
      </c>
      <c r="T258" t="str">
        <f t="shared" ca="1" si="16"/>
        <v/>
      </c>
      <c r="U258" s="9">
        <f t="shared" si="17"/>
        <v>46174</v>
      </c>
      <c r="V258" t="str">
        <f ca="1">IF(OR([1]Planilha1!$B258="",[1]Planilha1!$B258="NÃO MAPEADO"),"",TRIM([1]Planilha1!$B258))</f>
        <v>OESTE</v>
      </c>
      <c r="W258" t="str">
        <f ca="1">IF([1]Planilha1!$C258="","",TRIM([1]Planilha1!$C258))</f>
        <v>RUBI</v>
      </c>
      <c r="X258" t="str">
        <f ca="1">IFERROR(VLOOKUP($C258,[1]Planilha2!$B:$H,7,FALSE),"")</f>
        <v>17200-001</v>
      </c>
    </row>
    <row r="259" spans="1:24" x14ac:dyDescent="0.35">
      <c r="A259" t="str">
        <f ca="1">IF(LEFT(TEXT([1]Planilha1!$L259,"0000000"),1)="5","MS","SP")</f>
        <v>SP</v>
      </c>
      <c r="B259" t="str">
        <f ca="1">IF(RIGHT([1]Planilha1!$A259,5)=" - MS",LEFT([1]Planilha1!$A259,LEN([1]Planilha1!$A259)-5),TRIM([1]Planilha1!$A259))</f>
        <v>JAU</v>
      </c>
      <c r="C259" s="2">
        <f ca="1">[1]Planilha1!$L259</f>
        <v>3525300</v>
      </c>
      <c r="D259" t="str">
        <f>TRIM([1]Planilha1!$D259)</f>
        <v>Desktop</v>
      </c>
      <c r="E259" t="str">
        <f>IF(TRIM([1]Planilha1!$D259)="Claro","Claro","Concorrente")</f>
        <v>Concorrente</v>
      </c>
      <c r="F259" t="s">
        <v>29</v>
      </c>
      <c r="G259" t="str">
        <f t="shared" ca="1" si="18"/>
        <v>Banda Larga + Movel</v>
      </c>
      <c r="H259" t="str">
        <f ca="1">TRIM([1]Planilha1!$E259)</f>
        <v>600M+15GB=R$129,99 - 6 MESES, APÓS R$139,99</v>
      </c>
      <c r="I259" t="str">
        <f ca="1">IF([1]Planilha1!$F259="","",TRIM([1]Planilha1!$F259))</f>
        <v>Fibra</v>
      </c>
      <c r="J259" s="3">
        <f ca="1">IF([1]Planilha1!$G259="","",[1]Planilha1!$G259)</f>
        <v>600</v>
      </c>
      <c r="K259" s="4" cm="1">
        <f t="array" aca="1" ref="K259" ca="1">IFERROR(VALUE(_xlfn.REGEXEXTRACT([1]Planilha1!$E259,"\+\s*(\d+)GB",2)),"")</f>
        <v>15</v>
      </c>
      <c r="L259" s="5">
        <f ca="1">IF([1]Planilha1!$H259="","",[1]Planilha1!$H259)</f>
        <v>139.99</v>
      </c>
      <c r="M259" s="5">
        <f ca="1">IF([1]Planilha1!$I259="","",[1]Planilha1!$I259)</f>
        <v>129.99</v>
      </c>
      <c r="N259" s="2" cm="1">
        <f t="array" aca="1" ref="N259" ca="1">IFERROR(VALUE(_xlfn.REGEXEXTRACT([1]Planilha1!$E259,"(\d+)\s*MESES",2)),IFERROR(VALUE(_xlfn.REGEXEXTRACT([1]Planilha1!$E259,"por\s*(\d+)\s*M",2)),IF(_xlfn.REGEXTEST([1]Planilha1!$E259,"1[ºª]"),1,"")))</f>
        <v>6</v>
      </c>
      <c r="O259" s="6">
        <f t="shared" ref="O259:O322" ca="1" si="19">IF(OR($L259="",$J259="",N($J259)=0),"",$L259/$J259)</f>
        <v>0.23331666666666667</v>
      </c>
      <c r="P259" t="str">
        <f ca="1">IF([1]Planilha1!$J259="","",TRIM([1]Planilha1!$J259))</f>
        <v>0</v>
      </c>
      <c r="Q259" s="7">
        <f ca="1">IF($D259="Claro","",IFERROR($L259-VLOOKUP($B259&amp;"|Claro",[1]AUX_CLARO!$A:$C,2,FALSE),""))</f>
        <v>40.090000000000003</v>
      </c>
      <c r="R259" s="8">
        <f ca="1">IF($D259="Claro","",IFERROR($J259-VLOOKUP($B259&amp;"|Claro",[1]AUX_CLARO!$A:$C,3,FALSE),""))</f>
        <v>-400</v>
      </c>
      <c r="S259" t="str">
        <f t="shared" ref="S259:S322" ca="1" si="20">IF($Q259="","",IF($Q259&gt;0,"Claro mais barata",IF($Q259=0,"Mesmo preco","Claro mais cara")))</f>
        <v>Claro mais barata</v>
      </c>
      <c r="T259" t="str">
        <f t="shared" ref="T259:T322" ca="1" si="21">IF($R259="","",IF($R259&lt;0,"Claro com maior velocidade",IF($R259=0,"Mesma velocidade","Claro com menor velocidade")))</f>
        <v>Claro com maior velocidade</v>
      </c>
      <c r="U259" s="9">
        <f t="shared" ref="U259:U322" si="22">DATE(2026,6,1)</f>
        <v>46174</v>
      </c>
      <c r="V259" t="str">
        <f ca="1">IF(OR([1]Planilha1!$B259="",[1]Planilha1!$B259="NÃO MAPEADO"),"",TRIM([1]Planilha1!$B259))</f>
        <v>OESTE</v>
      </c>
      <c r="W259" t="str">
        <f ca="1">IF([1]Planilha1!$C259="","",TRIM([1]Planilha1!$C259))</f>
        <v>RUBI</v>
      </c>
      <c r="X259" t="str">
        <f ca="1">IFERROR(VLOOKUP($C259,[1]Planilha2!$B:$H,7,FALSE),"")</f>
        <v>17200-001</v>
      </c>
    </row>
    <row r="260" spans="1:24" x14ac:dyDescent="0.35">
      <c r="A260" t="str">
        <f ca="1">IF(LEFT(TEXT([1]Planilha1!$L260,"0000000"),1)="5","MS","SP")</f>
        <v>SP</v>
      </c>
      <c r="B260" t="str">
        <f ca="1">IF(RIGHT([1]Planilha1!$A260,5)=" - MS",LEFT([1]Planilha1!$A260,LEN([1]Planilha1!$A260)-5),TRIM([1]Planilha1!$A260))</f>
        <v>JAU</v>
      </c>
      <c r="C260" s="2">
        <f ca="1">[1]Planilha1!$L260</f>
        <v>3525300</v>
      </c>
      <c r="D260" t="str">
        <f>TRIM([1]Planilha1!$D260)</f>
        <v>Vero</v>
      </c>
      <c r="E260" t="str">
        <f>IF(TRIM([1]Planilha1!$D260)="Claro","Claro","Concorrente")</f>
        <v>Concorrente</v>
      </c>
      <c r="F260" t="s">
        <v>30</v>
      </c>
      <c r="G260" t="str">
        <f t="shared" ca="1" si="18"/>
        <v>Banda Larga + Movel</v>
      </c>
      <c r="H260" t="str">
        <f ca="1">TRIM([1]Planilha1!$E260)</f>
        <v>850M+60GB=R$149,99 (C/ GLOBOPLAY, HBO, DISNEY+)</v>
      </c>
      <c r="I260" t="str">
        <f ca="1">IF([1]Planilha1!$F260="","",TRIM([1]Planilha1!$F260))</f>
        <v>Fibra</v>
      </c>
      <c r="J260" s="3">
        <f ca="1">IF([1]Planilha1!$G260="","",[1]Planilha1!$G260)</f>
        <v>850</v>
      </c>
      <c r="K260" s="4" cm="1">
        <f t="array" aca="1" ref="K260" ca="1">IFERROR(VALUE(_xlfn.REGEXEXTRACT([1]Planilha1!$E260,"\+\s*(\d+)GB",2)),"")</f>
        <v>60</v>
      </c>
      <c r="L260" s="5">
        <f ca="1">IF([1]Planilha1!$H260="","",[1]Planilha1!$H260)</f>
        <v>149.99</v>
      </c>
      <c r="M260" s="5" t="str">
        <f ca="1">IF([1]Planilha1!$I260="","",[1]Planilha1!$I260)</f>
        <v/>
      </c>
      <c r="N260" s="2" t="str" cm="1">
        <f t="array" aca="1" ref="N260" ca="1">IFERROR(VALUE(_xlfn.REGEXEXTRACT([1]Planilha1!$E260,"(\d+)\s*MESES",2)),IFERROR(VALUE(_xlfn.REGEXEXTRACT([1]Planilha1!$E260,"por\s*(\d+)\s*M",2)),IF(_xlfn.REGEXTEST([1]Planilha1!$E260,"1[ºª]"),1,"")))</f>
        <v/>
      </c>
      <c r="O260" s="6">
        <f t="shared" ca="1" si="19"/>
        <v>0.17645882352941178</v>
      </c>
      <c r="P260" t="str">
        <f ca="1">IF([1]Planilha1!$J260="","",TRIM([1]Planilha1!$J260))</f>
        <v>GLOBOPLAY, HBO, DISNEY+</v>
      </c>
      <c r="Q260" s="7">
        <f ca="1">IF($D260="Claro","",IFERROR($L260-VLOOKUP($B260&amp;"|Claro",[1]AUX_CLARO!$A:$C,2,FALSE),""))</f>
        <v>50.09</v>
      </c>
      <c r="R260" s="8">
        <f ca="1">IF($D260="Claro","",IFERROR($J260-VLOOKUP($B260&amp;"|Claro",[1]AUX_CLARO!$A:$C,3,FALSE),""))</f>
        <v>-150</v>
      </c>
      <c r="S260" t="str">
        <f t="shared" ca="1" si="20"/>
        <v>Claro mais barata</v>
      </c>
      <c r="T260" t="str">
        <f t="shared" ca="1" si="21"/>
        <v>Claro com maior velocidade</v>
      </c>
      <c r="U260" s="9">
        <f t="shared" si="22"/>
        <v>46174</v>
      </c>
      <c r="V260" t="str">
        <f ca="1">IF(OR([1]Planilha1!$B260="",[1]Planilha1!$B260="NÃO MAPEADO"),"",TRIM([1]Planilha1!$B260))</f>
        <v>OESTE</v>
      </c>
      <c r="W260" t="str">
        <f ca="1">IF([1]Planilha1!$C260="","",TRIM([1]Planilha1!$C260))</f>
        <v>RUBI</v>
      </c>
      <c r="X260" t="str">
        <f ca="1">IFERROR(VLOOKUP($C260,[1]Planilha2!$B:$H,7,FALSE),"")</f>
        <v>17200-001</v>
      </c>
    </row>
    <row r="261" spans="1:24" x14ac:dyDescent="0.35">
      <c r="A261" t="str">
        <f ca="1">IF(LEFT(TEXT([1]Planilha1!$L261,"0000000"),1)="5","MS","SP")</f>
        <v>SP</v>
      </c>
      <c r="B261" t="str">
        <f ca="1">IF(RIGHT([1]Planilha1!$A261,5)=" - MS",LEFT([1]Planilha1!$A261,LEN([1]Planilha1!$A261)-5),TRIM([1]Planilha1!$A261))</f>
        <v>JAU</v>
      </c>
      <c r="C261" s="2">
        <f ca="1">[1]Planilha1!$L261</f>
        <v>3525300</v>
      </c>
      <c r="D261" t="str">
        <f>TRIM([1]Planilha1!$D261)</f>
        <v>ISP LOCAL</v>
      </c>
      <c r="E261" t="str">
        <f>IF(TRIM([1]Planilha1!$D261)="Claro","Claro","Concorrente")</f>
        <v>Concorrente</v>
      </c>
      <c r="G261" t="str">
        <f t="shared" ca="1" si="18"/>
        <v>Banda Larga + Conteudo</v>
      </c>
      <c r="H261" t="str">
        <f ca="1">TRIM([1]Planilha1!$E261)</f>
        <v>INNOVA - 600M R$99,90</v>
      </c>
      <c r="I261" t="str">
        <f ca="1">IF([1]Planilha1!$F261="","",TRIM([1]Planilha1!$F261))</f>
        <v>Fibra</v>
      </c>
      <c r="J261" s="3">
        <f ca="1">IF([1]Planilha1!$G261="","",[1]Planilha1!$G261)</f>
        <v>600</v>
      </c>
      <c r="K261" s="4" t="str" cm="1">
        <f t="array" aca="1" ref="K261" ca="1">IFERROR(VALUE(_xlfn.REGEXEXTRACT([1]Planilha1!$E261,"\+\s*(\d+)GB",2)),"")</f>
        <v/>
      </c>
      <c r="L261" s="5">
        <f ca="1">IF([1]Planilha1!$H261="","",[1]Planilha1!$H261)</f>
        <v>99.9</v>
      </c>
      <c r="M261" s="5" t="str">
        <f ca="1">IF([1]Planilha1!$I261="","",[1]Planilha1!$I261)</f>
        <v/>
      </c>
      <c r="N261" s="2" t="str" cm="1">
        <f t="array" aca="1" ref="N261" ca="1">IFERROR(VALUE(_xlfn.REGEXEXTRACT([1]Planilha1!$E261,"(\d+)\s*MESES",2)),IFERROR(VALUE(_xlfn.REGEXEXTRACT([1]Planilha1!$E261,"por\s*(\d+)\s*M",2)),IF(_xlfn.REGEXTEST([1]Planilha1!$E261,"1[ºª]"),1,"")))</f>
        <v/>
      </c>
      <c r="O261" s="6">
        <f t="shared" ca="1" si="19"/>
        <v>0.16650000000000001</v>
      </c>
      <c r="P261" t="str">
        <f ca="1">IF([1]Planilha1!$J261="","",TRIM([1]Planilha1!$J261))</f>
        <v>0</v>
      </c>
      <c r="Q261" s="7">
        <f ca="1">IF($D261="Claro","",IFERROR($L261-VLOOKUP($B261&amp;"|Claro",[1]AUX_CLARO!$A:$C,2,FALSE),""))</f>
        <v>0</v>
      </c>
      <c r="R261" s="8">
        <f ca="1">IF($D261="Claro","",IFERROR($J261-VLOOKUP($B261&amp;"|Claro",[1]AUX_CLARO!$A:$C,3,FALSE),""))</f>
        <v>-400</v>
      </c>
      <c r="S261" t="str">
        <f t="shared" ca="1" si="20"/>
        <v>Mesmo preco</v>
      </c>
      <c r="T261" t="str">
        <f t="shared" ca="1" si="21"/>
        <v>Claro com maior velocidade</v>
      </c>
      <c r="U261" s="9">
        <f t="shared" si="22"/>
        <v>46174</v>
      </c>
      <c r="V261" t="str">
        <f ca="1">IF(OR([1]Planilha1!$B261="",[1]Planilha1!$B261="NÃO MAPEADO"),"",TRIM([1]Planilha1!$B261))</f>
        <v>OESTE</v>
      </c>
      <c r="W261" t="str">
        <f ca="1">IF([1]Planilha1!$C261="","",TRIM([1]Planilha1!$C261))</f>
        <v>RUBI</v>
      </c>
      <c r="X261" t="str">
        <f ca="1">IFERROR(VLOOKUP($C261,[1]Planilha2!$B:$H,7,FALSE),"")</f>
        <v>17200-001</v>
      </c>
    </row>
    <row r="262" spans="1:24" x14ac:dyDescent="0.35">
      <c r="A262" t="str">
        <f ca="1">IF(LEFT(TEXT([1]Planilha1!$L262,"0000000"),1)="5","MS","SP")</f>
        <v>SP</v>
      </c>
      <c r="B262" t="str">
        <f ca="1">IF(RIGHT([1]Planilha1!$A262,5)=" - MS",LEFT([1]Planilha1!$A262,LEN([1]Planilha1!$A262)-5),TRIM([1]Planilha1!$A262))</f>
        <v>JOSE BONIFACIO</v>
      </c>
      <c r="C262" s="2">
        <f ca="1">[1]Planilha1!$L262</f>
        <v>3525706</v>
      </c>
      <c r="D262" t="str">
        <f>TRIM([1]Planilha1!$D262)</f>
        <v>Claro</v>
      </c>
      <c r="E262" t="str">
        <f>IF(TRIM([1]Planilha1!$D262)="Claro","Claro","Concorrente")</f>
        <v>Claro</v>
      </c>
      <c r="F262" t="s">
        <v>24</v>
      </c>
      <c r="G262" t="str">
        <f t="shared" ca="1" si="18"/>
        <v>Banda Larga + Movel</v>
      </c>
      <c r="H262" t="str">
        <f ca="1">TRIM([1]Planilha1!$E262)</f>
        <v>600M+100GB=R$109,90 por 6M, após R$139,90</v>
      </c>
      <c r="I262" t="str">
        <f ca="1">IF([1]Planilha1!$F262="","",TRIM([1]Planilha1!$F262))</f>
        <v>Fibra</v>
      </c>
      <c r="J262" s="3">
        <f ca="1">IF([1]Planilha1!$G262="","",[1]Planilha1!$G262)</f>
        <v>600</v>
      </c>
      <c r="K262" s="4" cm="1">
        <f t="array" aca="1" ref="K262" ca="1">IFERROR(VALUE(_xlfn.REGEXEXTRACT([1]Planilha1!$E262,"\+\s*(\d+)GB",2)),"")</f>
        <v>100</v>
      </c>
      <c r="L262" s="5">
        <f ca="1">IF([1]Planilha1!$H262="","",[1]Planilha1!$H262)</f>
        <v>139.9</v>
      </c>
      <c r="M262" s="5">
        <f ca="1">IF([1]Planilha1!$I262="","",[1]Planilha1!$I262)</f>
        <v>109.9</v>
      </c>
      <c r="N262" s="2" cm="1">
        <f t="array" aca="1" ref="N262" ca="1">IFERROR(VALUE(_xlfn.REGEXEXTRACT([1]Planilha1!$E262,"(\d+)\s*MESES",2)),IFERROR(VALUE(_xlfn.REGEXEXTRACT([1]Planilha1!$E262,"por\s*(\d+)\s*M",2)),IF(_xlfn.REGEXTEST([1]Planilha1!$E262,"1[ºª]"),1,"")))</f>
        <v>6</v>
      </c>
      <c r="O262" s="6">
        <f t="shared" ca="1" si="19"/>
        <v>0.23316666666666669</v>
      </c>
      <c r="P262" t="str">
        <f ca="1">IF([1]Planilha1!$J262="","",TRIM([1]Planilha1!$J262))</f>
        <v>GLOBOPLAY</v>
      </c>
      <c r="Q262" s="7" t="str">
        <f>IF($D262="Claro","",IFERROR($L262-VLOOKUP($B262&amp;"|Claro",[1]AUX_CLARO!$A:$C,2,FALSE),""))</f>
        <v/>
      </c>
      <c r="R262" s="8" t="str">
        <f>IF($D262="Claro","",IFERROR($J262-VLOOKUP($B262&amp;"|Claro",[1]AUX_CLARO!$A:$C,3,FALSE),""))</f>
        <v/>
      </c>
      <c r="S262" t="str">
        <f t="shared" si="20"/>
        <v/>
      </c>
      <c r="T262" t="str">
        <f t="shared" si="21"/>
        <v/>
      </c>
      <c r="U262" s="9">
        <f t="shared" si="22"/>
        <v>46174</v>
      </c>
      <c r="V262" t="str">
        <f ca="1">IF(OR([1]Planilha1!$B262="",[1]Planilha1!$B262="NÃO MAPEADO"),"",TRIM([1]Planilha1!$B262))</f>
        <v>NOROESTE</v>
      </c>
      <c r="W262" t="str">
        <f ca="1">IF([1]Planilha1!$C262="","",TRIM([1]Planilha1!$C262))</f>
        <v>MD 2</v>
      </c>
      <c r="X262" t="str">
        <f ca="1">IFERROR(VLOOKUP($C262,[1]Planilha2!$B:$H,7,FALSE),"")</f>
        <v>15200-001</v>
      </c>
    </row>
    <row r="263" spans="1:24" x14ac:dyDescent="0.35">
      <c r="A263" t="str">
        <f ca="1">IF(LEFT(TEXT([1]Planilha1!$L263,"0000000"),1)="5","MS","SP")</f>
        <v>SP</v>
      </c>
      <c r="B263" t="str">
        <f ca="1">IF(RIGHT([1]Planilha1!$A263,5)=" - MS",LEFT([1]Planilha1!$A263,LEN([1]Planilha1!$A263)-5),TRIM([1]Planilha1!$A263))</f>
        <v>JOSE BONIFACIO</v>
      </c>
      <c r="C263" s="2">
        <f ca="1">[1]Planilha1!$L263</f>
        <v>3525706</v>
      </c>
      <c r="D263" t="str">
        <f>TRIM([1]Planilha1!$D263)</f>
        <v>ISP LOCAL</v>
      </c>
      <c r="E263" t="str">
        <f>IF(TRIM([1]Planilha1!$D263)="Claro","Claro","Concorrente")</f>
        <v>Concorrente</v>
      </c>
      <c r="F263" t="s">
        <v>43</v>
      </c>
      <c r="G263" t="str">
        <f t="shared" ca="1" si="18"/>
        <v>Banda Larga + Conteudo</v>
      </c>
      <c r="H263" t="str">
        <f ca="1">TRIM([1]Planilha1!$E263)</f>
        <v>OQUEI - 600M R$49,90 - 3 MESES, APÓS R$99,90</v>
      </c>
      <c r="I263" t="str">
        <f ca="1">IF([1]Planilha1!$F263="","",TRIM([1]Planilha1!$F263))</f>
        <v>Fibra</v>
      </c>
      <c r="J263" s="3">
        <f ca="1">IF([1]Planilha1!$G263="","",[1]Planilha1!$G263)</f>
        <v>600</v>
      </c>
      <c r="K263" s="4" t="str" cm="1">
        <f t="array" aca="1" ref="K263" ca="1">IFERROR(VALUE(_xlfn.REGEXEXTRACT([1]Planilha1!$E263,"\+\s*(\d+)GB",2)),"")</f>
        <v/>
      </c>
      <c r="L263" s="5">
        <f ca="1">IF([1]Planilha1!$H263="","",[1]Planilha1!$H263)</f>
        <v>99.9</v>
      </c>
      <c r="M263" s="5">
        <f ca="1">IF([1]Planilha1!$I263="","",[1]Planilha1!$I263)</f>
        <v>49.9</v>
      </c>
      <c r="N263" s="2" cm="1">
        <f t="array" aca="1" ref="N263" ca="1">IFERROR(VALUE(_xlfn.REGEXEXTRACT([1]Planilha1!$E263,"(\d+)\s*MESES",2)),IFERROR(VALUE(_xlfn.REGEXEXTRACT([1]Planilha1!$E263,"por\s*(\d+)\s*M",2)),IF(_xlfn.REGEXTEST([1]Planilha1!$E263,"1[ºª]"),1,"")))</f>
        <v>3</v>
      </c>
      <c r="O263" s="6">
        <f t="shared" ca="1" si="19"/>
        <v>0.16650000000000001</v>
      </c>
      <c r="P263" t="str">
        <f ca="1">IF([1]Planilha1!$J263="","",TRIM([1]Planilha1!$J263))</f>
        <v>0</v>
      </c>
      <c r="Q263" s="7">
        <f ca="1">IF($D263="Claro","",IFERROR($L263-VLOOKUP($B263&amp;"|Claro",[1]AUX_CLARO!$A:$C,2,FALSE),""))</f>
        <v>-40</v>
      </c>
      <c r="R263" s="8">
        <f ca="1">IF($D263="Claro","",IFERROR($J263-VLOOKUP($B263&amp;"|Claro",[1]AUX_CLARO!$A:$C,3,FALSE),""))</f>
        <v>0</v>
      </c>
      <c r="S263" t="str">
        <f t="shared" ca="1" si="20"/>
        <v>Claro mais cara</v>
      </c>
      <c r="T263" t="str">
        <f t="shared" ca="1" si="21"/>
        <v>Mesma velocidade</v>
      </c>
      <c r="U263" s="9">
        <f t="shared" si="22"/>
        <v>46174</v>
      </c>
      <c r="V263" t="str">
        <f ca="1">IF(OR([1]Planilha1!$B263="",[1]Planilha1!$B263="NÃO MAPEADO"),"",TRIM([1]Planilha1!$B263))</f>
        <v>NOROESTE</v>
      </c>
      <c r="W263" t="str">
        <f ca="1">IF([1]Planilha1!$C263="","",TRIM([1]Planilha1!$C263))</f>
        <v>MD 2</v>
      </c>
      <c r="X263" t="str">
        <f ca="1">IFERROR(VLOOKUP($C263,[1]Planilha2!$B:$H,7,FALSE),"")</f>
        <v>15200-001</v>
      </c>
    </row>
    <row r="264" spans="1:24" x14ac:dyDescent="0.35">
      <c r="A264" t="str">
        <f ca="1">IF(LEFT(TEXT([1]Planilha1!$L264,"0000000"),1)="5","MS","SP")</f>
        <v>SP</v>
      </c>
      <c r="B264" t="str">
        <f ca="1">IF(RIGHT([1]Planilha1!$A264,5)=" - MS",LEFT([1]Planilha1!$A264,LEN([1]Planilha1!$A264)-5),TRIM([1]Planilha1!$A264))</f>
        <v>LARANJAL PAULISTA</v>
      </c>
      <c r="C264" s="2">
        <f ca="1">[1]Planilha1!$L264</f>
        <v>3526407</v>
      </c>
      <c r="D264" t="str">
        <f>TRIM([1]Planilha1!$D264)</f>
        <v>Claro</v>
      </c>
      <c r="E264" t="str">
        <f>IF(TRIM([1]Planilha1!$D264)="Claro","Claro","Concorrente")</f>
        <v>Claro</v>
      </c>
      <c r="F264" t="s">
        <v>24</v>
      </c>
      <c r="G264" t="str">
        <f t="shared" ca="1" si="18"/>
        <v>Banda Larga + Movel</v>
      </c>
      <c r="H264" t="str">
        <f ca="1">TRIM([1]Planilha1!$E264)</f>
        <v>600M+100GB=R$109,90 por 6M, após R$139,90</v>
      </c>
      <c r="I264" t="str">
        <f ca="1">IF([1]Planilha1!$F264="","",TRIM([1]Planilha1!$F264))</f>
        <v>Fibra</v>
      </c>
      <c r="J264" s="3">
        <f ca="1">IF([1]Planilha1!$G264="","",[1]Planilha1!$G264)</f>
        <v>600</v>
      </c>
      <c r="K264" s="4" cm="1">
        <f t="array" aca="1" ref="K264" ca="1">IFERROR(VALUE(_xlfn.REGEXEXTRACT([1]Planilha1!$E264,"\+\s*(\d+)GB",2)),"")</f>
        <v>100</v>
      </c>
      <c r="L264" s="5">
        <f ca="1">IF([1]Planilha1!$H264="","",[1]Planilha1!$H264)</f>
        <v>139.9</v>
      </c>
      <c r="M264" s="5">
        <f ca="1">IF([1]Planilha1!$I264="","",[1]Planilha1!$I264)</f>
        <v>109.9</v>
      </c>
      <c r="N264" s="2" cm="1">
        <f t="array" aca="1" ref="N264" ca="1">IFERROR(VALUE(_xlfn.REGEXEXTRACT([1]Planilha1!$E264,"(\d+)\s*MESES",2)),IFERROR(VALUE(_xlfn.REGEXEXTRACT([1]Planilha1!$E264,"por\s*(\d+)\s*M",2)),IF(_xlfn.REGEXTEST([1]Planilha1!$E264,"1[ºª]"),1,"")))</f>
        <v>6</v>
      </c>
      <c r="O264" s="6">
        <f t="shared" ca="1" si="19"/>
        <v>0.23316666666666669</v>
      </c>
      <c r="P264" t="str">
        <f ca="1">IF([1]Planilha1!$J264="","",TRIM([1]Planilha1!$J264))</f>
        <v>GLOBOPLAY</v>
      </c>
      <c r="Q264" s="7" t="str">
        <f>IF($D264="Claro","",IFERROR($L264-VLOOKUP($B264&amp;"|Claro",[1]AUX_CLARO!$A:$C,2,FALSE),""))</f>
        <v/>
      </c>
      <c r="R264" s="8" t="str">
        <f>IF($D264="Claro","",IFERROR($J264-VLOOKUP($B264&amp;"|Claro",[1]AUX_CLARO!$A:$C,3,FALSE),""))</f>
        <v/>
      </c>
      <c r="S264" t="str">
        <f t="shared" si="20"/>
        <v/>
      </c>
      <c r="T264" t="str">
        <f t="shared" si="21"/>
        <v/>
      </c>
      <c r="U264" s="9">
        <f t="shared" si="22"/>
        <v>46174</v>
      </c>
      <c r="V264" t="str">
        <f ca="1">IF(OR([1]Planilha1!$B264="",[1]Planilha1!$B264="NÃO MAPEADO"),"",TRIM([1]Planilha1!$B264))</f>
        <v>NOROESTE</v>
      </c>
      <c r="W264" t="str">
        <f ca="1">IF([1]Planilha1!$C264="","",TRIM([1]Planilha1!$C264))</f>
        <v>MD 2</v>
      </c>
      <c r="X264" t="str">
        <f ca="1">IFERROR(VLOOKUP($C264,[1]Planilha2!$B:$H,7,FALSE),"")</f>
        <v>18500-001</v>
      </c>
    </row>
    <row r="265" spans="1:24" x14ac:dyDescent="0.35">
      <c r="A265" t="str">
        <f ca="1">IF(LEFT(TEXT([1]Planilha1!$L265,"0000000"),1)="5","MS","SP")</f>
        <v>SP</v>
      </c>
      <c r="B265" t="str">
        <f ca="1">IF(RIGHT([1]Planilha1!$A265,5)=" - MS",LEFT([1]Planilha1!$A265,LEN([1]Planilha1!$A265)-5),TRIM([1]Planilha1!$A265))</f>
        <v>LARANJAL PAULISTA</v>
      </c>
      <c r="C265" s="2">
        <f ca="1">[1]Planilha1!$L265</f>
        <v>3526407</v>
      </c>
      <c r="D265" t="str">
        <f>TRIM([1]Planilha1!$D265)</f>
        <v>Desktop</v>
      </c>
      <c r="E265" t="str">
        <f>IF(TRIM([1]Planilha1!$D265)="Claro","Claro","Concorrente")</f>
        <v>Concorrente</v>
      </c>
      <c r="F265" t="s">
        <v>29</v>
      </c>
      <c r="G265" t="str">
        <f t="shared" ca="1" si="18"/>
        <v>Banda Larga + Movel</v>
      </c>
      <c r="H265" t="str">
        <f ca="1">TRIM([1]Planilha1!$E265)</f>
        <v>600M+15GB=R$129,99 - 6 MESES, APÓS R$139,99</v>
      </c>
      <c r="I265" t="str">
        <f ca="1">IF([1]Planilha1!$F265="","",TRIM([1]Planilha1!$F265))</f>
        <v>Fibra</v>
      </c>
      <c r="J265" s="3">
        <f ca="1">IF([1]Planilha1!$G265="","",[1]Planilha1!$G265)</f>
        <v>600</v>
      </c>
      <c r="K265" s="4" cm="1">
        <f t="array" aca="1" ref="K265" ca="1">IFERROR(VALUE(_xlfn.REGEXEXTRACT([1]Planilha1!$E265,"\+\s*(\d+)GB",2)),"")</f>
        <v>15</v>
      </c>
      <c r="L265" s="5">
        <f ca="1">IF([1]Planilha1!$H265="","",[1]Planilha1!$H265)</f>
        <v>139.99</v>
      </c>
      <c r="M265" s="5">
        <f ca="1">IF([1]Planilha1!$I265="","",[1]Planilha1!$I265)</f>
        <v>129.99</v>
      </c>
      <c r="N265" s="2" cm="1">
        <f t="array" aca="1" ref="N265" ca="1">IFERROR(VALUE(_xlfn.REGEXEXTRACT([1]Planilha1!$E265,"(\d+)\s*MESES",2)),IFERROR(VALUE(_xlfn.REGEXEXTRACT([1]Planilha1!$E265,"por\s*(\d+)\s*M",2)),IF(_xlfn.REGEXTEST([1]Planilha1!$E265,"1[ºª]"),1,"")))</f>
        <v>6</v>
      </c>
      <c r="O265" s="6">
        <f t="shared" ca="1" si="19"/>
        <v>0.23331666666666667</v>
      </c>
      <c r="P265" t="str">
        <f ca="1">IF([1]Planilha1!$J265="","",TRIM([1]Planilha1!$J265))</f>
        <v>0</v>
      </c>
      <c r="Q265" s="7">
        <f ca="1">IF($D265="Claro","",IFERROR($L265-VLOOKUP($B265&amp;"|Claro",[1]AUX_CLARO!$A:$C,2,FALSE),""))</f>
        <v>9.0000000000003411E-2</v>
      </c>
      <c r="R265" s="8">
        <f ca="1">IF($D265="Claro","",IFERROR($J265-VLOOKUP($B265&amp;"|Claro",[1]AUX_CLARO!$A:$C,3,FALSE),""))</f>
        <v>0</v>
      </c>
      <c r="S265" t="str">
        <f t="shared" ca="1" si="20"/>
        <v>Claro mais barata</v>
      </c>
      <c r="T265" t="str">
        <f t="shared" ca="1" si="21"/>
        <v>Mesma velocidade</v>
      </c>
      <c r="U265" s="9">
        <f t="shared" si="22"/>
        <v>46174</v>
      </c>
      <c r="V265" t="str">
        <f ca="1">IF(OR([1]Planilha1!$B265="",[1]Planilha1!$B265="NÃO MAPEADO"),"",TRIM([1]Planilha1!$B265))</f>
        <v>NOROESTE</v>
      </c>
      <c r="W265" t="str">
        <f ca="1">IF([1]Planilha1!$C265="","",TRIM([1]Planilha1!$C265))</f>
        <v>MD 2</v>
      </c>
      <c r="X265" t="str">
        <f ca="1">IFERROR(VLOOKUP($C265,[1]Planilha2!$B:$H,7,FALSE),"")</f>
        <v>18500-001</v>
      </c>
    </row>
    <row r="266" spans="1:24" x14ac:dyDescent="0.35">
      <c r="A266" t="str">
        <f ca="1">IF(LEFT(TEXT([1]Planilha1!$L266,"0000000"),1)="5","MS","SP")</f>
        <v>SP</v>
      </c>
      <c r="B266" t="str">
        <f ca="1">IF(RIGHT([1]Planilha1!$A266,5)=" - MS",LEFT([1]Planilha1!$A266,LEN([1]Planilha1!$A266)-5),TRIM([1]Planilha1!$A266))</f>
        <v>LARANJAL PAULISTA</v>
      </c>
      <c r="C266" s="2">
        <f ca="1">[1]Planilha1!$L266</f>
        <v>3526407</v>
      </c>
      <c r="D266" t="str">
        <f>TRIM([1]Planilha1!$D266)</f>
        <v>ISP LOCAL</v>
      </c>
      <c r="E266" t="str">
        <f>IF(TRIM([1]Planilha1!$D266)="Claro","Claro","Concorrente")</f>
        <v>Concorrente</v>
      </c>
      <c r="F266" t="s">
        <v>42</v>
      </c>
      <c r="G266" t="str">
        <f t="shared" ca="1" si="18"/>
        <v>Banda Larga + Conteudo</v>
      </c>
      <c r="H266" t="str">
        <f ca="1">TRIM([1]Planilha1!$E266)</f>
        <v>ZAAZ - 600M R$99,90</v>
      </c>
      <c r="I266" t="str">
        <f ca="1">IF([1]Planilha1!$F266="","",TRIM([1]Planilha1!$F266))</f>
        <v>Fibra</v>
      </c>
      <c r="J266" s="3">
        <f ca="1">IF([1]Planilha1!$G266="","",[1]Planilha1!$G266)</f>
        <v>600</v>
      </c>
      <c r="K266" s="4" t="str" cm="1">
        <f t="array" aca="1" ref="K266" ca="1">IFERROR(VALUE(_xlfn.REGEXEXTRACT([1]Planilha1!$E266,"\+\s*(\d+)GB",2)),"")</f>
        <v/>
      </c>
      <c r="L266" s="5">
        <f ca="1">IF([1]Planilha1!$H266="","",[1]Planilha1!$H266)</f>
        <v>99.9</v>
      </c>
      <c r="M266" s="5" t="str">
        <f ca="1">IF([1]Planilha1!$I266="","",[1]Planilha1!$I266)</f>
        <v/>
      </c>
      <c r="N266" s="2" t="str" cm="1">
        <f t="array" aca="1" ref="N266" ca="1">IFERROR(VALUE(_xlfn.REGEXEXTRACT([1]Planilha1!$E266,"(\d+)\s*MESES",2)),IFERROR(VALUE(_xlfn.REGEXEXTRACT([1]Planilha1!$E266,"por\s*(\d+)\s*M",2)),IF(_xlfn.REGEXTEST([1]Planilha1!$E266,"1[ºª]"),1,"")))</f>
        <v/>
      </c>
      <c r="O266" s="6">
        <f t="shared" ca="1" si="19"/>
        <v>0.16650000000000001</v>
      </c>
      <c r="P266" t="str">
        <f ca="1">IF([1]Planilha1!$J266="","",TRIM([1]Planilha1!$J266))</f>
        <v>0</v>
      </c>
      <c r="Q266" s="7">
        <f ca="1">IF($D266="Claro","",IFERROR($L266-VLOOKUP($B266&amp;"|Claro",[1]AUX_CLARO!$A:$C,2,FALSE),""))</f>
        <v>-40</v>
      </c>
      <c r="R266" s="8">
        <f ca="1">IF($D266="Claro","",IFERROR($J266-VLOOKUP($B266&amp;"|Claro",[1]AUX_CLARO!$A:$C,3,FALSE),""))</f>
        <v>0</v>
      </c>
      <c r="S266" t="str">
        <f t="shared" ca="1" si="20"/>
        <v>Claro mais cara</v>
      </c>
      <c r="T266" t="str">
        <f t="shared" ca="1" si="21"/>
        <v>Mesma velocidade</v>
      </c>
      <c r="U266" s="9">
        <f t="shared" si="22"/>
        <v>46174</v>
      </c>
      <c r="V266" t="str">
        <f ca="1">IF(OR([1]Planilha1!$B266="",[1]Planilha1!$B266="NÃO MAPEADO"),"",TRIM([1]Planilha1!$B266))</f>
        <v>NOROESTE</v>
      </c>
      <c r="W266" t="str">
        <f ca="1">IF([1]Planilha1!$C266="","",TRIM([1]Planilha1!$C266))</f>
        <v>MD 2</v>
      </c>
      <c r="X266" t="str">
        <f ca="1">IFERROR(VLOOKUP($C266,[1]Planilha2!$B:$H,7,FALSE),"")</f>
        <v>18500-001</v>
      </c>
    </row>
    <row r="267" spans="1:24" x14ac:dyDescent="0.35">
      <c r="A267" t="str">
        <f ca="1">IF(LEFT(TEXT([1]Planilha1!$L267,"0000000"),1)="5","MS","SP")</f>
        <v>SP</v>
      </c>
      <c r="B267" t="str">
        <f ca="1">IF(RIGHT([1]Planilha1!$A267,5)=" - MS",LEFT([1]Planilha1!$A267,LEN([1]Planilha1!$A267)-5),TRIM([1]Planilha1!$A267))</f>
        <v>LEME</v>
      </c>
      <c r="C267" s="2">
        <f ca="1">[1]Planilha1!$L267</f>
        <v>3526704</v>
      </c>
      <c r="D267" t="str">
        <f>TRIM([1]Planilha1!$D267)</f>
        <v>Claro</v>
      </c>
      <c r="E267" t="str">
        <f>IF(TRIM([1]Planilha1!$D267)="Claro","Claro","Concorrente")</f>
        <v>Claro</v>
      </c>
      <c r="F267" t="s">
        <v>24</v>
      </c>
      <c r="G267" t="str">
        <f t="shared" ca="1" si="18"/>
        <v>Banda Larga + Movel</v>
      </c>
      <c r="H267" t="str">
        <f ca="1">TRIM([1]Planilha1!$E267)</f>
        <v>600M+100GB=R$109,90 por 6M, após R$139,90</v>
      </c>
      <c r="I267" t="str">
        <f ca="1">IF([1]Planilha1!$F267="","",TRIM([1]Planilha1!$F267))</f>
        <v>Fibra</v>
      </c>
      <c r="J267" s="3">
        <f ca="1">IF([1]Planilha1!$G267="","",[1]Planilha1!$G267)</f>
        <v>600</v>
      </c>
      <c r="K267" s="4" cm="1">
        <f t="array" aca="1" ref="K267" ca="1">IFERROR(VALUE(_xlfn.REGEXEXTRACT([1]Planilha1!$E267,"\+\s*(\d+)GB",2)),"")</f>
        <v>100</v>
      </c>
      <c r="L267" s="5">
        <f ca="1">IF([1]Planilha1!$H267="","",[1]Planilha1!$H267)</f>
        <v>139.9</v>
      </c>
      <c r="M267" s="5">
        <f ca="1">IF([1]Planilha1!$I267="","",[1]Planilha1!$I267)</f>
        <v>109.9</v>
      </c>
      <c r="N267" s="2" cm="1">
        <f t="array" aca="1" ref="N267" ca="1">IFERROR(VALUE(_xlfn.REGEXEXTRACT([1]Planilha1!$E267,"(\d+)\s*MESES",2)),IFERROR(VALUE(_xlfn.REGEXEXTRACT([1]Planilha1!$E267,"por\s*(\d+)\s*M",2)),IF(_xlfn.REGEXTEST([1]Planilha1!$E267,"1[ºª]"),1,"")))</f>
        <v>6</v>
      </c>
      <c r="O267" s="6">
        <f t="shared" ca="1" si="19"/>
        <v>0.23316666666666669</v>
      </c>
      <c r="P267" t="str">
        <f ca="1">IF([1]Planilha1!$J267="","",TRIM([1]Planilha1!$J267))</f>
        <v>GLOBOPLAY</v>
      </c>
      <c r="Q267" s="7" t="str">
        <f>IF($D267="Claro","",IFERROR($L267-VLOOKUP($B267&amp;"|Claro",[1]AUX_CLARO!$A:$C,2,FALSE),""))</f>
        <v/>
      </c>
      <c r="R267" s="8" t="str">
        <f>IF($D267="Claro","",IFERROR($J267-VLOOKUP($B267&amp;"|Claro",[1]AUX_CLARO!$A:$C,3,FALSE),""))</f>
        <v/>
      </c>
      <c r="S267" t="str">
        <f t="shared" si="20"/>
        <v/>
      </c>
      <c r="T267" t="str">
        <f t="shared" si="21"/>
        <v/>
      </c>
      <c r="U267" s="9">
        <f t="shared" si="22"/>
        <v>46174</v>
      </c>
      <c r="V267" t="str">
        <f ca="1">IF(OR([1]Planilha1!$B267="",[1]Planilha1!$B267="NÃO MAPEADO"),"",TRIM([1]Planilha1!$B267))</f>
        <v>SUDESTE</v>
      </c>
      <c r="W267" t="str">
        <f ca="1">IF([1]Planilha1!$C267="","",TRIM([1]Planilha1!$C267))</f>
        <v>MD 2</v>
      </c>
      <c r="X267" s="12" t="str">
        <f ca="1">IFERROR(VLOOKUP($C267,[1]Planilha2!$B:$H,7,FALSE),"")</f>
        <v>13610-001</v>
      </c>
    </row>
    <row r="268" spans="1:24" x14ac:dyDescent="0.35">
      <c r="A268" t="str">
        <f ca="1">IF(LEFT(TEXT([1]Planilha1!$L268,"0000000"),1)="5","MS","SP")</f>
        <v>SP</v>
      </c>
      <c r="B268" t="str">
        <f ca="1">IF(RIGHT([1]Planilha1!$A268,5)=" - MS",LEFT([1]Planilha1!$A268,LEN([1]Planilha1!$A268)-5),TRIM([1]Planilha1!$A268))</f>
        <v>LEME</v>
      </c>
      <c r="C268" s="2">
        <f ca="1">[1]Planilha1!$L268</f>
        <v>3526704</v>
      </c>
      <c r="D268" t="str">
        <f>TRIM([1]Planilha1!$D268)</f>
        <v>Vivo</v>
      </c>
      <c r="E268" t="str">
        <f>IF(TRIM([1]Planilha1!$D268)="Claro","Claro","Concorrente")</f>
        <v>Concorrente</v>
      </c>
      <c r="F268" t="s">
        <v>25</v>
      </c>
      <c r="G268" t="str">
        <f t="shared" ca="1" si="18"/>
        <v>Banda Larga + Movel</v>
      </c>
      <c r="H268" t="s">
        <v>26</v>
      </c>
      <c r="I268" t="str">
        <f ca="1">IF([1]Planilha1!$F268="","",TRIM([1]Planilha1!$F268))</f>
        <v>Fibra</v>
      </c>
      <c r="J268" s="11" t="s">
        <v>27</v>
      </c>
      <c r="K268" s="4" cm="1">
        <f t="array" aca="1" ref="K268" ca="1">IFERROR(VALUE(_xlfn.REGEXEXTRACT([1]Planilha1!$E268,"\+\s*(\d+)GB",2)),"")</f>
        <v>70</v>
      </c>
      <c r="L268" s="5">
        <v>160</v>
      </c>
      <c r="M268" s="5" t="str">
        <f ca="1">IF([1]Planilha1!$I268="","",[1]Planilha1!$I268)</f>
        <v/>
      </c>
      <c r="N268" s="2" t="str" cm="1">
        <f t="array" aca="1" ref="N268" ca="1">IFERROR(VALUE(_xlfn.REGEXEXTRACT([1]Planilha1!$E268,"(\d+)\s*MESES",2)),IFERROR(VALUE(_xlfn.REGEXEXTRACT([1]Planilha1!$E268,"por\s*(\d+)\s*M",2)),IF(_xlfn.REGEXTEST([1]Planilha1!$E268,"1[ºª]"),1,"")))</f>
        <v/>
      </c>
      <c r="O268" s="6" t="str">
        <f t="shared" si="19"/>
        <v/>
      </c>
      <c r="P268" t="str">
        <f ca="1">IF([1]Planilha1!$J268="","",TRIM([1]Planilha1!$J268))</f>
        <v>0</v>
      </c>
      <c r="Q268" s="7">
        <f ca="1">IF($D268="Claro","",IFERROR($L268-VLOOKUP($B268&amp;"|Claro",[1]AUX_CLARO!$A:$C,2,FALSE),""))</f>
        <v>20.099999999999994</v>
      </c>
      <c r="R268" s="8" t="str">
        <f ca="1">IF($D268="Claro","",IFERROR($J268-VLOOKUP($B268&amp;"|Claro",[1]AUX_CLARO!$A:$C,3,FALSE),""))</f>
        <v/>
      </c>
      <c r="S268" t="str">
        <f t="shared" ca="1" si="20"/>
        <v>Claro mais barata</v>
      </c>
      <c r="T268" t="str">
        <f t="shared" ca="1" si="21"/>
        <v/>
      </c>
      <c r="U268" s="9">
        <f t="shared" si="22"/>
        <v>46174</v>
      </c>
      <c r="V268" t="str">
        <f ca="1">IF(OR([1]Planilha1!$B268="",[1]Planilha1!$B268="NÃO MAPEADO"),"",TRIM([1]Planilha1!$B268))</f>
        <v>SUDESTE</v>
      </c>
      <c r="W268" t="str">
        <f ca="1">IF([1]Planilha1!$C268="","",TRIM([1]Planilha1!$C268))</f>
        <v>MD 2</v>
      </c>
      <c r="X268" s="12" t="str">
        <f ca="1">IFERROR(VLOOKUP($C268,[1]Planilha2!$B:$H,7,FALSE),"")</f>
        <v>13610-001</v>
      </c>
    </row>
    <row r="269" spans="1:24" x14ac:dyDescent="0.35">
      <c r="A269" t="str">
        <f ca="1">IF(LEFT(TEXT([1]Planilha1!$L269,"0000000"),1)="5","MS","SP")</f>
        <v>SP</v>
      </c>
      <c r="B269" t="str">
        <f ca="1">IF(RIGHT([1]Planilha1!$A269,5)=" - MS",LEFT([1]Planilha1!$A269,LEN([1]Planilha1!$A269)-5),TRIM([1]Planilha1!$A269))</f>
        <v>LEME</v>
      </c>
      <c r="C269" s="2">
        <f ca="1">[1]Planilha1!$L269</f>
        <v>3526704</v>
      </c>
      <c r="D269" t="str">
        <f>TRIM([1]Planilha1!$D269)</f>
        <v>Desktop</v>
      </c>
      <c r="E269" t="str">
        <f>IF(TRIM([1]Planilha1!$D269)="Claro","Claro","Concorrente")</f>
        <v>Concorrente</v>
      </c>
      <c r="F269" t="s">
        <v>29</v>
      </c>
      <c r="G269" t="str">
        <f t="shared" ca="1" si="18"/>
        <v>Banda Larga + Conteudo</v>
      </c>
      <c r="H269" t="str">
        <f ca="1">TRIM([1]Planilha1!$E269)</f>
        <v>600M=R$49,99 por 2M, após R$89,99</v>
      </c>
      <c r="I269" t="str">
        <f ca="1">IF([1]Planilha1!$F269="","",TRIM([1]Planilha1!$F269))</f>
        <v>Fibra</v>
      </c>
      <c r="J269" s="3">
        <f ca="1">IF([1]Planilha1!$G269="","",[1]Planilha1!$G269)</f>
        <v>600</v>
      </c>
      <c r="K269" s="4" t="str" cm="1">
        <f t="array" aca="1" ref="K269" ca="1">IFERROR(VALUE(_xlfn.REGEXEXTRACT([1]Planilha1!$E269,"\+\s*(\d+)GB",2)),"")</f>
        <v/>
      </c>
      <c r="L269" s="5">
        <f ca="1">IF([1]Planilha1!$H269="","",[1]Planilha1!$H269)</f>
        <v>89.99</v>
      </c>
      <c r="M269" s="5">
        <f ca="1">IF([1]Planilha1!$I269="","",[1]Planilha1!$I269)</f>
        <v>49.99</v>
      </c>
      <c r="N269" s="2" cm="1">
        <f t="array" aca="1" ref="N269" ca="1">IFERROR(VALUE(_xlfn.REGEXEXTRACT([1]Planilha1!$E269,"(\d+)\s*MESES",2)),IFERROR(VALUE(_xlfn.REGEXEXTRACT([1]Planilha1!$E269,"por\s*(\d+)\s*M",2)),IF(_xlfn.REGEXTEST([1]Planilha1!$E269,"1[ºª]"),1,"")))</f>
        <v>2</v>
      </c>
      <c r="O269" s="6">
        <f t="shared" ca="1" si="19"/>
        <v>0.14998333333333333</v>
      </c>
      <c r="P269" t="str">
        <f ca="1">IF([1]Planilha1!$J269="","",TRIM([1]Planilha1!$J269))</f>
        <v>0</v>
      </c>
      <c r="Q269" s="7">
        <f ca="1">IF($D269="Claro","",IFERROR($L269-VLOOKUP($B269&amp;"|Claro",[1]AUX_CLARO!$A:$C,2,FALSE),""))</f>
        <v>-49.910000000000011</v>
      </c>
      <c r="R269" s="8">
        <f ca="1">IF($D269="Claro","",IFERROR($J269-VLOOKUP($B269&amp;"|Claro",[1]AUX_CLARO!$A:$C,3,FALSE),""))</f>
        <v>0</v>
      </c>
      <c r="S269" t="str">
        <f t="shared" ca="1" si="20"/>
        <v>Claro mais cara</v>
      </c>
      <c r="T269" t="str">
        <f t="shared" ca="1" si="21"/>
        <v>Mesma velocidade</v>
      </c>
      <c r="U269" s="9">
        <f t="shared" si="22"/>
        <v>46174</v>
      </c>
      <c r="V269" t="str">
        <f ca="1">IF(OR([1]Planilha1!$B269="",[1]Planilha1!$B269="NÃO MAPEADO"),"",TRIM([1]Planilha1!$B269))</f>
        <v>SUDESTE</v>
      </c>
      <c r="W269" t="str">
        <f ca="1">IF([1]Planilha1!$C269="","",TRIM([1]Planilha1!$C269))</f>
        <v>MD 2</v>
      </c>
      <c r="X269" s="12" t="str">
        <f ca="1">IFERROR(VLOOKUP($C269,[1]Planilha2!$B:$H,7,FALSE),"")</f>
        <v>13610-001</v>
      </c>
    </row>
    <row r="270" spans="1:24" x14ac:dyDescent="0.35">
      <c r="A270" t="str">
        <f ca="1">IF(LEFT(TEXT([1]Planilha1!$L270,"0000000"),1)="5","MS","SP")</f>
        <v>SP</v>
      </c>
      <c r="B270" t="str">
        <f ca="1">IF(RIGHT([1]Planilha1!$A270,5)=" - MS",LEFT([1]Planilha1!$A270,LEN([1]Planilha1!$A270)-5),TRIM([1]Planilha1!$A270))</f>
        <v>LEME</v>
      </c>
      <c r="C270" s="2">
        <f ca="1">[1]Planilha1!$L270</f>
        <v>3526704</v>
      </c>
      <c r="D270" t="str">
        <f>TRIM([1]Planilha1!$D270)</f>
        <v>Vero</v>
      </c>
      <c r="E270" t="str">
        <f>IF(TRIM([1]Planilha1!$D270)="Claro","Claro","Concorrente")</f>
        <v>Concorrente</v>
      </c>
      <c r="F270" t="s">
        <v>30</v>
      </c>
      <c r="G270" t="str">
        <f t="shared" ca="1" si="18"/>
        <v>Banda Larga + Movel</v>
      </c>
      <c r="H270" t="str">
        <f ca="1">TRIM([1]Planilha1!$E270)</f>
        <v>850M+60GB=R$149,99 (C/ GLOBOPLAY, HBO, DISNEY+)</v>
      </c>
      <c r="I270" t="str">
        <f ca="1">IF([1]Planilha1!$F270="","",TRIM([1]Planilha1!$F270))</f>
        <v>Fibra</v>
      </c>
      <c r="J270" s="3">
        <f ca="1">IF([1]Planilha1!$G270="","",[1]Planilha1!$G270)</f>
        <v>850</v>
      </c>
      <c r="K270" s="4" cm="1">
        <f t="array" aca="1" ref="K270" ca="1">IFERROR(VALUE(_xlfn.REGEXEXTRACT([1]Planilha1!$E270,"\+\s*(\d+)GB",2)),"")</f>
        <v>60</v>
      </c>
      <c r="L270" s="5">
        <f ca="1">IF([1]Planilha1!$H270="","",[1]Planilha1!$H270)</f>
        <v>149.99</v>
      </c>
      <c r="M270" s="5" t="str">
        <f ca="1">IF([1]Planilha1!$I270="","",[1]Planilha1!$I270)</f>
        <v/>
      </c>
      <c r="N270" s="2" t="str" cm="1">
        <f t="array" aca="1" ref="N270" ca="1">IFERROR(VALUE(_xlfn.REGEXEXTRACT([1]Planilha1!$E270,"(\d+)\s*MESES",2)),IFERROR(VALUE(_xlfn.REGEXEXTRACT([1]Planilha1!$E270,"por\s*(\d+)\s*M",2)),IF(_xlfn.REGEXTEST([1]Planilha1!$E270,"1[ºª]"),1,"")))</f>
        <v/>
      </c>
      <c r="O270" s="6">
        <f t="shared" ca="1" si="19"/>
        <v>0.17645882352941178</v>
      </c>
      <c r="P270" t="str">
        <f ca="1">IF([1]Planilha1!$J270="","",TRIM([1]Planilha1!$J270))</f>
        <v>GLOBOPLAY, HBO, DISNEY+</v>
      </c>
      <c r="Q270" s="7">
        <f ca="1">IF($D270="Claro","",IFERROR($L270-VLOOKUP($B270&amp;"|Claro",[1]AUX_CLARO!$A:$C,2,FALSE),""))</f>
        <v>10.090000000000003</v>
      </c>
      <c r="R270" s="8">
        <f ca="1">IF($D270="Claro","",IFERROR($J270-VLOOKUP($B270&amp;"|Claro",[1]AUX_CLARO!$A:$C,3,FALSE),""))</f>
        <v>250</v>
      </c>
      <c r="S270" t="str">
        <f t="shared" ca="1" si="20"/>
        <v>Claro mais barata</v>
      </c>
      <c r="T270" t="str">
        <f t="shared" ca="1" si="21"/>
        <v>Claro com menor velocidade</v>
      </c>
      <c r="U270" s="9">
        <f t="shared" si="22"/>
        <v>46174</v>
      </c>
      <c r="V270" t="str">
        <f ca="1">IF(OR([1]Planilha1!$B270="",[1]Planilha1!$B270="NÃO MAPEADO"),"",TRIM([1]Planilha1!$B270))</f>
        <v>SUDESTE</v>
      </c>
      <c r="W270" t="str">
        <f ca="1">IF([1]Planilha1!$C270="","",TRIM([1]Planilha1!$C270))</f>
        <v>MD 2</v>
      </c>
      <c r="X270" s="12" t="str">
        <f ca="1">IFERROR(VLOOKUP($C270,[1]Planilha2!$B:$H,7,FALSE),"")</f>
        <v>13610-001</v>
      </c>
    </row>
    <row r="271" spans="1:24" x14ac:dyDescent="0.35">
      <c r="A271" t="str">
        <f ca="1">IF(LEFT(TEXT([1]Planilha1!$L271,"0000000"),1)="5","MS","SP")</f>
        <v>SP</v>
      </c>
      <c r="B271" t="str">
        <f ca="1">IF(RIGHT([1]Planilha1!$A271,5)=" - MS",LEFT([1]Planilha1!$A271,LEN([1]Planilha1!$A271)-5),TRIM([1]Planilha1!$A271))</f>
        <v>LEME</v>
      </c>
      <c r="C271" s="2">
        <f ca="1">[1]Planilha1!$L271</f>
        <v>3526704</v>
      </c>
      <c r="D271" t="str">
        <f>TRIM([1]Planilha1!$D271)</f>
        <v>ISP LOCAL</v>
      </c>
      <c r="E271" t="str">
        <f>IF(TRIM([1]Planilha1!$D271)="Claro","Claro","Concorrente")</f>
        <v>Concorrente</v>
      </c>
      <c r="F271" t="s">
        <v>40</v>
      </c>
      <c r="G271" t="str">
        <f t="shared" ca="1" si="18"/>
        <v>Banda Larga + Conteudo</v>
      </c>
      <c r="H271" t="str">
        <f ca="1">TRIM([1]Planilha1!$E271)</f>
        <v>XTURBO - 600M R$99,90</v>
      </c>
      <c r="I271" t="str">
        <f ca="1">IF([1]Planilha1!$F271="","",TRIM([1]Planilha1!$F271))</f>
        <v>Fibra</v>
      </c>
      <c r="J271" s="3">
        <f ca="1">IF([1]Planilha1!$G271="","",[1]Planilha1!$G271)</f>
        <v>600</v>
      </c>
      <c r="K271" s="4" t="str" cm="1">
        <f t="array" aca="1" ref="K271" ca="1">IFERROR(VALUE(_xlfn.REGEXEXTRACT([1]Planilha1!$E271,"\+\s*(\d+)GB",2)),"")</f>
        <v/>
      </c>
      <c r="L271" s="5">
        <f ca="1">IF([1]Planilha1!$H271="","",[1]Planilha1!$H271)</f>
        <v>99.9</v>
      </c>
      <c r="M271" s="5" t="str">
        <f ca="1">IF([1]Planilha1!$I271="","",[1]Planilha1!$I271)</f>
        <v/>
      </c>
      <c r="N271" s="2" t="str" cm="1">
        <f t="array" aca="1" ref="N271" ca="1">IFERROR(VALUE(_xlfn.REGEXEXTRACT([1]Planilha1!$E271,"(\d+)\s*MESES",2)),IFERROR(VALUE(_xlfn.REGEXEXTRACT([1]Planilha1!$E271,"por\s*(\d+)\s*M",2)),IF(_xlfn.REGEXTEST([1]Planilha1!$E271,"1[ºª]"),1,"")))</f>
        <v/>
      </c>
      <c r="O271" s="6">
        <f t="shared" ca="1" si="19"/>
        <v>0.16650000000000001</v>
      </c>
      <c r="P271" t="str">
        <f ca="1">IF([1]Planilha1!$J271="","",TRIM([1]Planilha1!$J271))</f>
        <v>0</v>
      </c>
      <c r="Q271" s="7">
        <f ca="1">IF($D271="Claro","",IFERROR($L271-VLOOKUP($B271&amp;"|Claro",[1]AUX_CLARO!$A:$C,2,FALSE),""))</f>
        <v>-40</v>
      </c>
      <c r="R271" s="8">
        <f ca="1">IF($D271="Claro","",IFERROR($J271-VLOOKUP($B271&amp;"|Claro",[1]AUX_CLARO!$A:$C,3,FALSE),""))</f>
        <v>0</v>
      </c>
      <c r="S271" t="str">
        <f t="shared" ca="1" si="20"/>
        <v>Claro mais cara</v>
      </c>
      <c r="T271" t="str">
        <f t="shared" ca="1" si="21"/>
        <v>Mesma velocidade</v>
      </c>
      <c r="U271" s="9">
        <f t="shared" si="22"/>
        <v>46174</v>
      </c>
      <c r="V271" t="str">
        <f ca="1">IF(OR([1]Planilha1!$B271="",[1]Planilha1!$B271="NÃO MAPEADO"),"",TRIM([1]Planilha1!$B271))</f>
        <v>SUDESTE</v>
      </c>
      <c r="W271" t="str">
        <f ca="1">IF([1]Planilha1!$C271="","",TRIM([1]Planilha1!$C271))</f>
        <v>MD 2</v>
      </c>
      <c r="X271" s="12" t="str">
        <f ca="1">IFERROR(VLOOKUP($C271,[1]Planilha2!$B:$H,7,FALSE),"")</f>
        <v>13610-001</v>
      </c>
    </row>
    <row r="272" spans="1:24" x14ac:dyDescent="0.35">
      <c r="A272" t="str">
        <f ca="1">IF(LEFT(TEXT([1]Planilha1!$L272,"0000000"),1)="5","MS","SP")</f>
        <v>SP</v>
      </c>
      <c r="B272" t="str">
        <f ca="1">IF(RIGHT([1]Planilha1!$A272,5)=" - MS",LEFT([1]Planilha1!$A272,LEN([1]Planilha1!$A272)-5),TRIM([1]Planilha1!$A272))</f>
        <v>LENCOIS PAULISTA</v>
      </c>
      <c r="C272" s="2">
        <f ca="1">[1]Planilha1!$L272</f>
        <v>3526803</v>
      </c>
      <c r="D272" t="str">
        <f>TRIM([1]Planilha1!$D272)</f>
        <v>Claro</v>
      </c>
      <c r="E272" t="str">
        <f>IF(TRIM([1]Planilha1!$D272)="Claro","Claro","Concorrente")</f>
        <v>Claro</v>
      </c>
      <c r="F272" t="s">
        <v>24</v>
      </c>
      <c r="G272" t="str">
        <f t="shared" ca="1" si="18"/>
        <v>Banda Larga + Movel</v>
      </c>
      <c r="H272" t="str">
        <f ca="1">TRIM([1]Planilha1!$E272)</f>
        <v>600M+100GB=R$109,90 por 6M, após R$139,90</v>
      </c>
      <c r="I272" t="str">
        <f ca="1">IF([1]Planilha1!$F272="","",TRIM([1]Planilha1!$F272))</f>
        <v>Fibra</v>
      </c>
      <c r="J272" s="3">
        <f ca="1">IF([1]Planilha1!$G272="","",[1]Planilha1!$G272)</f>
        <v>600</v>
      </c>
      <c r="K272" s="4" cm="1">
        <f t="array" aca="1" ref="K272" ca="1">IFERROR(VALUE(_xlfn.REGEXEXTRACT([1]Planilha1!$E272,"\+\s*(\d+)GB",2)),"")</f>
        <v>100</v>
      </c>
      <c r="L272" s="5">
        <f ca="1">IF([1]Planilha1!$H272="","",[1]Planilha1!$H272)</f>
        <v>139.9</v>
      </c>
      <c r="M272" s="5">
        <f ca="1">IF([1]Planilha1!$I272="","",[1]Planilha1!$I272)</f>
        <v>109.9</v>
      </c>
      <c r="N272" s="2" cm="1">
        <f t="array" aca="1" ref="N272" ca="1">IFERROR(VALUE(_xlfn.REGEXEXTRACT([1]Planilha1!$E272,"(\d+)\s*MESES",2)),IFERROR(VALUE(_xlfn.REGEXEXTRACT([1]Planilha1!$E272,"por\s*(\d+)\s*M",2)),IF(_xlfn.REGEXTEST([1]Planilha1!$E272,"1[ºª]"),1,"")))</f>
        <v>6</v>
      </c>
      <c r="O272" s="6">
        <f t="shared" ca="1" si="19"/>
        <v>0.23316666666666669</v>
      </c>
      <c r="P272" t="str">
        <f ca="1">IF([1]Planilha1!$J272="","",TRIM([1]Planilha1!$J272))</f>
        <v>GLOBOPLAY</v>
      </c>
      <c r="Q272" s="7" t="str">
        <f>IF($D272="Claro","",IFERROR($L272-VLOOKUP($B272&amp;"|Claro",[1]AUX_CLARO!$A:$C,2,FALSE),""))</f>
        <v/>
      </c>
      <c r="R272" s="8" t="str">
        <f>IF($D272="Claro","",IFERROR($J272-VLOOKUP($B272&amp;"|Claro",[1]AUX_CLARO!$A:$C,3,FALSE),""))</f>
        <v/>
      </c>
      <c r="S272" t="str">
        <f t="shared" si="20"/>
        <v/>
      </c>
      <c r="T272" t="str">
        <f t="shared" si="21"/>
        <v/>
      </c>
      <c r="U272" s="9">
        <f t="shared" si="22"/>
        <v>46174</v>
      </c>
      <c r="V272" t="str">
        <f ca="1">IF(OR([1]Planilha1!$B272="",[1]Planilha1!$B272="NÃO MAPEADO"),"",TRIM([1]Planilha1!$B272))</f>
        <v>SUDESTE</v>
      </c>
      <c r="W272" t="str">
        <f ca="1">IF([1]Planilha1!$C272="","",TRIM([1]Planilha1!$C272))</f>
        <v>MD 2</v>
      </c>
      <c r="X272" s="12" t="str">
        <f ca="1">IFERROR(VLOOKUP($C272,[1]Planilha2!$B:$H,7,FALSE),"")</f>
        <v>18680-001</v>
      </c>
    </row>
    <row r="273" spans="1:24" x14ac:dyDescent="0.35">
      <c r="A273" t="str">
        <f ca="1">IF(LEFT(TEXT([1]Planilha1!$L273,"0000000"),1)="5","MS","SP")</f>
        <v>SP</v>
      </c>
      <c r="B273" t="str">
        <f ca="1">IF(RIGHT([1]Planilha1!$A273,5)=" - MS",LEFT([1]Planilha1!$A273,LEN([1]Planilha1!$A273)-5),TRIM([1]Planilha1!$A273))</f>
        <v>LENCOIS PAULISTA</v>
      </c>
      <c r="C273" s="2">
        <f ca="1">[1]Planilha1!$L273</f>
        <v>3526803</v>
      </c>
      <c r="D273" t="str">
        <f>TRIM([1]Planilha1!$D273)</f>
        <v>Vivo</v>
      </c>
      <c r="E273" t="str">
        <f>IF(TRIM([1]Planilha1!$D273)="Claro","Claro","Concorrente")</f>
        <v>Concorrente</v>
      </c>
      <c r="F273" t="s">
        <v>25</v>
      </c>
      <c r="G273" t="str">
        <f t="shared" ca="1" si="18"/>
        <v>Banda Larga + Movel</v>
      </c>
      <c r="H273" t="s">
        <v>26</v>
      </c>
      <c r="I273" t="str">
        <f ca="1">IF([1]Planilha1!$F273="","",TRIM([1]Planilha1!$F273))</f>
        <v>Fibra</v>
      </c>
      <c r="J273" s="11" t="s">
        <v>27</v>
      </c>
      <c r="K273" s="4" cm="1">
        <f t="array" aca="1" ref="K273" ca="1">IFERROR(VALUE(_xlfn.REGEXEXTRACT([1]Planilha1!$E273,"\+\s*(\d+)GB",2)),"")</f>
        <v>70</v>
      </c>
      <c r="L273" s="5">
        <v>160</v>
      </c>
      <c r="M273" s="5" t="str">
        <f ca="1">IF([1]Planilha1!$I273="","",[1]Planilha1!$I273)</f>
        <v/>
      </c>
      <c r="N273" s="2" t="str" cm="1">
        <f t="array" aca="1" ref="N273" ca="1">IFERROR(VALUE(_xlfn.REGEXEXTRACT([1]Planilha1!$E273,"(\d+)\s*MESES",2)),IFERROR(VALUE(_xlfn.REGEXEXTRACT([1]Planilha1!$E273,"por\s*(\d+)\s*M",2)),IF(_xlfn.REGEXTEST([1]Planilha1!$E273,"1[ºª]"),1,"")))</f>
        <v/>
      </c>
      <c r="O273" s="6" t="str">
        <f t="shared" si="19"/>
        <v/>
      </c>
      <c r="P273" t="str">
        <f ca="1">IF([1]Planilha1!$J273="","",TRIM([1]Planilha1!$J273))</f>
        <v>0</v>
      </c>
      <c r="Q273" s="7">
        <f ca="1">IF($D273="Claro","",IFERROR($L273-VLOOKUP($B273&amp;"|Claro",[1]AUX_CLARO!$A:$C,2,FALSE),""))</f>
        <v>20.099999999999994</v>
      </c>
      <c r="R273" s="8" t="str">
        <f ca="1">IF($D273="Claro","",IFERROR($J273-VLOOKUP($B273&amp;"|Claro",[1]AUX_CLARO!$A:$C,3,FALSE),""))</f>
        <v/>
      </c>
      <c r="S273" t="str">
        <f t="shared" ca="1" si="20"/>
        <v>Claro mais barata</v>
      </c>
      <c r="T273" t="str">
        <f t="shared" ca="1" si="21"/>
        <v/>
      </c>
      <c r="U273" s="9">
        <f t="shared" si="22"/>
        <v>46174</v>
      </c>
      <c r="V273" t="str">
        <f ca="1">IF(OR([1]Planilha1!$B273="",[1]Planilha1!$B273="NÃO MAPEADO"),"",TRIM([1]Planilha1!$B273))</f>
        <v>SUDESTE</v>
      </c>
      <c r="W273" t="str">
        <f ca="1">IF([1]Planilha1!$C273="","",TRIM([1]Planilha1!$C273))</f>
        <v>MD 2</v>
      </c>
      <c r="X273" s="12" t="str">
        <f ca="1">IFERROR(VLOOKUP($C273,[1]Planilha2!$B:$H,7,FALSE),"")</f>
        <v>18680-001</v>
      </c>
    </row>
    <row r="274" spans="1:24" x14ac:dyDescent="0.35">
      <c r="A274" t="str">
        <f ca="1">IF(LEFT(TEXT([1]Planilha1!$L274,"0000000"),1)="5","MS","SP")</f>
        <v>SP</v>
      </c>
      <c r="B274" t="str">
        <f ca="1">IF(RIGHT([1]Planilha1!$A274,5)=" - MS",LEFT([1]Planilha1!$A274,LEN([1]Planilha1!$A274)-5),TRIM([1]Planilha1!$A274))</f>
        <v>LENCOIS PAULISTA</v>
      </c>
      <c r="C274" s="2">
        <f ca="1">[1]Planilha1!$L274</f>
        <v>3526803</v>
      </c>
      <c r="D274" t="str">
        <f>TRIM([1]Planilha1!$D274)</f>
        <v>Desktop</v>
      </c>
      <c r="E274" t="str">
        <f>IF(TRIM([1]Planilha1!$D274)="Claro","Claro","Concorrente")</f>
        <v>Concorrente</v>
      </c>
      <c r="F274" t="s">
        <v>29</v>
      </c>
      <c r="G274" t="str">
        <f t="shared" ca="1" si="18"/>
        <v>Banda Larga + Movel</v>
      </c>
      <c r="H274" t="str">
        <f ca="1">TRIM([1]Planilha1!$E274)</f>
        <v>600M+15GB=R$129,99 - 6 MESES, APÓS R$139,99</v>
      </c>
      <c r="I274" t="str">
        <f ca="1">IF([1]Planilha1!$F274="","",TRIM([1]Planilha1!$F274))</f>
        <v>Fibra</v>
      </c>
      <c r="J274" s="3">
        <f ca="1">IF([1]Planilha1!$G274="","",[1]Planilha1!$G274)</f>
        <v>600</v>
      </c>
      <c r="K274" s="4" cm="1">
        <f t="array" aca="1" ref="K274" ca="1">IFERROR(VALUE(_xlfn.REGEXEXTRACT([1]Planilha1!$E274,"\+\s*(\d+)GB",2)),"")</f>
        <v>15</v>
      </c>
      <c r="L274" s="5">
        <f ca="1">IF([1]Planilha1!$H274="","",[1]Planilha1!$H274)</f>
        <v>139.99</v>
      </c>
      <c r="M274" s="5">
        <f ca="1">IF([1]Planilha1!$I274="","",[1]Planilha1!$I274)</f>
        <v>129.99</v>
      </c>
      <c r="N274" s="2" cm="1">
        <f t="array" aca="1" ref="N274" ca="1">IFERROR(VALUE(_xlfn.REGEXEXTRACT([1]Planilha1!$E274,"(\d+)\s*MESES",2)),IFERROR(VALUE(_xlfn.REGEXEXTRACT([1]Planilha1!$E274,"por\s*(\d+)\s*M",2)),IF(_xlfn.REGEXTEST([1]Planilha1!$E274,"1[ºª]"),1,"")))</f>
        <v>6</v>
      </c>
      <c r="O274" s="6">
        <f t="shared" ca="1" si="19"/>
        <v>0.23331666666666667</v>
      </c>
      <c r="P274" t="str">
        <f ca="1">IF([1]Planilha1!$J274="","",TRIM([1]Planilha1!$J274))</f>
        <v>0</v>
      </c>
      <c r="Q274" s="7">
        <f ca="1">IF($D274="Claro","",IFERROR($L274-VLOOKUP($B274&amp;"|Claro",[1]AUX_CLARO!$A:$C,2,FALSE),""))</f>
        <v>9.0000000000003411E-2</v>
      </c>
      <c r="R274" s="8">
        <f ca="1">IF($D274="Claro","",IFERROR($J274-VLOOKUP($B274&amp;"|Claro",[1]AUX_CLARO!$A:$C,3,FALSE),""))</f>
        <v>0</v>
      </c>
      <c r="S274" t="str">
        <f t="shared" ca="1" si="20"/>
        <v>Claro mais barata</v>
      </c>
      <c r="T274" t="str">
        <f t="shared" ca="1" si="21"/>
        <v>Mesma velocidade</v>
      </c>
      <c r="U274" s="9">
        <f t="shared" si="22"/>
        <v>46174</v>
      </c>
      <c r="V274" t="str">
        <f ca="1">IF(OR([1]Planilha1!$B274="",[1]Planilha1!$B274="NÃO MAPEADO"),"",TRIM([1]Planilha1!$B274))</f>
        <v>SUDESTE</v>
      </c>
      <c r="W274" t="str">
        <f ca="1">IF([1]Planilha1!$C274="","",TRIM([1]Planilha1!$C274))</f>
        <v>MD 2</v>
      </c>
      <c r="X274" s="12" t="str">
        <f ca="1">IFERROR(VLOOKUP($C274,[1]Planilha2!$B:$H,7,FALSE),"")</f>
        <v>18680-001</v>
      </c>
    </row>
    <row r="275" spans="1:24" x14ac:dyDescent="0.35">
      <c r="A275" t="str">
        <f ca="1">IF(LEFT(TEXT([1]Planilha1!$L275,"0000000"),1)="5","MS","SP")</f>
        <v>SP</v>
      </c>
      <c r="B275" t="str">
        <f ca="1">IF(RIGHT([1]Planilha1!$A275,5)=" - MS",LEFT([1]Planilha1!$A275,LEN([1]Planilha1!$A275)-5),TRIM([1]Planilha1!$A275))</f>
        <v>LENCOIS PAULISTA</v>
      </c>
      <c r="C275" s="2">
        <f ca="1">[1]Planilha1!$L275</f>
        <v>3526803</v>
      </c>
      <c r="D275" t="str">
        <f>TRIM([1]Planilha1!$D275)</f>
        <v>ISP LOCAL</v>
      </c>
      <c r="E275" t="str">
        <f>IF(TRIM([1]Planilha1!$D275)="Claro","Claro","Concorrente")</f>
        <v>Concorrente</v>
      </c>
      <c r="F275" t="s">
        <v>71</v>
      </c>
      <c r="G275" t="str">
        <f t="shared" ca="1" si="18"/>
        <v>Banda Larga + Conteudo</v>
      </c>
      <c r="H275" t="str">
        <f ca="1">TRIM([1]Planilha1!$E275)</f>
        <v>DAVOI - 600M R$99,90</v>
      </c>
      <c r="I275" t="str">
        <f ca="1">IF([1]Planilha1!$F275="","",TRIM([1]Planilha1!$F275))</f>
        <v>Fibra</v>
      </c>
      <c r="J275" s="3">
        <f ca="1">IF([1]Planilha1!$G275="","",[1]Planilha1!$G275)</f>
        <v>600</v>
      </c>
      <c r="K275" s="4" t="str" cm="1">
        <f t="array" aca="1" ref="K275" ca="1">IFERROR(VALUE(_xlfn.REGEXEXTRACT([1]Planilha1!$E275,"\+\s*(\d+)GB",2)),"")</f>
        <v/>
      </c>
      <c r="L275" s="5">
        <f ca="1">IF([1]Planilha1!$H275="","",[1]Planilha1!$H275)</f>
        <v>99.9</v>
      </c>
      <c r="M275" s="5" t="str">
        <f ca="1">IF([1]Planilha1!$I275="","",[1]Planilha1!$I275)</f>
        <v/>
      </c>
      <c r="N275" s="2" t="str" cm="1">
        <f t="array" aca="1" ref="N275" ca="1">IFERROR(VALUE(_xlfn.REGEXEXTRACT([1]Planilha1!$E275,"(\d+)\s*MESES",2)),IFERROR(VALUE(_xlfn.REGEXEXTRACT([1]Planilha1!$E275,"por\s*(\d+)\s*M",2)),IF(_xlfn.REGEXTEST([1]Planilha1!$E275,"1[ºª]"),1,"")))</f>
        <v/>
      </c>
      <c r="O275" s="6">
        <f t="shared" ca="1" si="19"/>
        <v>0.16650000000000001</v>
      </c>
      <c r="P275" t="str">
        <f ca="1">IF([1]Planilha1!$J275="","",TRIM([1]Planilha1!$J275))</f>
        <v>0</v>
      </c>
      <c r="Q275" s="7">
        <f ca="1">IF($D275="Claro","",IFERROR($L275-VLOOKUP($B275&amp;"|Claro",[1]AUX_CLARO!$A:$C,2,FALSE),""))</f>
        <v>-40</v>
      </c>
      <c r="R275" s="8">
        <f ca="1">IF($D275="Claro","",IFERROR($J275-VLOOKUP($B275&amp;"|Claro",[1]AUX_CLARO!$A:$C,3,FALSE),""))</f>
        <v>0</v>
      </c>
      <c r="S275" t="str">
        <f t="shared" ca="1" si="20"/>
        <v>Claro mais cara</v>
      </c>
      <c r="T275" t="str">
        <f t="shared" ca="1" si="21"/>
        <v>Mesma velocidade</v>
      </c>
      <c r="U275" s="9">
        <f t="shared" si="22"/>
        <v>46174</v>
      </c>
      <c r="V275" t="str">
        <f ca="1">IF(OR([1]Planilha1!$B275="",[1]Planilha1!$B275="NÃO MAPEADO"),"",TRIM([1]Planilha1!$B275))</f>
        <v>SUDESTE</v>
      </c>
      <c r="W275" t="str">
        <f ca="1">IF([1]Planilha1!$C275="","",TRIM([1]Planilha1!$C275))</f>
        <v>MD 2</v>
      </c>
      <c r="X275" s="12" t="str">
        <f ca="1">IFERROR(VLOOKUP($C275,[1]Planilha2!$B:$H,7,FALSE),"")</f>
        <v>18680-001</v>
      </c>
    </row>
    <row r="276" spans="1:24" x14ac:dyDescent="0.35">
      <c r="A276" t="str">
        <f ca="1">IF(LEFT(TEXT([1]Planilha1!$L276,"0000000"),1)="5","MS","SP")</f>
        <v>SP</v>
      </c>
      <c r="B276" t="str">
        <f ca="1">IF(RIGHT([1]Planilha1!$A276,5)=" - MS",LEFT([1]Planilha1!$A276,LEN([1]Planilha1!$A276)-5),TRIM([1]Planilha1!$A276))</f>
        <v>LIMEIRA</v>
      </c>
      <c r="C276" s="2">
        <f ca="1">[1]Planilha1!$L276</f>
        <v>3526902</v>
      </c>
      <c r="D276" t="str">
        <f>TRIM([1]Planilha1!$D276)</f>
        <v>Claro</v>
      </c>
      <c r="E276" t="str">
        <f>IF(TRIM([1]Planilha1!$D276)="Claro","Claro","Concorrente")</f>
        <v>Claro</v>
      </c>
      <c r="F276" t="s">
        <v>24</v>
      </c>
      <c r="G276" t="str">
        <f t="shared" ca="1" si="18"/>
        <v>Banda Larga + Movel</v>
      </c>
      <c r="H276" t="str">
        <f ca="1">TRIM([1]Planilha1!$E276)</f>
        <v>600M+100GB=R$119,90 por 3M, após R$159,90</v>
      </c>
      <c r="I276" t="str">
        <f ca="1">IF([1]Planilha1!$F276="","",TRIM([1]Planilha1!$F276))</f>
        <v>Fibra</v>
      </c>
      <c r="J276" s="3">
        <f ca="1">IF([1]Planilha1!$G276="","",[1]Planilha1!$G276)</f>
        <v>600</v>
      </c>
      <c r="K276" s="4" cm="1">
        <f t="array" aca="1" ref="K276" ca="1">IFERROR(VALUE(_xlfn.REGEXEXTRACT([1]Planilha1!$E276,"\+\s*(\d+)GB",2)),"")</f>
        <v>100</v>
      </c>
      <c r="L276" s="5">
        <f ca="1">IF([1]Planilha1!$H276="","",[1]Planilha1!$H276)</f>
        <v>159.9</v>
      </c>
      <c r="M276" s="5">
        <f ca="1">IF([1]Planilha1!$I276="","",[1]Planilha1!$I276)</f>
        <v>119.9</v>
      </c>
      <c r="N276" s="2" cm="1">
        <f t="array" aca="1" ref="N276" ca="1">IFERROR(VALUE(_xlfn.REGEXEXTRACT([1]Planilha1!$E276,"(\d+)\s*MESES",2)),IFERROR(VALUE(_xlfn.REGEXEXTRACT([1]Planilha1!$E276,"por\s*(\d+)\s*M",2)),IF(_xlfn.REGEXTEST([1]Planilha1!$E276,"1[ºª]"),1,"")))</f>
        <v>3</v>
      </c>
      <c r="O276" s="6">
        <f t="shared" ca="1" si="19"/>
        <v>0.26650000000000001</v>
      </c>
      <c r="P276" t="str">
        <f ca="1">IF([1]Planilha1!$J276="","",TRIM([1]Planilha1!$J276))</f>
        <v>GLOBOPLAY</v>
      </c>
      <c r="Q276" s="7" t="str">
        <f>IF($D276="Claro","",IFERROR($L276-VLOOKUP($B276&amp;"|Claro",[1]AUX_CLARO!$A:$C,2,FALSE),""))</f>
        <v/>
      </c>
      <c r="R276" s="8" t="str">
        <f>IF($D276="Claro","",IFERROR($J276-VLOOKUP($B276&amp;"|Claro",[1]AUX_CLARO!$A:$C,3,FALSE),""))</f>
        <v/>
      </c>
      <c r="S276" t="str">
        <f t="shared" si="20"/>
        <v/>
      </c>
      <c r="T276" t="str">
        <f t="shared" si="21"/>
        <v/>
      </c>
      <c r="U276" s="9">
        <f t="shared" si="22"/>
        <v>46174</v>
      </c>
      <c r="V276" t="str">
        <f ca="1">IF(OR([1]Planilha1!$B276="",[1]Planilha1!$B276="NÃO MAPEADO"),"",TRIM([1]Planilha1!$B276))</f>
        <v>CENTRAL</v>
      </c>
      <c r="W276" t="str">
        <f ca="1">IF([1]Planilha1!$C276="","",TRIM([1]Planilha1!$C276))</f>
        <v>ESPECIAL</v>
      </c>
      <c r="X276" t="str">
        <f ca="1">IFERROR(VLOOKUP($C276,[1]Planilha2!$B:$H,7,FALSE),"")</f>
        <v>13480-001</v>
      </c>
    </row>
    <row r="277" spans="1:24" x14ac:dyDescent="0.35">
      <c r="A277" t="str">
        <f ca="1">IF(LEFT(TEXT([1]Planilha1!$L277,"0000000"),1)="5","MS","SP")</f>
        <v>SP</v>
      </c>
      <c r="B277" t="str">
        <f ca="1">IF(RIGHT([1]Planilha1!$A277,5)=" - MS",LEFT([1]Planilha1!$A277,LEN([1]Planilha1!$A277)-5),TRIM([1]Planilha1!$A277))</f>
        <v>LIMEIRA</v>
      </c>
      <c r="C277" s="2">
        <f ca="1">[1]Planilha1!$L277</f>
        <v>3526902</v>
      </c>
      <c r="D277" t="str">
        <f>TRIM([1]Planilha1!$D277)</f>
        <v>Vivo</v>
      </c>
      <c r="E277" t="str">
        <f>IF(TRIM([1]Planilha1!$D277)="Claro","Claro","Concorrente")</f>
        <v>Concorrente</v>
      </c>
      <c r="F277" t="s">
        <v>25</v>
      </c>
      <c r="G277" t="str">
        <f t="shared" ca="1" si="18"/>
        <v>Banda Larga + Movel</v>
      </c>
      <c r="H277" t="s">
        <v>26</v>
      </c>
      <c r="I277" t="str">
        <f ca="1">IF([1]Planilha1!$F277="","",TRIM([1]Planilha1!$F277))</f>
        <v>Fibra</v>
      </c>
      <c r="J277" s="11" t="s">
        <v>27</v>
      </c>
      <c r="K277" s="4" cm="1">
        <f t="array" aca="1" ref="K277" ca="1">IFERROR(VALUE(_xlfn.REGEXEXTRACT([1]Planilha1!$E277,"\+\s*(\d+)GB",2)),"")</f>
        <v>70</v>
      </c>
      <c r="L277" s="5">
        <v>160</v>
      </c>
      <c r="M277" s="5" t="str">
        <f ca="1">IF([1]Planilha1!$I277="","",[1]Planilha1!$I277)</f>
        <v/>
      </c>
      <c r="N277" s="2" t="str" cm="1">
        <f t="array" aca="1" ref="N277" ca="1">IFERROR(VALUE(_xlfn.REGEXEXTRACT([1]Planilha1!$E277,"(\d+)\s*MESES",2)),IFERROR(VALUE(_xlfn.REGEXEXTRACT([1]Planilha1!$E277,"por\s*(\d+)\s*M",2)),IF(_xlfn.REGEXTEST([1]Planilha1!$E277,"1[ºª]"),1,"")))</f>
        <v/>
      </c>
      <c r="O277" s="6" t="str">
        <f t="shared" si="19"/>
        <v/>
      </c>
      <c r="P277" t="str">
        <f ca="1">IF([1]Planilha1!$J277="","",TRIM([1]Planilha1!$J277))</f>
        <v>0</v>
      </c>
      <c r="Q277" s="7">
        <f ca="1">IF($D277="Claro","",IFERROR($L277-VLOOKUP($B277&amp;"|Claro",[1]AUX_CLARO!$A:$C,2,FALSE),""))</f>
        <v>9.9999999999994316E-2</v>
      </c>
      <c r="R277" s="8" t="str">
        <f ca="1">IF($D277="Claro","",IFERROR($J277-VLOOKUP($B277&amp;"|Claro",[1]AUX_CLARO!$A:$C,3,FALSE),""))</f>
        <v/>
      </c>
      <c r="S277" t="str">
        <f t="shared" ca="1" si="20"/>
        <v>Claro mais barata</v>
      </c>
      <c r="T277" t="str">
        <f t="shared" ca="1" si="21"/>
        <v/>
      </c>
      <c r="U277" s="9">
        <f t="shared" si="22"/>
        <v>46174</v>
      </c>
      <c r="V277" t="str">
        <f ca="1">IF(OR([1]Planilha1!$B277="",[1]Planilha1!$B277="NÃO MAPEADO"),"",TRIM([1]Planilha1!$B277))</f>
        <v>CENTRAL</v>
      </c>
      <c r="W277" t="str">
        <f ca="1">IF([1]Planilha1!$C277="","",TRIM([1]Planilha1!$C277))</f>
        <v>ESPECIAL</v>
      </c>
      <c r="X277" t="str">
        <f ca="1">IFERROR(VLOOKUP($C277,[1]Planilha2!$B:$H,7,FALSE),"")</f>
        <v>13480-001</v>
      </c>
    </row>
    <row r="278" spans="1:24" x14ac:dyDescent="0.35">
      <c r="A278" t="str">
        <f ca="1">IF(LEFT(TEXT([1]Planilha1!$L278,"0000000"),1)="5","MS","SP")</f>
        <v>SP</v>
      </c>
      <c r="B278" t="str">
        <f ca="1">IF(RIGHT([1]Planilha1!$A278,5)=" - MS",LEFT([1]Planilha1!$A278,LEN([1]Planilha1!$A278)-5),TRIM([1]Planilha1!$A278))</f>
        <v>LIMEIRA</v>
      </c>
      <c r="C278" s="2">
        <f ca="1">[1]Planilha1!$L278</f>
        <v>3526902</v>
      </c>
      <c r="D278" t="str">
        <f>TRIM([1]Planilha1!$D278)</f>
        <v>Desktop</v>
      </c>
      <c r="E278" t="str">
        <f>IF(TRIM([1]Planilha1!$D278)="Claro","Claro","Concorrente")</f>
        <v>Concorrente</v>
      </c>
      <c r="F278" t="s">
        <v>29</v>
      </c>
      <c r="G278" t="str">
        <f t="shared" ca="1" si="18"/>
        <v>Banda Larga + Conteudo</v>
      </c>
      <c r="H278" t="str">
        <f ca="1">TRIM([1]Planilha1!$E278)</f>
        <v>600M=R$49,99 por 2M, após R$89,99</v>
      </c>
      <c r="I278" t="str">
        <f ca="1">IF([1]Planilha1!$F278="","",TRIM([1]Planilha1!$F278))</f>
        <v>Fibra</v>
      </c>
      <c r="J278" s="3">
        <f ca="1">IF([1]Planilha1!$G278="","",[1]Planilha1!$G278)</f>
        <v>600</v>
      </c>
      <c r="K278" s="4" t="str" cm="1">
        <f t="array" aca="1" ref="K278" ca="1">IFERROR(VALUE(_xlfn.REGEXEXTRACT([1]Planilha1!$E278,"\+\s*(\d+)GB",2)),"")</f>
        <v/>
      </c>
      <c r="L278" s="5">
        <f ca="1">IF([1]Planilha1!$H278="","",[1]Planilha1!$H278)</f>
        <v>89.99</v>
      </c>
      <c r="M278" s="5">
        <f ca="1">IF([1]Planilha1!$I278="","",[1]Planilha1!$I278)</f>
        <v>49.99</v>
      </c>
      <c r="N278" s="2" cm="1">
        <f t="array" aca="1" ref="N278" ca="1">IFERROR(VALUE(_xlfn.REGEXEXTRACT([1]Planilha1!$E278,"(\d+)\s*MESES",2)),IFERROR(VALUE(_xlfn.REGEXEXTRACT([1]Planilha1!$E278,"por\s*(\d+)\s*M",2)),IF(_xlfn.REGEXTEST([1]Planilha1!$E278,"1[ºª]"),1,"")))</f>
        <v>2</v>
      </c>
      <c r="O278" s="6">
        <f t="shared" ca="1" si="19"/>
        <v>0.14998333333333333</v>
      </c>
      <c r="P278" t="str">
        <f ca="1">IF([1]Planilha1!$J278="","",TRIM([1]Planilha1!$J278))</f>
        <v>0</v>
      </c>
      <c r="Q278" s="7">
        <f ca="1">IF($D278="Claro","",IFERROR($L278-VLOOKUP($B278&amp;"|Claro",[1]AUX_CLARO!$A:$C,2,FALSE),""))</f>
        <v>-69.910000000000011</v>
      </c>
      <c r="R278" s="8">
        <f ca="1">IF($D278="Claro","",IFERROR($J278-VLOOKUP($B278&amp;"|Claro",[1]AUX_CLARO!$A:$C,3,FALSE),""))</f>
        <v>0</v>
      </c>
      <c r="S278" t="str">
        <f t="shared" ca="1" si="20"/>
        <v>Claro mais cara</v>
      </c>
      <c r="T278" t="str">
        <f t="shared" ca="1" si="21"/>
        <v>Mesma velocidade</v>
      </c>
      <c r="U278" s="9">
        <f t="shared" si="22"/>
        <v>46174</v>
      </c>
      <c r="V278" t="str">
        <f ca="1">IF(OR([1]Planilha1!$B278="",[1]Planilha1!$B278="NÃO MAPEADO"),"",TRIM([1]Planilha1!$B278))</f>
        <v>CENTRAL</v>
      </c>
      <c r="W278" t="str">
        <f ca="1">IF([1]Planilha1!$C278="","",TRIM([1]Planilha1!$C278))</f>
        <v>ESPECIAL</v>
      </c>
      <c r="X278" t="str">
        <f ca="1">IFERROR(VLOOKUP($C278,[1]Planilha2!$B:$H,7,FALSE),"")</f>
        <v>13480-001</v>
      </c>
    </row>
    <row r="279" spans="1:24" x14ac:dyDescent="0.35">
      <c r="A279" t="str">
        <f ca="1">IF(LEFT(TEXT([1]Planilha1!$L279,"0000000"),1)="5","MS","SP")</f>
        <v>SP</v>
      </c>
      <c r="B279" t="str">
        <f ca="1">IF(RIGHT([1]Planilha1!$A279,5)=" - MS",LEFT([1]Planilha1!$A279,LEN([1]Planilha1!$A279)-5),TRIM([1]Planilha1!$A279))</f>
        <v>LIMEIRA</v>
      </c>
      <c r="C279" s="2">
        <f ca="1">[1]Planilha1!$L279</f>
        <v>3526902</v>
      </c>
      <c r="D279" t="str">
        <f>TRIM([1]Planilha1!$D279)</f>
        <v>Alares</v>
      </c>
      <c r="E279" t="str">
        <f>IF(TRIM([1]Planilha1!$D279)="Claro","Claro","Concorrente")</f>
        <v>Concorrente</v>
      </c>
      <c r="F279" t="s">
        <v>32</v>
      </c>
      <c r="G279" t="str">
        <f t="shared" ca="1" si="18"/>
        <v>Banda Larga + Conteudo</v>
      </c>
      <c r="H279" t="str">
        <f ca="1">TRIM([1]Planilha1!$E279)</f>
        <v>1GB + GLOBOPLAY R$99,90</v>
      </c>
      <c r="I279" t="str">
        <f ca="1">IF([1]Planilha1!$F279="","",TRIM([1]Planilha1!$F279))</f>
        <v>Fibra</v>
      </c>
      <c r="J279" s="3">
        <f ca="1">IF([1]Planilha1!$G279="","",[1]Planilha1!$G279)</f>
        <v>1000</v>
      </c>
      <c r="K279" s="4" t="str" cm="1">
        <f t="array" aca="1" ref="K279" ca="1">IFERROR(VALUE(_xlfn.REGEXEXTRACT([1]Planilha1!$E279,"\+\s*(\d+)GB",2)),"")</f>
        <v/>
      </c>
      <c r="L279" s="5">
        <f ca="1">IF([1]Planilha1!$H279="","",[1]Planilha1!$H279)</f>
        <v>99.9</v>
      </c>
      <c r="M279" s="5" t="str">
        <f ca="1">IF([1]Planilha1!$I279="","",[1]Planilha1!$I279)</f>
        <v/>
      </c>
      <c r="N279" s="2" t="str" cm="1">
        <f t="array" aca="1" ref="N279" ca="1">IFERROR(VALUE(_xlfn.REGEXEXTRACT([1]Planilha1!$E279,"(\d+)\s*MESES",2)),IFERROR(VALUE(_xlfn.REGEXEXTRACT([1]Planilha1!$E279,"por\s*(\d+)\s*M",2)),IF(_xlfn.REGEXTEST([1]Planilha1!$E279,"1[ºª]"),1,"")))</f>
        <v/>
      </c>
      <c r="O279" s="6">
        <f t="shared" ca="1" si="19"/>
        <v>9.9900000000000003E-2</v>
      </c>
      <c r="P279" t="str">
        <f ca="1">IF([1]Planilha1!$J279="","",TRIM([1]Planilha1!$J279))</f>
        <v>GLOBOPLAY</v>
      </c>
      <c r="Q279" s="7">
        <f ca="1">IF($D279="Claro","",IFERROR($L279-VLOOKUP($B279&amp;"|Claro",[1]AUX_CLARO!$A:$C,2,FALSE),""))</f>
        <v>-60</v>
      </c>
      <c r="R279" s="8">
        <f ca="1">IF($D279="Claro","",IFERROR($J279-VLOOKUP($B279&amp;"|Claro",[1]AUX_CLARO!$A:$C,3,FALSE),""))</f>
        <v>400</v>
      </c>
      <c r="S279" t="str">
        <f t="shared" ca="1" si="20"/>
        <v>Claro mais cara</v>
      </c>
      <c r="T279" t="str">
        <f t="shared" ca="1" si="21"/>
        <v>Claro com menor velocidade</v>
      </c>
      <c r="U279" s="9">
        <f t="shared" si="22"/>
        <v>46174</v>
      </c>
      <c r="V279" t="str">
        <f ca="1">IF(OR([1]Planilha1!$B279="",[1]Planilha1!$B279="NÃO MAPEADO"),"",TRIM([1]Planilha1!$B279))</f>
        <v>CENTRAL</v>
      </c>
      <c r="W279" t="str">
        <f ca="1">IF([1]Planilha1!$C279="","",TRIM([1]Planilha1!$C279))</f>
        <v>ESPECIAL</v>
      </c>
      <c r="X279" t="str">
        <f ca="1">IFERROR(VLOOKUP($C279,[1]Planilha2!$B:$H,7,FALSE),"")</f>
        <v>13480-001</v>
      </c>
    </row>
    <row r="280" spans="1:24" x14ac:dyDescent="0.35">
      <c r="A280" t="str">
        <f ca="1">IF(LEFT(TEXT([1]Planilha1!$L280,"0000000"),1)="5","MS","SP")</f>
        <v>SP</v>
      </c>
      <c r="B280" t="str">
        <f ca="1">IF(RIGHT([1]Planilha1!$A280,5)=" - MS",LEFT([1]Planilha1!$A280,LEN([1]Planilha1!$A280)-5),TRIM([1]Planilha1!$A280))</f>
        <v>LIMEIRA</v>
      </c>
      <c r="C280" s="2">
        <f ca="1">[1]Planilha1!$L280</f>
        <v>3526902</v>
      </c>
      <c r="D280" t="str">
        <f>TRIM([1]Planilha1!$D280)</f>
        <v>Vero</v>
      </c>
      <c r="E280" t="str">
        <f>IF(TRIM([1]Planilha1!$D280)="Claro","Claro","Concorrente")</f>
        <v>Concorrente</v>
      </c>
      <c r="F280" t="s">
        <v>30</v>
      </c>
      <c r="G280" t="str">
        <f t="shared" ca="1" si="18"/>
        <v>Banda Larga + Movel</v>
      </c>
      <c r="H280" t="str">
        <f ca="1">TRIM([1]Planilha1!$E280)</f>
        <v>850M+60GB=R$149,99 (C/ GLOBOPLAY, HBO, DISNEY+)</v>
      </c>
      <c r="I280" t="str">
        <f ca="1">IF([1]Planilha1!$F280="","",TRIM([1]Planilha1!$F280))</f>
        <v>Fibra</v>
      </c>
      <c r="J280" s="3">
        <f ca="1">IF([1]Planilha1!$G280="","",[1]Planilha1!$G280)</f>
        <v>850</v>
      </c>
      <c r="K280" s="4" cm="1">
        <f t="array" aca="1" ref="K280" ca="1">IFERROR(VALUE(_xlfn.REGEXEXTRACT([1]Planilha1!$E280,"\+\s*(\d+)GB",2)),"")</f>
        <v>60</v>
      </c>
      <c r="L280" s="5">
        <f ca="1">IF([1]Planilha1!$H280="","",[1]Planilha1!$H280)</f>
        <v>149.99</v>
      </c>
      <c r="M280" s="5" t="str">
        <f ca="1">IF([1]Planilha1!$I280="","",[1]Planilha1!$I280)</f>
        <v/>
      </c>
      <c r="N280" s="2" t="str" cm="1">
        <f t="array" aca="1" ref="N280" ca="1">IFERROR(VALUE(_xlfn.REGEXEXTRACT([1]Planilha1!$E280,"(\d+)\s*MESES",2)),IFERROR(VALUE(_xlfn.REGEXEXTRACT([1]Planilha1!$E280,"por\s*(\d+)\s*M",2)),IF(_xlfn.REGEXTEST([1]Planilha1!$E280,"1[ºª]"),1,"")))</f>
        <v/>
      </c>
      <c r="O280" s="6">
        <f t="shared" ca="1" si="19"/>
        <v>0.17645882352941178</v>
      </c>
      <c r="P280" t="str">
        <f ca="1">IF([1]Planilha1!$J280="","",TRIM([1]Planilha1!$J280))</f>
        <v>GLOBOPLAY, HBO, DISNEY+</v>
      </c>
      <c r="Q280" s="7">
        <f ca="1">IF($D280="Claro","",IFERROR($L280-VLOOKUP($B280&amp;"|Claro",[1]AUX_CLARO!$A:$C,2,FALSE),""))</f>
        <v>-9.9099999999999966</v>
      </c>
      <c r="R280" s="8">
        <f ca="1">IF($D280="Claro","",IFERROR($J280-VLOOKUP($B280&amp;"|Claro",[1]AUX_CLARO!$A:$C,3,FALSE),""))</f>
        <v>250</v>
      </c>
      <c r="S280" t="str">
        <f t="shared" ca="1" si="20"/>
        <v>Claro mais cara</v>
      </c>
      <c r="T280" t="str">
        <f t="shared" ca="1" si="21"/>
        <v>Claro com menor velocidade</v>
      </c>
      <c r="U280" s="9">
        <f t="shared" si="22"/>
        <v>46174</v>
      </c>
      <c r="V280" t="str">
        <f ca="1">IF(OR([1]Planilha1!$B280="",[1]Planilha1!$B280="NÃO MAPEADO"),"",TRIM([1]Planilha1!$B280))</f>
        <v>CENTRAL</v>
      </c>
      <c r="W280" t="str">
        <f ca="1">IF([1]Planilha1!$C280="","",TRIM([1]Planilha1!$C280))</f>
        <v>ESPECIAL</v>
      </c>
      <c r="X280" t="str">
        <f ca="1">IFERROR(VLOOKUP($C280,[1]Planilha2!$B:$H,7,FALSE),"")</f>
        <v>13480-001</v>
      </c>
    </row>
    <row r="281" spans="1:24" x14ac:dyDescent="0.35">
      <c r="A281" t="str">
        <f ca="1">IF(LEFT(TEXT([1]Planilha1!$L281,"0000000"),1)="5","MS","SP")</f>
        <v>SP</v>
      </c>
      <c r="B281" t="str">
        <f ca="1">IF(RIGHT([1]Planilha1!$A281,5)=" - MS",LEFT([1]Planilha1!$A281,LEN([1]Planilha1!$A281)-5),TRIM([1]Planilha1!$A281))</f>
        <v>LINS</v>
      </c>
      <c r="C281" s="2">
        <f ca="1">[1]Planilha1!$L281</f>
        <v>3527108</v>
      </c>
      <c r="D281" t="str">
        <f>TRIM([1]Planilha1!$D281)</f>
        <v>Claro</v>
      </c>
      <c r="E281" t="str">
        <f>IF(TRIM([1]Planilha1!$D281)="Claro","Claro","Concorrente")</f>
        <v>Claro</v>
      </c>
      <c r="F281" t="s">
        <v>24</v>
      </c>
      <c r="G281" t="str">
        <f t="shared" ca="1" si="18"/>
        <v>Banda Larga + Movel</v>
      </c>
      <c r="H281" t="str">
        <f ca="1">TRIM([1]Planilha1!$E281)</f>
        <v>600M+100GB=R$109,90 por 6M, após R$139,90</v>
      </c>
      <c r="I281" t="str">
        <f ca="1">IF([1]Planilha1!$F281="","",TRIM([1]Planilha1!$F281))</f>
        <v>Fibra</v>
      </c>
      <c r="J281" s="3">
        <f ca="1">IF([1]Planilha1!$G281="","",[1]Planilha1!$G281)</f>
        <v>600</v>
      </c>
      <c r="K281" s="4" cm="1">
        <f t="array" aca="1" ref="K281" ca="1">IFERROR(VALUE(_xlfn.REGEXEXTRACT([1]Planilha1!$E281,"\+\s*(\d+)GB",2)),"")</f>
        <v>100</v>
      </c>
      <c r="L281" s="5">
        <f ca="1">IF([1]Planilha1!$H281="","",[1]Planilha1!$H281)</f>
        <v>139.9</v>
      </c>
      <c r="M281" s="5">
        <f ca="1">IF([1]Planilha1!$I281="","",[1]Planilha1!$I281)</f>
        <v>109.9</v>
      </c>
      <c r="N281" s="2" cm="1">
        <f t="array" aca="1" ref="N281" ca="1">IFERROR(VALUE(_xlfn.REGEXEXTRACT([1]Planilha1!$E281,"(\d+)\s*MESES",2)),IFERROR(VALUE(_xlfn.REGEXEXTRACT([1]Planilha1!$E281,"por\s*(\d+)\s*M",2)),IF(_xlfn.REGEXTEST([1]Planilha1!$E281,"1[ºª]"),1,"")))</f>
        <v>6</v>
      </c>
      <c r="O281" s="6">
        <f t="shared" ca="1" si="19"/>
        <v>0.23316666666666669</v>
      </c>
      <c r="P281" t="str">
        <f ca="1">IF([1]Planilha1!$J281="","",TRIM([1]Planilha1!$J281))</f>
        <v>GLOBOPLAY</v>
      </c>
      <c r="Q281" s="7" t="str">
        <f>IF($D281="Claro","",IFERROR($L281-VLOOKUP($B281&amp;"|Claro",[1]AUX_CLARO!$A:$C,2,FALSE),""))</f>
        <v/>
      </c>
      <c r="R281" s="8" t="str">
        <f>IF($D281="Claro","",IFERROR($J281-VLOOKUP($B281&amp;"|Claro",[1]AUX_CLARO!$A:$C,3,FALSE),""))</f>
        <v/>
      </c>
      <c r="S281" t="str">
        <f t="shared" si="20"/>
        <v/>
      </c>
      <c r="T281" t="str">
        <f t="shared" si="21"/>
        <v/>
      </c>
      <c r="U281" s="9">
        <f t="shared" si="22"/>
        <v>46174</v>
      </c>
      <c r="V281" t="str">
        <f ca="1">IF(OR([1]Planilha1!$B281="",[1]Planilha1!$B281="NÃO MAPEADO"),"",TRIM([1]Planilha1!$B281))</f>
        <v>NOROESTE</v>
      </c>
      <c r="W281" t="str">
        <f ca="1">IF([1]Planilha1!$C281="","",TRIM([1]Planilha1!$C281))</f>
        <v>MD 2</v>
      </c>
      <c r="X281" t="str">
        <f ca="1">IFERROR(VLOOKUP($C281,[1]Planilha2!$B:$H,7,FALSE),"")</f>
        <v>16400-001</v>
      </c>
    </row>
    <row r="282" spans="1:24" x14ac:dyDescent="0.35">
      <c r="A282" t="str">
        <f ca="1">IF(LEFT(TEXT([1]Planilha1!$L282,"0000000"),1)="5","MS","SP")</f>
        <v>SP</v>
      </c>
      <c r="B282" t="str">
        <f ca="1">IF(RIGHT([1]Planilha1!$A282,5)=" - MS",LEFT([1]Planilha1!$A282,LEN([1]Planilha1!$A282)-5),TRIM([1]Planilha1!$A282))</f>
        <v>LINS</v>
      </c>
      <c r="C282" s="2">
        <f ca="1">[1]Planilha1!$L282</f>
        <v>3527108</v>
      </c>
      <c r="D282" t="str">
        <f>TRIM([1]Planilha1!$D282)</f>
        <v>Vivo</v>
      </c>
      <c r="E282" t="str">
        <f>IF(TRIM([1]Planilha1!$D282)="Claro","Claro","Concorrente")</f>
        <v>Concorrente</v>
      </c>
      <c r="F282" t="s">
        <v>25</v>
      </c>
      <c r="G282" t="str">
        <f t="shared" ca="1" si="18"/>
        <v>Banda Larga + Movel</v>
      </c>
      <c r="H282" t="s">
        <v>26</v>
      </c>
      <c r="I282" t="str">
        <f ca="1">IF([1]Planilha1!$F282="","",TRIM([1]Planilha1!$F282))</f>
        <v>Fibra</v>
      </c>
      <c r="J282" s="11" t="s">
        <v>27</v>
      </c>
      <c r="K282" s="4" cm="1">
        <f t="array" aca="1" ref="K282" ca="1">IFERROR(VALUE(_xlfn.REGEXEXTRACT([1]Planilha1!$E282,"\+\s*(\d+)GB",2)),"")</f>
        <v>70</v>
      </c>
      <c r="L282" s="5">
        <v>160</v>
      </c>
      <c r="M282" s="5" t="str">
        <f ca="1">IF([1]Planilha1!$I282="","",[1]Planilha1!$I282)</f>
        <v/>
      </c>
      <c r="N282" s="2" t="str" cm="1">
        <f t="array" aca="1" ref="N282" ca="1">IFERROR(VALUE(_xlfn.REGEXEXTRACT([1]Planilha1!$E282,"(\d+)\s*MESES",2)),IFERROR(VALUE(_xlfn.REGEXEXTRACT([1]Planilha1!$E282,"por\s*(\d+)\s*M",2)),IF(_xlfn.REGEXTEST([1]Planilha1!$E282,"1[ºª]"),1,"")))</f>
        <v/>
      </c>
      <c r="O282" s="6" t="str">
        <f t="shared" si="19"/>
        <v/>
      </c>
      <c r="P282" t="str">
        <f ca="1">IF([1]Planilha1!$J282="","",TRIM([1]Planilha1!$J282))</f>
        <v>0</v>
      </c>
      <c r="Q282" s="7">
        <f ca="1">IF($D282="Claro","",IFERROR($L282-VLOOKUP($B282&amp;"|Claro",[1]AUX_CLARO!$A:$C,2,FALSE),""))</f>
        <v>20.099999999999994</v>
      </c>
      <c r="R282" s="8" t="str">
        <f ca="1">IF($D282="Claro","",IFERROR($J282-VLOOKUP($B282&amp;"|Claro",[1]AUX_CLARO!$A:$C,3,FALSE),""))</f>
        <v/>
      </c>
      <c r="S282" t="str">
        <f t="shared" ca="1" si="20"/>
        <v>Claro mais barata</v>
      </c>
      <c r="T282" t="str">
        <f t="shared" ca="1" si="21"/>
        <v/>
      </c>
      <c r="U282" s="9">
        <f t="shared" si="22"/>
        <v>46174</v>
      </c>
      <c r="V282" t="str">
        <f ca="1">IF(OR([1]Planilha1!$B282="",[1]Planilha1!$B282="NÃO MAPEADO"),"",TRIM([1]Planilha1!$B282))</f>
        <v>NOROESTE</v>
      </c>
      <c r="W282" t="str">
        <f ca="1">IF([1]Planilha1!$C282="","",TRIM([1]Planilha1!$C282))</f>
        <v>MD 2</v>
      </c>
      <c r="X282" t="str">
        <f ca="1">IFERROR(VLOOKUP($C282,[1]Planilha2!$B:$H,7,FALSE),"")</f>
        <v>16400-001</v>
      </c>
    </row>
    <row r="283" spans="1:24" x14ac:dyDescent="0.35">
      <c r="A283" t="str">
        <f ca="1">IF(LEFT(TEXT([1]Planilha1!$L283,"0000000"),1)="5","MS","SP")</f>
        <v>SP</v>
      </c>
      <c r="B283" t="str">
        <f ca="1">IF(RIGHT([1]Planilha1!$A283,5)=" - MS",LEFT([1]Planilha1!$A283,LEN([1]Planilha1!$A283)-5),TRIM([1]Planilha1!$A283))</f>
        <v>LINS</v>
      </c>
      <c r="C283" s="2">
        <f ca="1">[1]Planilha1!$L283</f>
        <v>3527108</v>
      </c>
      <c r="D283" t="str">
        <f>TRIM([1]Planilha1!$D283)</f>
        <v>Desktop</v>
      </c>
      <c r="E283" t="str">
        <f>IF(TRIM([1]Planilha1!$D283)="Claro","Claro","Concorrente")</f>
        <v>Concorrente</v>
      </c>
      <c r="F283" t="s">
        <v>29</v>
      </c>
      <c r="G283" t="str">
        <f t="shared" ca="1" si="18"/>
        <v>Banda Larga + Conteudo</v>
      </c>
      <c r="H283" t="str">
        <f ca="1">TRIM([1]Planilha1!$E283)</f>
        <v>600M=R$49,99 por 2M, após R$89,99</v>
      </c>
      <c r="I283" t="str">
        <f ca="1">IF([1]Planilha1!$F283="","",TRIM([1]Planilha1!$F283))</f>
        <v>Fibra</v>
      </c>
      <c r="J283" s="3">
        <f ca="1">IF([1]Planilha1!$G283="","",[1]Planilha1!$G283)</f>
        <v>600</v>
      </c>
      <c r="K283" s="4" t="str" cm="1">
        <f t="array" aca="1" ref="K283" ca="1">IFERROR(VALUE(_xlfn.REGEXEXTRACT([1]Planilha1!$E283,"\+\s*(\d+)GB",2)),"")</f>
        <v/>
      </c>
      <c r="L283" s="5">
        <f ca="1">IF([1]Planilha1!$H283="","",[1]Planilha1!$H283)</f>
        <v>89.99</v>
      </c>
      <c r="M283" s="5">
        <f ca="1">IF([1]Planilha1!$I283="","",[1]Planilha1!$I283)</f>
        <v>49.99</v>
      </c>
      <c r="N283" s="2" cm="1">
        <f t="array" aca="1" ref="N283" ca="1">IFERROR(VALUE(_xlfn.REGEXEXTRACT([1]Planilha1!$E283,"(\d+)\s*MESES",2)),IFERROR(VALUE(_xlfn.REGEXEXTRACT([1]Planilha1!$E283,"por\s*(\d+)\s*M",2)),IF(_xlfn.REGEXTEST([1]Planilha1!$E283,"1[ºª]"),1,"")))</f>
        <v>2</v>
      </c>
      <c r="O283" s="6">
        <f t="shared" ca="1" si="19"/>
        <v>0.14998333333333333</v>
      </c>
      <c r="P283" t="str">
        <f ca="1">IF([1]Planilha1!$J283="","",TRIM([1]Planilha1!$J283))</f>
        <v>0</v>
      </c>
      <c r="Q283" s="7">
        <f ca="1">IF($D283="Claro","",IFERROR($L283-VLOOKUP($B283&amp;"|Claro",[1]AUX_CLARO!$A:$C,2,FALSE),""))</f>
        <v>-49.910000000000011</v>
      </c>
      <c r="R283" s="8">
        <f ca="1">IF($D283="Claro","",IFERROR($J283-VLOOKUP($B283&amp;"|Claro",[1]AUX_CLARO!$A:$C,3,FALSE),""))</f>
        <v>0</v>
      </c>
      <c r="S283" t="str">
        <f t="shared" ca="1" si="20"/>
        <v>Claro mais cara</v>
      </c>
      <c r="T283" t="str">
        <f t="shared" ca="1" si="21"/>
        <v>Mesma velocidade</v>
      </c>
      <c r="U283" s="9">
        <f t="shared" si="22"/>
        <v>46174</v>
      </c>
      <c r="V283" t="str">
        <f ca="1">IF(OR([1]Planilha1!$B283="",[1]Planilha1!$B283="NÃO MAPEADO"),"",TRIM([1]Planilha1!$B283))</f>
        <v>NOROESTE</v>
      </c>
      <c r="W283" t="str">
        <f ca="1">IF([1]Planilha1!$C283="","",TRIM([1]Planilha1!$C283))</f>
        <v>MD 2</v>
      </c>
      <c r="X283" t="str">
        <f ca="1">IFERROR(VLOOKUP($C283,[1]Planilha2!$B:$H,7,FALSE),"")</f>
        <v>16400-001</v>
      </c>
    </row>
    <row r="284" spans="1:24" x14ac:dyDescent="0.35">
      <c r="A284" t="str">
        <f ca="1">IF(LEFT(TEXT([1]Planilha1!$L284,"0000000"),1)="5","MS","SP")</f>
        <v>SP</v>
      </c>
      <c r="B284" t="str">
        <f ca="1">IF(RIGHT([1]Planilha1!$A284,5)=" - MS",LEFT([1]Planilha1!$A284,LEN([1]Planilha1!$A284)-5),TRIM([1]Planilha1!$A284))</f>
        <v>LINS</v>
      </c>
      <c r="C284" s="2">
        <f ca="1">[1]Planilha1!$L284</f>
        <v>3527108</v>
      </c>
      <c r="D284" t="str">
        <f>TRIM([1]Planilha1!$D284)</f>
        <v>Vero</v>
      </c>
      <c r="E284" t="str">
        <f>IF(TRIM([1]Planilha1!$D284)="Claro","Claro","Concorrente")</f>
        <v>Concorrente</v>
      </c>
      <c r="F284" t="s">
        <v>30</v>
      </c>
      <c r="G284" t="str">
        <f t="shared" ca="1" si="18"/>
        <v>Banda Larga + Movel</v>
      </c>
      <c r="H284" t="str">
        <f ca="1">TRIM([1]Planilha1!$E284)</f>
        <v>850M+60GB=R$149,99 (C/ GLOBOPLAY, HBO, DISNEY+)</v>
      </c>
      <c r="I284" t="str">
        <f ca="1">IF([1]Planilha1!$F284="","",TRIM([1]Planilha1!$F284))</f>
        <v>Fibra</v>
      </c>
      <c r="J284" s="3">
        <f ca="1">IF([1]Planilha1!$G284="","",[1]Planilha1!$G284)</f>
        <v>850</v>
      </c>
      <c r="K284" s="4" cm="1">
        <f t="array" aca="1" ref="K284" ca="1">IFERROR(VALUE(_xlfn.REGEXEXTRACT([1]Planilha1!$E284,"\+\s*(\d+)GB",2)),"")</f>
        <v>60</v>
      </c>
      <c r="L284" s="5">
        <f ca="1">IF([1]Planilha1!$H284="","",[1]Planilha1!$H284)</f>
        <v>149.99</v>
      </c>
      <c r="M284" s="5" t="str">
        <f ca="1">IF([1]Planilha1!$I284="","",[1]Planilha1!$I284)</f>
        <v/>
      </c>
      <c r="N284" s="2" t="str" cm="1">
        <f t="array" aca="1" ref="N284" ca="1">IFERROR(VALUE(_xlfn.REGEXEXTRACT([1]Planilha1!$E284,"(\d+)\s*MESES",2)),IFERROR(VALUE(_xlfn.REGEXEXTRACT([1]Planilha1!$E284,"por\s*(\d+)\s*M",2)),IF(_xlfn.REGEXTEST([1]Planilha1!$E284,"1[ºª]"),1,"")))</f>
        <v/>
      </c>
      <c r="O284" s="6">
        <f t="shared" ca="1" si="19"/>
        <v>0.17645882352941178</v>
      </c>
      <c r="P284" t="str">
        <f ca="1">IF([1]Planilha1!$J284="","",TRIM([1]Planilha1!$J284))</f>
        <v>GLOBOPLAY, HBO, DISNEY+</v>
      </c>
      <c r="Q284" s="7">
        <f ca="1">IF($D284="Claro","",IFERROR($L284-VLOOKUP($B284&amp;"|Claro",[1]AUX_CLARO!$A:$C,2,FALSE),""))</f>
        <v>10.090000000000003</v>
      </c>
      <c r="R284" s="8">
        <f ca="1">IF($D284="Claro","",IFERROR($J284-VLOOKUP($B284&amp;"|Claro",[1]AUX_CLARO!$A:$C,3,FALSE),""))</f>
        <v>250</v>
      </c>
      <c r="S284" t="str">
        <f t="shared" ca="1" si="20"/>
        <v>Claro mais barata</v>
      </c>
      <c r="T284" t="str">
        <f t="shared" ca="1" si="21"/>
        <v>Claro com menor velocidade</v>
      </c>
      <c r="U284" s="9">
        <f t="shared" si="22"/>
        <v>46174</v>
      </c>
      <c r="V284" t="str">
        <f ca="1">IF(OR([1]Planilha1!$B284="",[1]Planilha1!$B284="NÃO MAPEADO"),"",TRIM([1]Planilha1!$B284))</f>
        <v>NOROESTE</v>
      </c>
      <c r="W284" t="str">
        <f ca="1">IF([1]Planilha1!$C284="","",TRIM([1]Planilha1!$C284))</f>
        <v>MD 2</v>
      </c>
      <c r="X284" t="str">
        <f ca="1">IFERROR(VLOOKUP($C284,[1]Planilha2!$B:$H,7,FALSE),"")</f>
        <v>16400-001</v>
      </c>
    </row>
    <row r="285" spans="1:24" x14ac:dyDescent="0.35">
      <c r="A285" t="str">
        <f ca="1">IF(LEFT(TEXT([1]Planilha1!$L285,"0000000"),1)="5","MS","SP")</f>
        <v>SP</v>
      </c>
      <c r="B285" t="str">
        <f ca="1">IF(RIGHT([1]Planilha1!$A285,5)=" - MS",LEFT([1]Planilha1!$A285,LEN([1]Planilha1!$A285)-5),TRIM([1]Planilha1!$A285))</f>
        <v>LINS</v>
      </c>
      <c r="C285" s="2">
        <f ca="1">[1]Planilha1!$L285</f>
        <v>3527108</v>
      </c>
      <c r="D285" t="str">
        <f>TRIM([1]Planilha1!$D285)</f>
        <v>ISP LOCAL</v>
      </c>
      <c r="E285" t="str">
        <f>IF(TRIM([1]Planilha1!$D285)="Claro","Claro","Concorrente")</f>
        <v>Concorrente</v>
      </c>
      <c r="F285" t="s">
        <v>28</v>
      </c>
      <c r="G285" t="str">
        <f t="shared" ca="1" si="18"/>
        <v>Banda Larga + Conteudo</v>
      </c>
      <c r="H285" t="str">
        <f ca="1">TRIM([1]Planilha1!$E285)</f>
        <v>CABONNET - 600M R$49,95 - 3 MESES, APÓS R$99,90</v>
      </c>
      <c r="I285" t="str">
        <f ca="1">IF([1]Planilha1!$F285="","",TRIM([1]Planilha1!$F285))</f>
        <v>Fibra</v>
      </c>
      <c r="J285" s="3">
        <f ca="1">IF([1]Planilha1!$G285="","",[1]Planilha1!$G285)</f>
        <v>600</v>
      </c>
      <c r="K285" s="4" t="str" cm="1">
        <f t="array" aca="1" ref="K285" ca="1">IFERROR(VALUE(_xlfn.REGEXEXTRACT([1]Planilha1!$E285,"\+\s*(\d+)GB",2)),"")</f>
        <v/>
      </c>
      <c r="L285" s="5">
        <f ca="1">IF([1]Planilha1!$H285="","",[1]Planilha1!$H285)</f>
        <v>99.9</v>
      </c>
      <c r="M285" s="5">
        <f ca="1">IF([1]Planilha1!$I285="","",[1]Planilha1!$I285)</f>
        <v>49.95</v>
      </c>
      <c r="N285" s="2" cm="1">
        <f t="array" aca="1" ref="N285" ca="1">IFERROR(VALUE(_xlfn.REGEXEXTRACT([1]Planilha1!$E285,"(\d+)\s*MESES",2)),IFERROR(VALUE(_xlfn.REGEXEXTRACT([1]Planilha1!$E285,"por\s*(\d+)\s*M",2)),IF(_xlfn.REGEXTEST([1]Planilha1!$E285,"1[ºª]"),1,"")))</f>
        <v>3</v>
      </c>
      <c r="O285" s="6">
        <f t="shared" ca="1" si="19"/>
        <v>0.16650000000000001</v>
      </c>
      <c r="P285" t="str">
        <f ca="1">IF([1]Planilha1!$J285="","",TRIM([1]Planilha1!$J285))</f>
        <v>0</v>
      </c>
      <c r="Q285" s="7">
        <f ca="1">IF($D285="Claro","",IFERROR($L285-VLOOKUP($B285&amp;"|Claro",[1]AUX_CLARO!$A:$C,2,FALSE),""))</f>
        <v>-40</v>
      </c>
      <c r="R285" s="8">
        <f ca="1">IF($D285="Claro","",IFERROR($J285-VLOOKUP($B285&amp;"|Claro",[1]AUX_CLARO!$A:$C,3,FALSE),""))</f>
        <v>0</v>
      </c>
      <c r="S285" t="str">
        <f t="shared" ca="1" si="20"/>
        <v>Claro mais cara</v>
      </c>
      <c r="T285" t="str">
        <f t="shared" ca="1" si="21"/>
        <v>Mesma velocidade</v>
      </c>
      <c r="U285" s="9">
        <f t="shared" si="22"/>
        <v>46174</v>
      </c>
      <c r="V285" t="str">
        <f ca="1">IF(OR([1]Planilha1!$B285="",[1]Planilha1!$B285="NÃO MAPEADO"),"",TRIM([1]Planilha1!$B285))</f>
        <v>NOROESTE</v>
      </c>
      <c r="W285" t="str">
        <f ca="1">IF([1]Planilha1!$C285="","",TRIM([1]Planilha1!$C285))</f>
        <v>MD 2</v>
      </c>
      <c r="X285" t="str">
        <f ca="1">IFERROR(VLOOKUP($C285,[1]Planilha2!$B:$H,7,FALSE),"")</f>
        <v>16400-001</v>
      </c>
    </row>
    <row r="286" spans="1:24" x14ac:dyDescent="0.35">
      <c r="A286" t="str">
        <f ca="1">IF(LEFT(TEXT([1]Planilha1!$L286,"0000000"),1)="5","MS","SP")</f>
        <v>SP</v>
      </c>
      <c r="B286" t="str">
        <f ca="1">IF(RIGHT([1]Planilha1!$A286,5)=" - MS",LEFT([1]Planilha1!$A286,LEN([1]Planilha1!$A286)-5),TRIM([1]Planilha1!$A286))</f>
        <v>LORENA</v>
      </c>
      <c r="C286" s="2">
        <f ca="1">[1]Planilha1!$L286</f>
        <v>3527207</v>
      </c>
      <c r="D286" t="str">
        <f>TRIM([1]Planilha1!$D286)</f>
        <v>Claro</v>
      </c>
      <c r="E286" t="str">
        <f>IF(TRIM([1]Planilha1!$D286)="Claro","Claro","Concorrente")</f>
        <v>Claro</v>
      </c>
      <c r="F286" t="s">
        <v>24</v>
      </c>
      <c r="G286" t="str">
        <f t="shared" ca="1" si="18"/>
        <v>Banda Larga + Movel</v>
      </c>
      <c r="H286" t="str">
        <f ca="1">TRIM([1]Planilha1!$E286)</f>
        <v>600M+100GB=R$109,90 por 6M, após R$139,90</v>
      </c>
      <c r="I286" t="str">
        <f ca="1">IF([1]Planilha1!$F286="","",TRIM([1]Planilha1!$F286))</f>
        <v>Fibra</v>
      </c>
      <c r="J286" s="3">
        <f ca="1">IF([1]Planilha1!$G286="","",[1]Planilha1!$G286)</f>
        <v>600</v>
      </c>
      <c r="K286" s="4" cm="1">
        <f t="array" aca="1" ref="K286" ca="1">IFERROR(VALUE(_xlfn.REGEXEXTRACT([1]Planilha1!$E286,"\+\s*(\d+)GB",2)),"")</f>
        <v>100</v>
      </c>
      <c r="L286" s="5">
        <f ca="1">IF([1]Planilha1!$H286="","",[1]Planilha1!$H286)</f>
        <v>139.9</v>
      </c>
      <c r="M286" s="5">
        <f ca="1">IF([1]Planilha1!$I286="","",[1]Planilha1!$I286)</f>
        <v>109.9</v>
      </c>
      <c r="N286" s="2" cm="1">
        <f t="array" aca="1" ref="N286" ca="1">IFERROR(VALUE(_xlfn.REGEXEXTRACT([1]Planilha1!$E286,"(\d+)\s*MESES",2)),IFERROR(VALUE(_xlfn.REGEXEXTRACT([1]Planilha1!$E286,"por\s*(\d+)\s*M",2)),IF(_xlfn.REGEXTEST([1]Planilha1!$E286,"1[ºª]"),1,"")))</f>
        <v>6</v>
      </c>
      <c r="O286" s="6">
        <f t="shared" ca="1" si="19"/>
        <v>0.23316666666666669</v>
      </c>
      <c r="P286" t="str">
        <f ca="1">IF([1]Planilha1!$J286="","",TRIM([1]Planilha1!$J286))</f>
        <v>GLOBOPLAY</v>
      </c>
      <c r="Q286" s="7" t="str">
        <f>IF($D286="Claro","",IFERROR($L286-VLOOKUP($B286&amp;"|Claro",[1]AUX_CLARO!$A:$C,2,FALSE),""))</f>
        <v/>
      </c>
      <c r="R286" s="8" t="str">
        <f>IF($D286="Claro","",IFERROR($J286-VLOOKUP($B286&amp;"|Claro",[1]AUX_CLARO!$A:$C,3,FALSE),""))</f>
        <v/>
      </c>
      <c r="S286" t="str">
        <f t="shared" si="20"/>
        <v/>
      </c>
      <c r="T286" t="str">
        <f t="shared" si="21"/>
        <v/>
      </c>
      <c r="U286" s="9">
        <f t="shared" si="22"/>
        <v>46174</v>
      </c>
      <c r="V286" t="str">
        <f ca="1">IF(OR([1]Planilha1!$B286="",[1]Planilha1!$B286="NÃO MAPEADO"),"",TRIM([1]Planilha1!$B286))</f>
        <v>SUDESTE</v>
      </c>
      <c r="W286" t="str">
        <f ca="1">IF([1]Planilha1!$C286="","",TRIM([1]Planilha1!$C286))</f>
        <v>MD 2</v>
      </c>
      <c r="X286" s="12" t="str">
        <f ca="1">IFERROR(VLOOKUP($C286,[1]Planilha2!$B:$H,7,FALSE),"")</f>
        <v>12600-001</v>
      </c>
    </row>
    <row r="287" spans="1:24" x14ac:dyDescent="0.35">
      <c r="A287" t="str">
        <f ca="1">IF(LEFT(TEXT([1]Planilha1!$L287,"0000000"),1)="5","MS","SP")</f>
        <v>SP</v>
      </c>
      <c r="B287" t="str">
        <f ca="1">IF(RIGHT([1]Planilha1!$A287,5)=" - MS",LEFT([1]Planilha1!$A287,LEN([1]Planilha1!$A287)-5),TRIM([1]Planilha1!$A287))</f>
        <v>LORENA</v>
      </c>
      <c r="C287" s="2">
        <f ca="1">[1]Planilha1!$L287</f>
        <v>3527207</v>
      </c>
      <c r="D287" t="str">
        <f>TRIM([1]Planilha1!$D287)</f>
        <v>Vivo</v>
      </c>
      <c r="E287" t="str">
        <f>IF(TRIM([1]Planilha1!$D287)="Claro","Claro","Concorrente")</f>
        <v>Concorrente</v>
      </c>
      <c r="F287" t="s">
        <v>25</v>
      </c>
      <c r="G287" t="str">
        <f t="shared" ca="1" si="18"/>
        <v>Banda Larga + Movel</v>
      </c>
      <c r="H287" t="s">
        <v>26</v>
      </c>
      <c r="I287" t="str">
        <f ca="1">IF([1]Planilha1!$F287="","",TRIM([1]Planilha1!$F287))</f>
        <v>Fibra</v>
      </c>
      <c r="J287" s="11" t="s">
        <v>27</v>
      </c>
      <c r="K287" s="4" cm="1">
        <f t="array" aca="1" ref="K287" ca="1">IFERROR(VALUE(_xlfn.REGEXEXTRACT([1]Planilha1!$E287,"\+\s*(\d+)GB",2)),"")</f>
        <v>70</v>
      </c>
      <c r="L287" s="5">
        <v>160</v>
      </c>
      <c r="M287" s="5" t="str">
        <f ca="1">IF([1]Planilha1!$I287="","",[1]Planilha1!$I287)</f>
        <v/>
      </c>
      <c r="N287" s="2" t="str" cm="1">
        <f t="array" aca="1" ref="N287" ca="1">IFERROR(VALUE(_xlfn.REGEXEXTRACT([1]Planilha1!$E287,"(\d+)\s*MESES",2)),IFERROR(VALUE(_xlfn.REGEXEXTRACT([1]Planilha1!$E287,"por\s*(\d+)\s*M",2)),IF(_xlfn.REGEXTEST([1]Planilha1!$E287,"1[ºª]"),1,"")))</f>
        <v/>
      </c>
      <c r="O287" s="6" t="str">
        <f t="shared" si="19"/>
        <v/>
      </c>
      <c r="P287" t="str">
        <f ca="1">IF([1]Planilha1!$J287="","",TRIM([1]Planilha1!$J287))</f>
        <v>0</v>
      </c>
      <c r="Q287" s="7">
        <f ca="1">IF($D287="Claro","",IFERROR($L287-VLOOKUP($B287&amp;"|Claro",[1]AUX_CLARO!$A:$C,2,FALSE),""))</f>
        <v>20.099999999999994</v>
      </c>
      <c r="R287" s="8" t="str">
        <f ca="1">IF($D287="Claro","",IFERROR($J287-VLOOKUP($B287&amp;"|Claro",[1]AUX_CLARO!$A:$C,3,FALSE),""))</f>
        <v/>
      </c>
      <c r="S287" t="str">
        <f t="shared" ca="1" si="20"/>
        <v>Claro mais barata</v>
      </c>
      <c r="T287" t="str">
        <f t="shared" ca="1" si="21"/>
        <v/>
      </c>
      <c r="U287" s="9">
        <f t="shared" si="22"/>
        <v>46174</v>
      </c>
      <c r="V287" t="str">
        <f ca="1">IF(OR([1]Planilha1!$B287="",[1]Planilha1!$B287="NÃO MAPEADO"),"",TRIM([1]Planilha1!$B287))</f>
        <v>SUDESTE</v>
      </c>
      <c r="W287" t="str">
        <f ca="1">IF([1]Planilha1!$C287="","",TRIM([1]Planilha1!$C287))</f>
        <v>MD 2</v>
      </c>
      <c r="X287" s="12" t="str">
        <f ca="1">IFERROR(VLOOKUP($C287,[1]Planilha2!$B:$H,7,FALSE),"")</f>
        <v>12600-001</v>
      </c>
    </row>
    <row r="288" spans="1:24" x14ac:dyDescent="0.35">
      <c r="A288" t="str">
        <f ca="1">IF(LEFT(TEXT([1]Planilha1!$L288,"0000000"),1)="5","MS","SP")</f>
        <v>SP</v>
      </c>
      <c r="B288" t="str">
        <f ca="1">IF(RIGHT([1]Planilha1!$A288,5)=" - MS",LEFT([1]Planilha1!$A288,LEN([1]Planilha1!$A288)-5),TRIM([1]Planilha1!$A288))</f>
        <v>LORENA</v>
      </c>
      <c r="C288" s="2">
        <f ca="1">[1]Planilha1!$L288</f>
        <v>3527207</v>
      </c>
      <c r="D288" t="str">
        <f>TRIM([1]Planilha1!$D288)</f>
        <v>Vero</v>
      </c>
      <c r="E288" t="str">
        <f>IF(TRIM([1]Planilha1!$D288)="Claro","Claro","Concorrente")</f>
        <v>Concorrente</v>
      </c>
      <c r="F288" t="s">
        <v>30</v>
      </c>
      <c r="G288" t="str">
        <f t="shared" ca="1" si="18"/>
        <v>Banda Larga + Movel</v>
      </c>
      <c r="H288" t="str">
        <f ca="1">TRIM([1]Planilha1!$E288)</f>
        <v>850M+60GB=R$149,99 (C/ GLOBOPLAY, HBO, DISNEY+)</v>
      </c>
      <c r="I288" t="str">
        <f ca="1">IF([1]Planilha1!$F288="","",TRIM([1]Planilha1!$F288))</f>
        <v>Fibra</v>
      </c>
      <c r="J288" s="3">
        <f ca="1">IF([1]Planilha1!$G288="","",[1]Planilha1!$G288)</f>
        <v>850</v>
      </c>
      <c r="K288" s="4" cm="1">
        <f t="array" aca="1" ref="K288" ca="1">IFERROR(VALUE(_xlfn.REGEXEXTRACT([1]Planilha1!$E288,"\+\s*(\d+)GB",2)),"")</f>
        <v>60</v>
      </c>
      <c r="L288" s="5">
        <f ca="1">IF([1]Planilha1!$H288="","",[1]Planilha1!$H288)</f>
        <v>149.99</v>
      </c>
      <c r="M288" s="5" t="str">
        <f ca="1">IF([1]Planilha1!$I288="","",[1]Planilha1!$I288)</f>
        <v/>
      </c>
      <c r="N288" s="2" t="str" cm="1">
        <f t="array" aca="1" ref="N288" ca="1">IFERROR(VALUE(_xlfn.REGEXEXTRACT([1]Planilha1!$E288,"(\d+)\s*MESES",2)),IFERROR(VALUE(_xlfn.REGEXEXTRACT([1]Planilha1!$E288,"por\s*(\d+)\s*M",2)),IF(_xlfn.REGEXTEST([1]Planilha1!$E288,"1[ºª]"),1,"")))</f>
        <v/>
      </c>
      <c r="O288" s="6">
        <f t="shared" ca="1" si="19"/>
        <v>0.17645882352941178</v>
      </c>
      <c r="P288" t="str">
        <f ca="1">IF([1]Planilha1!$J288="","",TRIM([1]Planilha1!$J288))</f>
        <v>GLOBOPLAY, HBO, DISNEY+</v>
      </c>
      <c r="Q288" s="7">
        <f ca="1">IF($D288="Claro","",IFERROR($L288-VLOOKUP($B288&amp;"|Claro",[1]AUX_CLARO!$A:$C,2,FALSE),""))</f>
        <v>10.090000000000003</v>
      </c>
      <c r="R288" s="8">
        <f ca="1">IF($D288="Claro","",IFERROR($J288-VLOOKUP($B288&amp;"|Claro",[1]AUX_CLARO!$A:$C,3,FALSE),""))</f>
        <v>250</v>
      </c>
      <c r="S288" t="str">
        <f t="shared" ca="1" si="20"/>
        <v>Claro mais barata</v>
      </c>
      <c r="T288" t="str">
        <f t="shared" ca="1" si="21"/>
        <v>Claro com menor velocidade</v>
      </c>
      <c r="U288" s="9">
        <f t="shared" si="22"/>
        <v>46174</v>
      </c>
      <c r="V288" t="str">
        <f ca="1">IF(OR([1]Planilha1!$B288="",[1]Planilha1!$B288="NÃO MAPEADO"),"",TRIM([1]Planilha1!$B288))</f>
        <v>SUDESTE</v>
      </c>
      <c r="W288" t="str">
        <f ca="1">IF([1]Planilha1!$C288="","",TRIM([1]Planilha1!$C288))</f>
        <v>MD 2</v>
      </c>
      <c r="X288" s="12" t="str">
        <f ca="1">IFERROR(VLOOKUP($C288,[1]Planilha2!$B:$H,7,FALSE),"")</f>
        <v>12600-001</v>
      </c>
    </row>
    <row r="289" spans="1:24" x14ac:dyDescent="0.35">
      <c r="A289" t="str">
        <f ca="1">IF(LEFT(TEXT([1]Planilha1!$L289,"0000000"),1)="5","MS","SP")</f>
        <v>SP</v>
      </c>
      <c r="B289" t="str">
        <f ca="1">IF(RIGHT([1]Planilha1!$A289,5)=" - MS",LEFT([1]Planilha1!$A289,LEN([1]Planilha1!$A289)-5),TRIM([1]Planilha1!$A289))</f>
        <v>LORENA</v>
      </c>
      <c r="C289" s="2">
        <f ca="1">[1]Planilha1!$L289</f>
        <v>3527207</v>
      </c>
      <c r="D289" t="str">
        <f>TRIM([1]Planilha1!$D289)</f>
        <v>ISP LOCAL</v>
      </c>
      <c r="E289" t="str">
        <f>IF(TRIM([1]Planilha1!$D289)="Claro","Claro","Concorrente")</f>
        <v>Concorrente</v>
      </c>
      <c r="F289" t="s">
        <v>72</v>
      </c>
      <c r="G289" t="str">
        <f t="shared" ca="1" si="18"/>
        <v>Banda Larga + Conteudo</v>
      </c>
      <c r="H289" t="str">
        <f ca="1">TRIM([1]Planilha1!$E289)</f>
        <v>VELLOZNET - 600M R$99,90</v>
      </c>
      <c r="I289" t="str">
        <f ca="1">IF([1]Planilha1!$F289="","",TRIM([1]Planilha1!$F289))</f>
        <v>Fibra</v>
      </c>
      <c r="J289" s="3">
        <f ca="1">IF([1]Planilha1!$G289="","",[1]Planilha1!$G289)</f>
        <v>600</v>
      </c>
      <c r="K289" s="4" t="str" cm="1">
        <f t="array" aca="1" ref="K289" ca="1">IFERROR(VALUE(_xlfn.REGEXEXTRACT([1]Planilha1!$E289,"\+\s*(\d+)GB",2)),"")</f>
        <v/>
      </c>
      <c r="L289" s="5">
        <f ca="1">IF([1]Planilha1!$H289="","",[1]Planilha1!$H289)</f>
        <v>99.9</v>
      </c>
      <c r="M289" s="5" t="str">
        <f ca="1">IF([1]Planilha1!$I289="","",[1]Planilha1!$I289)</f>
        <v/>
      </c>
      <c r="N289" s="2" t="str" cm="1">
        <f t="array" aca="1" ref="N289" ca="1">IFERROR(VALUE(_xlfn.REGEXEXTRACT([1]Planilha1!$E289,"(\d+)\s*MESES",2)),IFERROR(VALUE(_xlfn.REGEXEXTRACT([1]Planilha1!$E289,"por\s*(\d+)\s*M",2)),IF(_xlfn.REGEXTEST([1]Planilha1!$E289,"1[ºª]"),1,"")))</f>
        <v/>
      </c>
      <c r="O289" s="6">
        <f t="shared" ca="1" si="19"/>
        <v>0.16650000000000001</v>
      </c>
      <c r="P289" t="str">
        <f ca="1">IF([1]Planilha1!$J289="","",TRIM([1]Planilha1!$J289))</f>
        <v>0</v>
      </c>
      <c r="Q289" s="7">
        <f ca="1">IF($D289="Claro","",IFERROR($L289-VLOOKUP($B289&amp;"|Claro",[1]AUX_CLARO!$A:$C,2,FALSE),""))</f>
        <v>-40</v>
      </c>
      <c r="R289" s="8">
        <f ca="1">IF($D289="Claro","",IFERROR($J289-VLOOKUP($B289&amp;"|Claro",[1]AUX_CLARO!$A:$C,3,FALSE),""))</f>
        <v>0</v>
      </c>
      <c r="S289" t="str">
        <f t="shared" ca="1" si="20"/>
        <v>Claro mais cara</v>
      </c>
      <c r="T289" t="str">
        <f t="shared" ca="1" si="21"/>
        <v>Mesma velocidade</v>
      </c>
      <c r="U289" s="9">
        <f t="shared" si="22"/>
        <v>46174</v>
      </c>
      <c r="V289" t="str">
        <f ca="1">IF(OR([1]Planilha1!$B289="",[1]Planilha1!$B289="NÃO MAPEADO"),"",TRIM([1]Planilha1!$B289))</f>
        <v>SUDESTE</v>
      </c>
      <c r="W289" t="str">
        <f ca="1">IF([1]Planilha1!$C289="","",TRIM([1]Planilha1!$C289))</f>
        <v>MD 2</v>
      </c>
      <c r="X289" s="12" t="str">
        <f ca="1">IFERROR(VLOOKUP($C289,[1]Planilha2!$B:$H,7,FALSE),"")</f>
        <v>12600-001</v>
      </c>
    </row>
    <row r="290" spans="1:24" x14ac:dyDescent="0.35">
      <c r="A290" t="str">
        <f ca="1">IF(LEFT(TEXT([1]Planilha1!$L290,"0000000"),1)="5","MS","SP")</f>
        <v>SP</v>
      </c>
      <c r="B290" t="str">
        <f ca="1">IF(RIGHT([1]Planilha1!$A290,5)=" - MS",LEFT([1]Planilha1!$A290,LEN([1]Planilha1!$A290)-5),TRIM([1]Planilha1!$A290))</f>
        <v>LOUVEIRA</v>
      </c>
      <c r="C290" s="2">
        <f ca="1">[1]Planilha1!$L290</f>
        <v>3527306</v>
      </c>
      <c r="D290" t="str">
        <f>TRIM([1]Planilha1!$D290)</f>
        <v>Claro</v>
      </c>
      <c r="E290" t="str">
        <f>IF(TRIM([1]Planilha1!$D290)="Claro","Claro","Concorrente")</f>
        <v>Claro</v>
      </c>
      <c r="F290" t="s">
        <v>24</v>
      </c>
      <c r="G290" t="str">
        <f t="shared" ca="1" si="18"/>
        <v>Banda Larga + Movel</v>
      </c>
      <c r="H290" t="str">
        <f ca="1">TRIM([1]Planilha1!$E290)</f>
        <v>600M+100GB=R$119,90 por 6M, após R$139,90</v>
      </c>
      <c r="I290" t="str">
        <f ca="1">IF([1]Planilha1!$F290="","",TRIM([1]Planilha1!$F290))</f>
        <v>Fibra</v>
      </c>
      <c r="J290" s="3">
        <f ca="1">IF([1]Planilha1!$G290="","",[1]Planilha1!$G290)</f>
        <v>600</v>
      </c>
      <c r="K290" s="4" cm="1">
        <f t="array" aca="1" ref="K290" ca="1">IFERROR(VALUE(_xlfn.REGEXEXTRACT([1]Planilha1!$E290,"\+\s*(\d+)GB",2)),"")</f>
        <v>100</v>
      </c>
      <c r="L290" s="5">
        <f ca="1">IF([1]Planilha1!$H290="","",[1]Planilha1!$H290)</f>
        <v>139.9</v>
      </c>
      <c r="M290" s="5">
        <f ca="1">IF([1]Planilha1!$I290="","",[1]Planilha1!$I290)</f>
        <v>119.9</v>
      </c>
      <c r="N290" s="2" cm="1">
        <f t="array" aca="1" ref="N290" ca="1">IFERROR(VALUE(_xlfn.REGEXEXTRACT([1]Planilha1!$E290,"(\d+)\s*MESES",2)),IFERROR(VALUE(_xlfn.REGEXEXTRACT([1]Planilha1!$E290,"por\s*(\d+)\s*M",2)),IF(_xlfn.REGEXTEST([1]Planilha1!$E290,"1[ºª]"),1,"")))</f>
        <v>6</v>
      </c>
      <c r="O290" s="6">
        <f t="shared" ca="1" si="19"/>
        <v>0.23316666666666669</v>
      </c>
      <c r="P290" t="str">
        <f ca="1">IF([1]Planilha1!$J290="","",TRIM([1]Planilha1!$J290))</f>
        <v>GLOBOPLAY</v>
      </c>
      <c r="Q290" s="7" t="str">
        <f>IF($D290="Claro","",IFERROR($L290-VLOOKUP($B290&amp;"|Claro",[1]AUX_CLARO!$A:$C,2,FALSE),""))</f>
        <v/>
      </c>
      <c r="R290" s="8" t="str">
        <f>IF($D290="Claro","",IFERROR($J290-VLOOKUP($B290&amp;"|Claro",[1]AUX_CLARO!$A:$C,3,FALSE),""))</f>
        <v/>
      </c>
      <c r="S290" t="str">
        <f t="shared" si="20"/>
        <v/>
      </c>
      <c r="T290" t="str">
        <f t="shared" si="21"/>
        <v/>
      </c>
      <c r="U290" s="9">
        <f t="shared" si="22"/>
        <v>46174</v>
      </c>
      <c r="V290" t="str">
        <f ca="1">IF(OR([1]Planilha1!$B290="",[1]Planilha1!$B290="NÃO MAPEADO"),"",TRIM([1]Planilha1!$B290))</f>
        <v>SUDESTE</v>
      </c>
      <c r="W290" t="str">
        <f ca="1">IF([1]Planilha1!$C290="","",TRIM([1]Planilha1!$C290))</f>
        <v>MD 1</v>
      </c>
      <c r="X290" s="12" t="str">
        <f ca="1">IFERROR(VLOOKUP($C290,[1]Planilha2!$B:$H,7,FALSE),"")</f>
        <v>13290-001</v>
      </c>
    </row>
    <row r="291" spans="1:24" x14ac:dyDescent="0.35">
      <c r="A291" t="str">
        <f ca="1">IF(LEFT(TEXT([1]Planilha1!$L291,"0000000"),1)="5","MS","SP")</f>
        <v>SP</v>
      </c>
      <c r="B291" t="str">
        <f ca="1">IF(RIGHT([1]Planilha1!$A291,5)=" - MS",LEFT([1]Planilha1!$A291,LEN([1]Planilha1!$A291)-5),TRIM([1]Planilha1!$A291))</f>
        <v>LOUVEIRA</v>
      </c>
      <c r="C291" s="2">
        <f ca="1">[1]Planilha1!$L291</f>
        <v>3527306</v>
      </c>
      <c r="D291" t="str">
        <f>TRIM([1]Planilha1!$D291)</f>
        <v>Vivo</v>
      </c>
      <c r="E291" t="str">
        <f>IF(TRIM([1]Planilha1!$D291)="Claro","Claro","Concorrente")</f>
        <v>Concorrente</v>
      </c>
      <c r="F291" t="s">
        <v>25</v>
      </c>
      <c r="G291" t="str">
        <f t="shared" ca="1" si="18"/>
        <v>Banda Larga + Movel</v>
      </c>
      <c r="H291" t="s">
        <v>26</v>
      </c>
      <c r="I291" t="str">
        <f ca="1">IF([1]Planilha1!$F291="","",TRIM([1]Planilha1!$F291))</f>
        <v>Fibra</v>
      </c>
      <c r="J291" s="11" t="s">
        <v>27</v>
      </c>
      <c r="K291" s="4" cm="1">
        <f t="array" aca="1" ref="K291" ca="1">IFERROR(VALUE(_xlfn.REGEXEXTRACT([1]Planilha1!$E291,"\+\s*(\d+)GB",2)),"")</f>
        <v>70</v>
      </c>
      <c r="L291" s="5">
        <v>160</v>
      </c>
      <c r="M291" s="5" t="str">
        <f ca="1">IF([1]Planilha1!$I291="","",[1]Planilha1!$I291)</f>
        <v/>
      </c>
      <c r="N291" s="2" t="str" cm="1">
        <f t="array" aca="1" ref="N291" ca="1">IFERROR(VALUE(_xlfn.REGEXEXTRACT([1]Planilha1!$E291,"(\d+)\s*MESES",2)),IFERROR(VALUE(_xlfn.REGEXEXTRACT([1]Planilha1!$E291,"por\s*(\d+)\s*M",2)),IF(_xlfn.REGEXTEST([1]Planilha1!$E291,"1[ºª]"),1,"")))</f>
        <v/>
      </c>
      <c r="O291" s="6" t="str">
        <f t="shared" si="19"/>
        <v/>
      </c>
      <c r="P291" t="str">
        <f ca="1">IF([1]Planilha1!$J291="","",TRIM([1]Planilha1!$J291))</f>
        <v>0</v>
      </c>
      <c r="Q291" s="7">
        <f ca="1">IF($D291="Claro","",IFERROR($L291-VLOOKUP($B291&amp;"|Claro",[1]AUX_CLARO!$A:$C,2,FALSE),""))</f>
        <v>20.099999999999994</v>
      </c>
      <c r="R291" s="8" t="str">
        <f ca="1">IF($D291="Claro","",IFERROR($J291-VLOOKUP($B291&amp;"|Claro",[1]AUX_CLARO!$A:$C,3,FALSE),""))</f>
        <v/>
      </c>
      <c r="S291" t="str">
        <f t="shared" ca="1" si="20"/>
        <v>Claro mais barata</v>
      </c>
      <c r="T291" t="str">
        <f t="shared" ca="1" si="21"/>
        <v/>
      </c>
      <c r="U291" s="9">
        <f t="shared" si="22"/>
        <v>46174</v>
      </c>
      <c r="V291" t="str">
        <f ca="1">IF(OR([1]Planilha1!$B291="",[1]Planilha1!$B291="NÃO MAPEADO"),"",TRIM([1]Planilha1!$B291))</f>
        <v>SUDESTE</v>
      </c>
      <c r="W291" t="str">
        <f ca="1">IF([1]Planilha1!$C291="","",TRIM([1]Planilha1!$C291))</f>
        <v>MD 1</v>
      </c>
      <c r="X291" s="12" t="str">
        <f ca="1">IFERROR(VLOOKUP($C291,[1]Planilha2!$B:$H,7,FALSE),"")</f>
        <v>13290-001</v>
      </c>
    </row>
    <row r="292" spans="1:24" x14ac:dyDescent="0.35">
      <c r="A292" t="str">
        <f ca="1">IF(LEFT(TEXT([1]Planilha1!$L292,"0000000"),1)="5","MS","SP")</f>
        <v>SP</v>
      </c>
      <c r="B292" t="str">
        <f ca="1">IF(RIGHT([1]Planilha1!$A292,5)=" - MS",LEFT([1]Planilha1!$A292,LEN([1]Planilha1!$A292)-5),TRIM([1]Planilha1!$A292))</f>
        <v>LOUVEIRA</v>
      </c>
      <c r="C292" s="2">
        <f ca="1">[1]Planilha1!$L292</f>
        <v>3527306</v>
      </c>
      <c r="D292" t="str">
        <f>TRIM([1]Planilha1!$D292)</f>
        <v>Desktop</v>
      </c>
      <c r="E292" t="str">
        <f>IF(TRIM([1]Planilha1!$D292)="Claro","Claro","Concorrente")</f>
        <v>Concorrente</v>
      </c>
      <c r="F292" t="s">
        <v>29</v>
      </c>
      <c r="G292" t="str">
        <f t="shared" ca="1" si="18"/>
        <v>Banda Larga + Movel</v>
      </c>
      <c r="H292" t="str">
        <f ca="1">TRIM([1]Planilha1!$E292)</f>
        <v>600M+15GB=R$129,99 - 6 MESES, APÓS R$139,99</v>
      </c>
      <c r="I292" t="str">
        <f ca="1">IF([1]Planilha1!$F292="","",TRIM([1]Planilha1!$F292))</f>
        <v>Fibra</v>
      </c>
      <c r="J292" s="3">
        <f ca="1">IF([1]Planilha1!$G292="","",[1]Planilha1!$G292)</f>
        <v>600</v>
      </c>
      <c r="K292" s="4" cm="1">
        <f t="array" aca="1" ref="K292" ca="1">IFERROR(VALUE(_xlfn.REGEXEXTRACT([1]Planilha1!$E292,"\+\s*(\d+)GB",2)),"")</f>
        <v>15</v>
      </c>
      <c r="L292" s="5">
        <f ca="1">IF([1]Planilha1!$H292="","",[1]Planilha1!$H292)</f>
        <v>139.99</v>
      </c>
      <c r="M292" s="5">
        <f ca="1">IF([1]Planilha1!$I292="","",[1]Planilha1!$I292)</f>
        <v>129.99</v>
      </c>
      <c r="N292" s="2" cm="1">
        <f t="array" aca="1" ref="N292" ca="1">IFERROR(VALUE(_xlfn.REGEXEXTRACT([1]Planilha1!$E292,"(\d+)\s*MESES",2)),IFERROR(VALUE(_xlfn.REGEXEXTRACT([1]Planilha1!$E292,"por\s*(\d+)\s*M",2)),IF(_xlfn.REGEXTEST([1]Planilha1!$E292,"1[ºª]"),1,"")))</f>
        <v>6</v>
      </c>
      <c r="O292" s="6">
        <f t="shared" ca="1" si="19"/>
        <v>0.23331666666666667</v>
      </c>
      <c r="P292" t="str">
        <f ca="1">IF([1]Planilha1!$J292="","",TRIM([1]Planilha1!$J292))</f>
        <v>0</v>
      </c>
      <c r="Q292" s="7">
        <f ca="1">IF($D292="Claro","",IFERROR($L292-VLOOKUP($B292&amp;"|Claro",[1]AUX_CLARO!$A:$C,2,FALSE),""))</f>
        <v>9.0000000000003411E-2</v>
      </c>
      <c r="R292" s="8">
        <f ca="1">IF($D292="Claro","",IFERROR($J292-VLOOKUP($B292&amp;"|Claro",[1]AUX_CLARO!$A:$C,3,FALSE),""))</f>
        <v>0</v>
      </c>
      <c r="S292" t="str">
        <f t="shared" ca="1" si="20"/>
        <v>Claro mais barata</v>
      </c>
      <c r="T292" t="str">
        <f t="shared" ca="1" si="21"/>
        <v>Mesma velocidade</v>
      </c>
      <c r="U292" s="9">
        <f t="shared" si="22"/>
        <v>46174</v>
      </c>
      <c r="V292" t="str">
        <f ca="1">IF(OR([1]Planilha1!$B292="",[1]Planilha1!$B292="NÃO MAPEADO"),"",TRIM([1]Planilha1!$B292))</f>
        <v>SUDESTE</v>
      </c>
      <c r="W292" t="str">
        <f ca="1">IF([1]Planilha1!$C292="","",TRIM([1]Planilha1!$C292))</f>
        <v>MD 1</v>
      </c>
      <c r="X292" s="12" t="str">
        <f ca="1">IFERROR(VLOOKUP($C292,[1]Planilha2!$B:$H,7,FALSE),"")</f>
        <v>13290-001</v>
      </c>
    </row>
    <row r="293" spans="1:24" x14ac:dyDescent="0.35">
      <c r="A293" t="str">
        <f ca="1">IF(LEFT(TEXT([1]Planilha1!$L293,"0000000"),1)="5","MS","SP")</f>
        <v>SP</v>
      </c>
      <c r="B293" t="str">
        <f ca="1">IF(RIGHT([1]Planilha1!$A293,5)=" - MS",LEFT([1]Planilha1!$A293,LEN([1]Planilha1!$A293)-5),TRIM([1]Planilha1!$A293))</f>
        <v>LOUVEIRA</v>
      </c>
      <c r="C293" s="2">
        <f ca="1">[1]Planilha1!$L293</f>
        <v>3527306</v>
      </c>
      <c r="D293" t="str">
        <f>TRIM([1]Planilha1!$D293)</f>
        <v>Alares</v>
      </c>
      <c r="E293" t="str">
        <f>IF(TRIM([1]Planilha1!$D293)="Claro","Claro","Concorrente")</f>
        <v>Concorrente</v>
      </c>
      <c r="F293" t="s">
        <v>32</v>
      </c>
      <c r="G293" t="str">
        <f t="shared" ca="1" si="18"/>
        <v>Banda Larga + Conteudo</v>
      </c>
      <c r="H293" t="str">
        <f ca="1">TRIM([1]Planilha1!$E293)</f>
        <v>1GB + GLOBOPLAY R$99,90</v>
      </c>
      <c r="I293" t="str">
        <f ca="1">IF([1]Planilha1!$F293="","",TRIM([1]Planilha1!$F293))</f>
        <v>Fibra</v>
      </c>
      <c r="J293" s="3">
        <f ca="1">IF([1]Planilha1!$G293="","",[1]Planilha1!$G293)</f>
        <v>1000</v>
      </c>
      <c r="K293" s="4" t="str" cm="1">
        <f t="array" aca="1" ref="K293" ca="1">IFERROR(VALUE(_xlfn.REGEXEXTRACT([1]Planilha1!$E293,"\+\s*(\d+)GB",2)),"")</f>
        <v/>
      </c>
      <c r="L293" s="5">
        <f ca="1">IF([1]Planilha1!$H293="","",[1]Planilha1!$H293)</f>
        <v>99.9</v>
      </c>
      <c r="M293" s="5" t="str">
        <f ca="1">IF([1]Planilha1!$I293="","",[1]Planilha1!$I293)</f>
        <v/>
      </c>
      <c r="N293" s="2" t="str" cm="1">
        <f t="array" aca="1" ref="N293" ca="1">IFERROR(VALUE(_xlfn.REGEXEXTRACT([1]Planilha1!$E293,"(\d+)\s*MESES",2)),IFERROR(VALUE(_xlfn.REGEXEXTRACT([1]Planilha1!$E293,"por\s*(\d+)\s*M",2)),IF(_xlfn.REGEXTEST([1]Planilha1!$E293,"1[ºª]"),1,"")))</f>
        <v/>
      </c>
      <c r="O293" s="6">
        <f t="shared" ca="1" si="19"/>
        <v>9.9900000000000003E-2</v>
      </c>
      <c r="P293" t="str">
        <f ca="1">IF([1]Planilha1!$J293="","",TRIM([1]Planilha1!$J293))</f>
        <v>GLOBOPLAY</v>
      </c>
      <c r="Q293" s="7">
        <f ca="1">IF($D293="Claro","",IFERROR($L293-VLOOKUP($B293&amp;"|Claro",[1]AUX_CLARO!$A:$C,2,FALSE),""))</f>
        <v>-40</v>
      </c>
      <c r="R293" s="8">
        <f ca="1">IF($D293="Claro","",IFERROR($J293-VLOOKUP($B293&amp;"|Claro",[1]AUX_CLARO!$A:$C,3,FALSE),""))</f>
        <v>400</v>
      </c>
      <c r="S293" t="str">
        <f t="shared" ca="1" si="20"/>
        <v>Claro mais cara</v>
      </c>
      <c r="T293" t="str">
        <f t="shared" ca="1" si="21"/>
        <v>Claro com menor velocidade</v>
      </c>
      <c r="U293" s="9">
        <f t="shared" si="22"/>
        <v>46174</v>
      </c>
      <c r="V293" t="str">
        <f ca="1">IF(OR([1]Planilha1!$B293="",[1]Planilha1!$B293="NÃO MAPEADO"),"",TRIM([1]Planilha1!$B293))</f>
        <v>SUDESTE</v>
      </c>
      <c r="W293" t="str">
        <f ca="1">IF([1]Planilha1!$C293="","",TRIM([1]Planilha1!$C293))</f>
        <v>MD 1</v>
      </c>
      <c r="X293" s="12" t="str">
        <f ca="1">IFERROR(VLOOKUP($C293,[1]Planilha2!$B:$H,7,FALSE),"")</f>
        <v>13290-001</v>
      </c>
    </row>
    <row r="294" spans="1:24" x14ac:dyDescent="0.35">
      <c r="A294" t="str">
        <f ca="1">IF(LEFT(TEXT([1]Planilha1!$L294,"0000000"),1)="5","MS","SP")</f>
        <v>SP</v>
      </c>
      <c r="B294" t="str">
        <f ca="1">IF(RIGHT([1]Planilha1!$A294,5)=" - MS",LEFT([1]Planilha1!$A294,LEN([1]Planilha1!$A294)-5),TRIM([1]Planilha1!$A294))</f>
        <v>LOUVEIRA</v>
      </c>
      <c r="C294" s="2">
        <f ca="1">[1]Planilha1!$L294</f>
        <v>3527306</v>
      </c>
      <c r="D294" t="str">
        <f>TRIM([1]Planilha1!$D294)</f>
        <v>ISP LOCAL</v>
      </c>
      <c r="E294" t="str">
        <f>IF(TRIM([1]Planilha1!$D294)="Claro","Claro","Concorrente")</f>
        <v>Concorrente</v>
      </c>
      <c r="F294" t="s">
        <v>73</v>
      </c>
      <c r="G294" t="str">
        <f t="shared" ca="1" si="18"/>
        <v>Banda Larga + Conteudo</v>
      </c>
      <c r="H294" t="str">
        <f ca="1">TRIM([1]Planilha1!$E294)</f>
        <v>EXON - 600M R$99,90</v>
      </c>
      <c r="I294" t="str">
        <f ca="1">IF([1]Planilha1!$F294="","",TRIM([1]Planilha1!$F294))</f>
        <v>Fibra</v>
      </c>
      <c r="J294" s="3">
        <f ca="1">IF([1]Planilha1!$G294="","",[1]Planilha1!$G294)</f>
        <v>600</v>
      </c>
      <c r="K294" s="4" t="str" cm="1">
        <f t="array" aca="1" ref="K294" ca="1">IFERROR(VALUE(_xlfn.REGEXEXTRACT([1]Planilha1!$E294,"\+\s*(\d+)GB",2)),"")</f>
        <v/>
      </c>
      <c r="L294" s="5">
        <f ca="1">IF([1]Planilha1!$H294="","",[1]Planilha1!$H294)</f>
        <v>99.9</v>
      </c>
      <c r="M294" s="5" t="str">
        <f ca="1">IF([1]Planilha1!$I294="","",[1]Planilha1!$I294)</f>
        <v/>
      </c>
      <c r="N294" s="2" t="str" cm="1">
        <f t="array" aca="1" ref="N294" ca="1">IFERROR(VALUE(_xlfn.REGEXEXTRACT([1]Planilha1!$E294,"(\d+)\s*MESES",2)),IFERROR(VALUE(_xlfn.REGEXEXTRACT([1]Planilha1!$E294,"por\s*(\d+)\s*M",2)),IF(_xlfn.REGEXTEST([1]Planilha1!$E294,"1[ºª]"),1,"")))</f>
        <v/>
      </c>
      <c r="O294" s="6">
        <f t="shared" ca="1" si="19"/>
        <v>0.16650000000000001</v>
      </c>
      <c r="P294" t="str">
        <f ca="1">IF([1]Planilha1!$J294="","",TRIM([1]Planilha1!$J294))</f>
        <v>0</v>
      </c>
      <c r="Q294" s="7">
        <f ca="1">IF($D294="Claro","",IFERROR($L294-VLOOKUP($B294&amp;"|Claro",[1]AUX_CLARO!$A:$C,2,FALSE),""))</f>
        <v>-40</v>
      </c>
      <c r="R294" s="8">
        <f ca="1">IF($D294="Claro","",IFERROR($J294-VLOOKUP($B294&amp;"|Claro",[1]AUX_CLARO!$A:$C,3,FALSE),""))</f>
        <v>0</v>
      </c>
      <c r="S294" t="str">
        <f t="shared" ca="1" si="20"/>
        <v>Claro mais cara</v>
      </c>
      <c r="T294" t="str">
        <f t="shared" ca="1" si="21"/>
        <v>Mesma velocidade</v>
      </c>
      <c r="U294" s="9">
        <f t="shared" si="22"/>
        <v>46174</v>
      </c>
      <c r="V294" t="str">
        <f ca="1">IF(OR([1]Planilha1!$B294="",[1]Planilha1!$B294="NÃO MAPEADO"),"",TRIM([1]Planilha1!$B294))</f>
        <v>SUDESTE</v>
      </c>
      <c r="W294" t="str">
        <f ca="1">IF([1]Planilha1!$C294="","",TRIM([1]Planilha1!$C294))</f>
        <v>MD 1</v>
      </c>
      <c r="X294" s="12" t="str">
        <f ca="1">IFERROR(VLOOKUP($C294,[1]Planilha2!$B:$H,7,FALSE),"")</f>
        <v>13290-001</v>
      </c>
    </row>
    <row r="295" spans="1:24" x14ac:dyDescent="0.35">
      <c r="A295" t="str">
        <f ca="1">IF(LEFT(TEXT([1]Planilha1!$L295,"0000000"),1)="5","MS","SP")</f>
        <v>SP</v>
      </c>
      <c r="B295" t="str">
        <f ca="1">IF(RIGHT([1]Planilha1!$A295,5)=" - MS",LEFT([1]Planilha1!$A295,LEN([1]Planilha1!$A295)-5),TRIM([1]Planilha1!$A295))</f>
        <v>MARILIA</v>
      </c>
      <c r="C295" s="2">
        <f ca="1">[1]Planilha1!$L295</f>
        <v>3529005</v>
      </c>
      <c r="D295" t="str">
        <f>TRIM([1]Planilha1!$D295)</f>
        <v>Claro</v>
      </c>
      <c r="E295" t="str">
        <f>IF(TRIM([1]Planilha1!$D295)="Claro","Claro","Concorrente")</f>
        <v>Claro</v>
      </c>
      <c r="F295" t="s">
        <v>24</v>
      </c>
      <c r="G295" t="str">
        <f t="shared" ca="1" si="18"/>
        <v>Banda Larga + Movel</v>
      </c>
      <c r="H295" t="str">
        <f ca="1">TRIM([1]Planilha1!$E295)</f>
        <v>600M+100GB=R$109,90 por 6M, após R$139,90</v>
      </c>
      <c r="I295" t="str">
        <f ca="1">IF([1]Planilha1!$F295="","",TRIM([1]Planilha1!$F295))</f>
        <v>Fibra</v>
      </c>
      <c r="J295" s="3">
        <f ca="1">IF([1]Planilha1!$G295="","",[1]Planilha1!$G295)</f>
        <v>600</v>
      </c>
      <c r="K295" s="4" cm="1">
        <f t="array" aca="1" ref="K295" ca="1">IFERROR(VALUE(_xlfn.REGEXEXTRACT([1]Planilha1!$E295,"\+\s*(\d+)GB",2)),"")</f>
        <v>100</v>
      </c>
      <c r="L295" s="5">
        <f ca="1">IF([1]Planilha1!$H295="","",[1]Planilha1!$H295)</f>
        <v>139.9</v>
      </c>
      <c r="M295" s="5">
        <f ca="1">IF([1]Planilha1!$I295="","",[1]Planilha1!$I295)</f>
        <v>109.9</v>
      </c>
      <c r="N295" s="2" cm="1">
        <f t="array" aca="1" ref="N295" ca="1">IFERROR(VALUE(_xlfn.REGEXEXTRACT([1]Planilha1!$E295,"(\d+)\s*MESES",2)),IFERROR(VALUE(_xlfn.REGEXEXTRACT([1]Planilha1!$E295,"por\s*(\d+)\s*M",2)),IF(_xlfn.REGEXTEST([1]Planilha1!$E295,"1[ºª]"),1,"")))</f>
        <v>6</v>
      </c>
      <c r="O295" s="6">
        <f t="shared" ca="1" si="19"/>
        <v>0.23316666666666669</v>
      </c>
      <c r="P295" t="str">
        <f ca="1">IF([1]Planilha1!$J295="","",TRIM([1]Planilha1!$J295))</f>
        <v>GLOBOPLAY</v>
      </c>
      <c r="Q295" s="7" t="str">
        <f>IF($D295="Claro","",IFERROR($L295-VLOOKUP($B295&amp;"|Claro",[1]AUX_CLARO!$A:$C,2,FALSE),""))</f>
        <v/>
      </c>
      <c r="R295" s="8" t="str">
        <f>IF($D295="Claro","",IFERROR($J295-VLOOKUP($B295&amp;"|Claro",[1]AUX_CLARO!$A:$C,3,FALSE),""))</f>
        <v/>
      </c>
      <c r="S295" t="str">
        <f t="shared" si="20"/>
        <v/>
      </c>
      <c r="T295" t="str">
        <f t="shared" si="21"/>
        <v/>
      </c>
      <c r="U295" s="9">
        <f t="shared" si="22"/>
        <v>46174</v>
      </c>
      <c r="V295" t="str">
        <f ca="1">IF(OR([1]Planilha1!$B295="",[1]Planilha1!$B295="NÃO MAPEADO"),"",TRIM([1]Planilha1!$B295))</f>
        <v>NOROESTE</v>
      </c>
      <c r="W295" t="str">
        <f ca="1">IF([1]Planilha1!$C295="","",TRIM([1]Planilha1!$C295))</f>
        <v>MD 2</v>
      </c>
      <c r="X295" t="str">
        <f ca="1">IFERROR(VLOOKUP($C295,[1]Planilha2!$B:$H,7,FALSE),"")</f>
        <v>17500-001</v>
      </c>
    </row>
    <row r="296" spans="1:24" x14ac:dyDescent="0.35">
      <c r="A296" t="str">
        <f ca="1">IF(LEFT(TEXT([1]Planilha1!$L296,"0000000"),1)="5","MS","SP")</f>
        <v>SP</v>
      </c>
      <c r="B296" t="str">
        <f ca="1">IF(RIGHT([1]Planilha1!$A296,5)=" - MS",LEFT([1]Planilha1!$A296,LEN([1]Planilha1!$A296)-5),TRIM([1]Planilha1!$A296))</f>
        <v>MARILIA</v>
      </c>
      <c r="C296" s="2">
        <f ca="1">[1]Planilha1!$L296</f>
        <v>3529005</v>
      </c>
      <c r="D296" t="str">
        <f>TRIM([1]Planilha1!$D296)</f>
        <v>Vivo</v>
      </c>
      <c r="E296" t="str">
        <f>IF(TRIM([1]Planilha1!$D296)="Claro","Claro","Concorrente")</f>
        <v>Concorrente</v>
      </c>
      <c r="F296" t="s">
        <v>25</v>
      </c>
      <c r="G296" t="str">
        <f t="shared" ca="1" si="18"/>
        <v>Banda Larga + Movel</v>
      </c>
      <c r="H296" t="s">
        <v>26</v>
      </c>
      <c r="I296" t="str">
        <f ca="1">IF([1]Planilha1!$F296="","",TRIM([1]Planilha1!$F296))</f>
        <v>Fibra</v>
      </c>
      <c r="J296" s="11" t="s">
        <v>27</v>
      </c>
      <c r="K296" s="4" cm="1">
        <f t="array" aca="1" ref="K296" ca="1">IFERROR(VALUE(_xlfn.REGEXEXTRACT([1]Planilha1!$E296,"\+\s*(\d+)GB",2)),"")</f>
        <v>70</v>
      </c>
      <c r="L296" s="5">
        <v>160</v>
      </c>
      <c r="M296" s="5" t="str">
        <f ca="1">IF([1]Planilha1!$I296="","",[1]Planilha1!$I296)</f>
        <v/>
      </c>
      <c r="N296" s="2" t="str" cm="1">
        <f t="array" aca="1" ref="N296" ca="1">IFERROR(VALUE(_xlfn.REGEXEXTRACT([1]Planilha1!$E296,"(\d+)\s*MESES",2)),IFERROR(VALUE(_xlfn.REGEXEXTRACT([1]Planilha1!$E296,"por\s*(\d+)\s*M",2)),IF(_xlfn.REGEXTEST([1]Planilha1!$E296,"1[ºª]"),1,"")))</f>
        <v/>
      </c>
      <c r="O296" s="6" t="str">
        <f t="shared" si="19"/>
        <v/>
      </c>
      <c r="P296" t="str">
        <f ca="1">IF([1]Planilha1!$J296="","",TRIM([1]Planilha1!$J296))</f>
        <v>0</v>
      </c>
      <c r="Q296" s="7">
        <f ca="1">IF($D296="Claro","",IFERROR($L296-VLOOKUP($B296&amp;"|Claro",[1]AUX_CLARO!$A:$C,2,FALSE),""))</f>
        <v>20.099999999999994</v>
      </c>
      <c r="R296" s="8" t="str">
        <f ca="1">IF($D296="Claro","",IFERROR($J296-VLOOKUP($B296&amp;"|Claro",[1]AUX_CLARO!$A:$C,3,FALSE),""))</f>
        <v/>
      </c>
      <c r="S296" t="str">
        <f t="shared" ca="1" si="20"/>
        <v>Claro mais barata</v>
      </c>
      <c r="T296" t="str">
        <f t="shared" ca="1" si="21"/>
        <v/>
      </c>
      <c r="U296" s="9">
        <f t="shared" si="22"/>
        <v>46174</v>
      </c>
      <c r="V296" t="str">
        <f ca="1">IF(OR([1]Planilha1!$B296="",[1]Planilha1!$B296="NÃO MAPEADO"),"",TRIM([1]Planilha1!$B296))</f>
        <v>NOROESTE</v>
      </c>
      <c r="W296" t="str">
        <f ca="1">IF([1]Planilha1!$C296="","",TRIM([1]Planilha1!$C296))</f>
        <v>MD 2</v>
      </c>
      <c r="X296" t="str">
        <f ca="1">IFERROR(VLOOKUP($C296,[1]Planilha2!$B:$H,7,FALSE),"")</f>
        <v>17500-001</v>
      </c>
    </row>
    <row r="297" spans="1:24" x14ac:dyDescent="0.35">
      <c r="A297" t="str">
        <f ca="1">IF(LEFT(TEXT([1]Planilha1!$L297,"0000000"),1)="5","MS","SP")</f>
        <v>SP</v>
      </c>
      <c r="B297" t="str">
        <f ca="1">IF(RIGHT([1]Planilha1!$A297,5)=" - MS",LEFT([1]Planilha1!$A297,LEN([1]Planilha1!$A297)-5),TRIM([1]Planilha1!$A297))</f>
        <v>MARILIA</v>
      </c>
      <c r="C297" s="2">
        <f ca="1">[1]Planilha1!$L297</f>
        <v>3529005</v>
      </c>
      <c r="D297" t="str">
        <f>TRIM([1]Planilha1!$D297)</f>
        <v>Alares</v>
      </c>
      <c r="E297" t="str">
        <f>IF(TRIM([1]Planilha1!$D297)="Claro","Claro","Concorrente")</f>
        <v>Concorrente</v>
      </c>
      <c r="F297" t="s">
        <v>32</v>
      </c>
      <c r="G297" t="str">
        <f t="shared" ca="1" si="18"/>
        <v>Banda Larga + Conteudo</v>
      </c>
      <c r="H297" t="str">
        <f ca="1">TRIM([1]Planilha1!$E297)</f>
        <v>1GB + GLOBOPLAY R$99,90</v>
      </c>
      <c r="I297" t="str">
        <f ca="1">IF([1]Planilha1!$F297="","",TRIM([1]Planilha1!$F297))</f>
        <v>Fibra</v>
      </c>
      <c r="J297" s="3">
        <f ca="1">IF([1]Planilha1!$G297="","",[1]Planilha1!$G297)</f>
        <v>1000</v>
      </c>
      <c r="K297" s="4" t="str" cm="1">
        <f t="array" aca="1" ref="K297" ca="1">IFERROR(VALUE(_xlfn.REGEXEXTRACT([1]Planilha1!$E297,"\+\s*(\d+)GB",2)),"")</f>
        <v/>
      </c>
      <c r="L297" s="5">
        <f ca="1">IF([1]Planilha1!$H297="","",[1]Planilha1!$H297)</f>
        <v>99.9</v>
      </c>
      <c r="M297" s="5" t="str">
        <f ca="1">IF([1]Planilha1!$I297="","",[1]Planilha1!$I297)</f>
        <v/>
      </c>
      <c r="N297" s="2" t="str" cm="1">
        <f t="array" aca="1" ref="N297" ca="1">IFERROR(VALUE(_xlfn.REGEXEXTRACT([1]Planilha1!$E297,"(\d+)\s*MESES",2)),IFERROR(VALUE(_xlfn.REGEXEXTRACT([1]Planilha1!$E297,"por\s*(\d+)\s*M",2)),IF(_xlfn.REGEXTEST([1]Planilha1!$E297,"1[ºª]"),1,"")))</f>
        <v/>
      </c>
      <c r="O297" s="6">
        <f t="shared" ca="1" si="19"/>
        <v>9.9900000000000003E-2</v>
      </c>
      <c r="P297" t="str">
        <f ca="1">IF([1]Planilha1!$J297="","",TRIM([1]Planilha1!$J297))</f>
        <v>GLOBOPLAY</v>
      </c>
      <c r="Q297" s="7">
        <f ca="1">IF($D297="Claro","",IFERROR($L297-VLOOKUP($B297&amp;"|Claro",[1]AUX_CLARO!$A:$C,2,FALSE),""))</f>
        <v>-40</v>
      </c>
      <c r="R297" s="8">
        <f ca="1">IF($D297="Claro","",IFERROR($J297-VLOOKUP($B297&amp;"|Claro",[1]AUX_CLARO!$A:$C,3,FALSE),""))</f>
        <v>400</v>
      </c>
      <c r="S297" t="str">
        <f t="shared" ca="1" si="20"/>
        <v>Claro mais cara</v>
      </c>
      <c r="T297" t="str">
        <f t="shared" ca="1" si="21"/>
        <v>Claro com menor velocidade</v>
      </c>
      <c r="U297" s="9">
        <f t="shared" si="22"/>
        <v>46174</v>
      </c>
      <c r="V297" t="str">
        <f ca="1">IF(OR([1]Planilha1!$B297="",[1]Planilha1!$B297="NÃO MAPEADO"),"",TRIM([1]Planilha1!$B297))</f>
        <v>NOROESTE</v>
      </c>
      <c r="W297" t="str">
        <f ca="1">IF([1]Planilha1!$C297="","",TRIM([1]Planilha1!$C297))</f>
        <v>MD 2</v>
      </c>
      <c r="X297" t="str">
        <f ca="1">IFERROR(VLOOKUP($C297,[1]Planilha2!$B:$H,7,FALSE),"")</f>
        <v>17500-001</v>
      </c>
    </row>
    <row r="298" spans="1:24" x14ac:dyDescent="0.35">
      <c r="A298" t="str">
        <f ca="1">IF(LEFT(TEXT([1]Planilha1!$L298,"0000000"),1)="5","MS","SP")</f>
        <v>SP</v>
      </c>
      <c r="B298" t="str">
        <f ca="1">IF(RIGHT([1]Planilha1!$A298,5)=" - MS",LEFT([1]Planilha1!$A298,LEN([1]Planilha1!$A298)-5),TRIM([1]Planilha1!$A298))</f>
        <v>MARILIA</v>
      </c>
      <c r="C298" s="2">
        <f ca="1">[1]Planilha1!$L298</f>
        <v>3529005</v>
      </c>
      <c r="D298" t="str">
        <f>TRIM([1]Planilha1!$D298)</f>
        <v>ISP LOCAL</v>
      </c>
      <c r="E298" t="str">
        <f>IF(TRIM([1]Planilha1!$D298)="Claro","Claro","Concorrente")</f>
        <v>Concorrente</v>
      </c>
      <c r="F298" t="s">
        <v>60</v>
      </c>
      <c r="G298" t="str">
        <f t="shared" ca="1" si="18"/>
        <v>Banda Larga + Conteudo</v>
      </c>
      <c r="H298" t="str">
        <f ca="1">TRIM([1]Planilha1!$E298)</f>
        <v>LIFE - 600M R$99,90</v>
      </c>
      <c r="I298" t="str">
        <f ca="1">IF([1]Planilha1!$F298="","",TRIM([1]Planilha1!$F298))</f>
        <v>Fibra</v>
      </c>
      <c r="J298" s="3">
        <f ca="1">IF([1]Planilha1!$G298="","",[1]Planilha1!$G298)</f>
        <v>600</v>
      </c>
      <c r="K298" s="4" t="str" cm="1">
        <f t="array" aca="1" ref="K298" ca="1">IFERROR(VALUE(_xlfn.REGEXEXTRACT([1]Planilha1!$E298,"\+\s*(\d+)GB",2)),"")</f>
        <v/>
      </c>
      <c r="L298" s="5">
        <f ca="1">IF([1]Planilha1!$H298="","",[1]Planilha1!$H298)</f>
        <v>99.9</v>
      </c>
      <c r="M298" s="5" t="str">
        <f ca="1">IF([1]Planilha1!$I298="","",[1]Planilha1!$I298)</f>
        <v/>
      </c>
      <c r="N298" s="2" t="str" cm="1">
        <f t="array" aca="1" ref="N298" ca="1">IFERROR(VALUE(_xlfn.REGEXEXTRACT([1]Planilha1!$E298,"(\d+)\s*MESES",2)),IFERROR(VALUE(_xlfn.REGEXEXTRACT([1]Planilha1!$E298,"por\s*(\d+)\s*M",2)),IF(_xlfn.REGEXTEST([1]Planilha1!$E298,"1[ºª]"),1,"")))</f>
        <v/>
      </c>
      <c r="O298" s="6">
        <f t="shared" ca="1" si="19"/>
        <v>0.16650000000000001</v>
      </c>
      <c r="P298" t="str">
        <f ca="1">IF([1]Planilha1!$J298="","",TRIM([1]Planilha1!$J298))</f>
        <v>0</v>
      </c>
      <c r="Q298" s="7">
        <f ca="1">IF($D298="Claro","",IFERROR($L298-VLOOKUP($B298&amp;"|Claro",[1]AUX_CLARO!$A:$C,2,FALSE),""))</f>
        <v>-40</v>
      </c>
      <c r="R298" s="8">
        <f ca="1">IF($D298="Claro","",IFERROR($J298-VLOOKUP($B298&amp;"|Claro",[1]AUX_CLARO!$A:$C,3,FALSE),""))</f>
        <v>0</v>
      </c>
      <c r="S298" t="str">
        <f t="shared" ca="1" si="20"/>
        <v>Claro mais cara</v>
      </c>
      <c r="T298" t="str">
        <f t="shared" ca="1" si="21"/>
        <v>Mesma velocidade</v>
      </c>
      <c r="U298" s="9">
        <f t="shared" si="22"/>
        <v>46174</v>
      </c>
      <c r="V298" t="str">
        <f ca="1">IF(OR([1]Planilha1!$B298="",[1]Planilha1!$B298="NÃO MAPEADO"),"",TRIM([1]Planilha1!$B298))</f>
        <v>NOROESTE</v>
      </c>
      <c r="W298" t="str">
        <f ca="1">IF([1]Planilha1!$C298="","",TRIM([1]Planilha1!$C298))</f>
        <v>MD 2</v>
      </c>
      <c r="X298" t="str">
        <f ca="1">IFERROR(VLOOKUP($C298,[1]Planilha2!$B:$H,7,FALSE),"")</f>
        <v>17500-001</v>
      </c>
    </row>
    <row r="299" spans="1:24" x14ac:dyDescent="0.35">
      <c r="A299" t="str">
        <f ca="1">IF(LEFT(TEXT([1]Planilha1!$L299,"0000000"),1)="5","MS","SP")</f>
        <v>SP</v>
      </c>
      <c r="B299" t="str">
        <f ca="1">IF(RIGHT([1]Planilha1!$A299,5)=" - MS",LEFT([1]Planilha1!$A299,LEN([1]Planilha1!$A299)-5),TRIM([1]Planilha1!$A299))</f>
        <v>MATAO</v>
      </c>
      <c r="C299" s="2">
        <f ca="1">[1]Planilha1!$L299</f>
        <v>3529302</v>
      </c>
      <c r="D299" t="str">
        <f>TRIM([1]Planilha1!$D299)</f>
        <v>Claro</v>
      </c>
      <c r="E299" t="str">
        <f>IF(TRIM([1]Planilha1!$D299)="Claro","Claro","Concorrente")</f>
        <v>Claro</v>
      </c>
      <c r="F299" t="s">
        <v>24</v>
      </c>
      <c r="G299" t="str">
        <f t="shared" ca="1" si="18"/>
        <v>Banda Larga + Movel</v>
      </c>
      <c r="H299" t="str">
        <f ca="1">TRIM([1]Planilha1!$E299)</f>
        <v>600M+100GB=R$109,90 por 6M, após R$139,90</v>
      </c>
      <c r="I299" t="str">
        <f ca="1">IF([1]Planilha1!$F299="","",TRIM([1]Planilha1!$F299))</f>
        <v>Fibra</v>
      </c>
      <c r="J299" s="3">
        <f ca="1">IF([1]Planilha1!$G299="","",[1]Planilha1!$G299)</f>
        <v>600</v>
      </c>
      <c r="K299" s="4" cm="1">
        <f t="array" aca="1" ref="K299" ca="1">IFERROR(VALUE(_xlfn.REGEXEXTRACT([1]Planilha1!$E299,"\+\s*(\d+)GB",2)),"")</f>
        <v>100</v>
      </c>
      <c r="L299" s="5">
        <f ca="1">IF([1]Planilha1!$H299="","",[1]Planilha1!$H299)</f>
        <v>139.9</v>
      </c>
      <c r="M299" s="5">
        <f ca="1">IF([1]Planilha1!$I299="","",[1]Planilha1!$I299)</f>
        <v>109.9</v>
      </c>
      <c r="N299" s="2" cm="1">
        <f t="array" aca="1" ref="N299" ca="1">IFERROR(VALUE(_xlfn.REGEXEXTRACT([1]Planilha1!$E299,"(\d+)\s*MESES",2)),IFERROR(VALUE(_xlfn.REGEXEXTRACT([1]Planilha1!$E299,"por\s*(\d+)\s*M",2)),IF(_xlfn.REGEXTEST([1]Planilha1!$E299,"1[ºª]"),1,"")))</f>
        <v>6</v>
      </c>
      <c r="O299" s="6">
        <f t="shared" ca="1" si="19"/>
        <v>0.23316666666666669</v>
      </c>
      <c r="P299" t="str">
        <f ca="1">IF([1]Planilha1!$J299="","",TRIM([1]Planilha1!$J299))</f>
        <v>GLOBOPLAY</v>
      </c>
      <c r="Q299" s="7" t="str">
        <f>IF($D299="Claro","",IFERROR($L299-VLOOKUP($B299&amp;"|Claro",[1]AUX_CLARO!$A:$C,2,FALSE),""))</f>
        <v/>
      </c>
      <c r="R299" s="8" t="str">
        <f>IF($D299="Claro","",IFERROR($J299-VLOOKUP($B299&amp;"|Claro",[1]AUX_CLARO!$A:$C,3,FALSE),""))</f>
        <v/>
      </c>
      <c r="S299" t="str">
        <f t="shared" si="20"/>
        <v/>
      </c>
      <c r="T299" t="str">
        <f t="shared" si="21"/>
        <v/>
      </c>
      <c r="U299" s="9">
        <f t="shared" si="22"/>
        <v>46174</v>
      </c>
      <c r="V299" t="str">
        <f ca="1">IF(OR([1]Planilha1!$B299="",[1]Planilha1!$B299="NÃO MAPEADO"),"",TRIM([1]Planilha1!$B299))</f>
        <v>NOROESTE</v>
      </c>
      <c r="W299" t="str">
        <f ca="1">IF([1]Planilha1!$C299="","",TRIM([1]Planilha1!$C299))</f>
        <v>MD 2</v>
      </c>
      <c r="X299" t="str">
        <f ca="1">IFERROR(VLOOKUP($C299,[1]Planilha2!$B:$H,7,FALSE),"")</f>
        <v>15990-001</v>
      </c>
    </row>
    <row r="300" spans="1:24" x14ac:dyDescent="0.35">
      <c r="A300" t="str">
        <f ca="1">IF(LEFT(TEXT([1]Planilha1!$L300,"0000000"),1)="5","MS","SP")</f>
        <v>SP</v>
      </c>
      <c r="B300" t="str">
        <f ca="1">IF(RIGHT([1]Planilha1!$A300,5)=" - MS",LEFT([1]Planilha1!$A300,LEN([1]Planilha1!$A300)-5),TRIM([1]Planilha1!$A300))</f>
        <v>MATAO</v>
      </c>
      <c r="C300" s="2">
        <f ca="1">[1]Planilha1!$L300</f>
        <v>3529302</v>
      </c>
      <c r="D300" t="str">
        <f>TRIM([1]Planilha1!$D300)</f>
        <v>Vivo</v>
      </c>
      <c r="E300" t="str">
        <f>IF(TRIM([1]Planilha1!$D300)="Claro","Claro","Concorrente")</f>
        <v>Concorrente</v>
      </c>
      <c r="F300" t="s">
        <v>25</v>
      </c>
      <c r="G300" t="str">
        <f t="shared" ca="1" si="18"/>
        <v>Banda Larga + Movel</v>
      </c>
      <c r="H300" t="s">
        <v>26</v>
      </c>
      <c r="I300" t="str">
        <f ca="1">IF([1]Planilha1!$F300="","",TRIM([1]Planilha1!$F300))</f>
        <v>Fibra</v>
      </c>
      <c r="J300" s="11" t="s">
        <v>27</v>
      </c>
      <c r="K300" s="4" cm="1">
        <f t="array" aca="1" ref="K300" ca="1">IFERROR(VALUE(_xlfn.REGEXEXTRACT([1]Planilha1!$E300,"\+\s*(\d+)GB",2)),"")</f>
        <v>70</v>
      </c>
      <c r="L300" s="5">
        <v>160</v>
      </c>
      <c r="M300" s="5" t="str">
        <f ca="1">IF([1]Planilha1!$I300="","",[1]Planilha1!$I300)</f>
        <v/>
      </c>
      <c r="N300" s="2" t="str" cm="1">
        <f t="array" aca="1" ref="N300" ca="1">IFERROR(VALUE(_xlfn.REGEXEXTRACT([1]Planilha1!$E300,"(\d+)\s*MESES",2)),IFERROR(VALUE(_xlfn.REGEXEXTRACT([1]Planilha1!$E300,"por\s*(\d+)\s*M",2)),IF(_xlfn.REGEXTEST([1]Planilha1!$E300,"1[ºª]"),1,"")))</f>
        <v/>
      </c>
      <c r="O300" s="6" t="str">
        <f t="shared" si="19"/>
        <v/>
      </c>
      <c r="P300" t="str">
        <f ca="1">IF([1]Planilha1!$J300="","",TRIM([1]Planilha1!$J300))</f>
        <v>0</v>
      </c>
      <c r="Q300" s="7">
        <f ca="1">IF($D300="Claro","",IFERROR($L300-VLOOKUP($B300&amp;"|Claro",[1]AUX_CLARO!$A:$C,2,FALSE),""))</f>
        <v>20.099999999999994</v>
      </c>
      <c r="R300" s="8" t="str">
        <f ca="1">IF($D300="Claro","",IFERROR($J300-VLOOKUP($B300&amp;"|Claro",[1]AUX_CLARO!$A:$C,3,FALSE),""))</f>
        <v/>
      </c>
      <c r="S300" t="str">
        <f t="shared" ca="1" si="20"/>
        <v>Claro mais barata</v>
      </c>
      <c r="T300" t="str">
        <f t="shared" ca="1" si="21"/>
        <v/>
      </c>
      <c r="U300" s="9">
        <f t="shared" si="22"/>
        <v>46174</v>
      </c>
      <c r="V300" t="str">
        <f ca="1">IF(OR([1]Planilha1!$B300="",[1]Planilha1!$B300="NÃO MAPEADO"),"",TRIM([1]Planilha1!$B300))</f>
        <v>NOROESTE</v>
      </c>
      <c r="W300" t="str">
        <f ca="1">IF([1]Planilha1!$C300="","",TRIM([1]Planilha1!$C300))</f>
        <v>MD 2</v>
      </c>
      <c r="X300" t="str">
        <f ca="1">IFERROR(VLOOKUP($C300,[1]Planilha2!$B:$H,7,FALSE),"")</f>
        <v>15990-001</v>
      </c>
    </row>
    <row r="301" spans="1:24" x14ac:dyDescent="0.35">
      <c r="A301" t="str">
        <f ca="1">IF(LEFT(TEXT([1]Planilha1!$L301,"0000000"),1)="5","MS","SP")</f>
        <v>SP</v>
      </c>
      <c r="B301" t="str">
        <f ca="1">IF(RIGHT([1]Planilha1!$A301,5)=" - MS",LEFT([1]Planilha1!$A301,LEN([1]Planilha1!$A301)-5),TRIM([1]Planilha1!$A301))</f>
        <v>MATAO</v>
      </c>
      <c r="C301" s="2">
        <f ca="1">[1]Planilha1!$L301</f>
        <v>3529302</v>
      </c>
      <c r="D301" t="str">
        <f>TRIM([1]Planilha1!$D301)</f>
        <v>Desktop</v>
      </c>
      <c r="E301" t="str">
        <f>IF(TRIM([1]Planilha1!$D301)="Claro","Claro","Concorrente")</f>
        <v>Concorrente</v>
      </c>
      <c r="F301" t="s">
        <v>29</v>
      </c>
      <c r="G301" t="str">
        <f t="shared" ca="1" si="18"/>
        <v>Banda Larga + Movel</v>
      </c>
      <c r="H301" t="str">
        <f ca="1">TRIM([1]Planilha1!$E301)</f>
        <v>600M+15GB=R$129,99 - 6 MESES, APÓS R$139,99</v>
      </c>
      <c r="I301" t="str">
        <f ca="1">IF([1]Planilha1!$F301="","",TRIM([1]Planilha1!$F301))</f>
        <v>Fibra</v>
      </c>
      <c r="J301" s="3">
        <f ca="1">IF([1]Planilha1!$G301="","",[1]Planilha1!$G301)</f>
        <v>600</v>
      </c>
      <c r="K301" s="4" cm="1">
        <f t="array" aca="1" ref="K301" ca="1">IFERROR(VALUE(_xlfn.REGEXEXTRACT([1]Planilha1!$E301,"\+\s*(\d+)GB",2)),"")</f>
        <v>15</v>
      </c>
      <c r="L301" s="5">
        <f ca="1">IF([1]Planilha1!$H301="","",[1]Planilha1!$H301)</f>
        <v>139.99</v>
      </c>
      <c r="M301" s="5">
        <f ca="1">IF([1]Planilha1!$I301="","",[1]Planilha1!$I301)</f>
        <v>129.99</v>
      </c>
      <c r="N301" s="2" cm="1">
        <f t="array" aca="1" ref="N301" ca="1">IFERROR(VALUE(_xlfn.REGEXEXTRACT([1]Planilha1!$E301,"(\d+)\s*MESES",2)),IFERROR(VALUE(_xlfn.REGEXEXTRACT([1]Planilha1!$E301,"por\s*(\d+)\s*M",2)),IF(_xlfn.REGEXTEST([1]Planilha1!$E301,"1[ºª]"),1,"")))</f>
        <v>6</v>
      </c>
      <c r="O301" s="6">
        <f t="shared" ca="1" si="19"/>
        <v>0.23331666666666667</v>
      </c>
      <c r="P301" t="str">
        <f ca="1">IF([1]Planilha1!$J301="","",TRIM([1]Planilha1!$J301))</f>
        <v>0</v>
      </c>
      <c r="Q301" s="7">
        <f ca="1">IF($D301="Claro","",IFERROR($L301-VLOOKUP($B301&amp;"|Claro",[1]AUX_CLARO!$A:$C,2,FALSE),""))</f>
        <v>9.0000000000003411E-2</v>
      </c>
      <c r="R301" s="8">
        <f ca="1">IF($D301="Claro","",IFERROR($J301-VLOOKUP($B301&amp;"|Claro",[1]AUX_CLARO!$A:$C,3,FALSE),""))</f>
        <v>0</v>
      </c>
      <c r="S301" t="str">
        <f t="shared" ca="1" si="20"/>
        <v>Claro mais barata</v>
      </c>
      <c r="T301" t="str">
        <f t="shared" ca="1" si="21"/>
        <v>Mesma velocidade</v>
      </c>
      <c r="U301" s="9">
        <f t="shared" si="22"/>
        <v>46174</v>
      </c>
      <c r="V301" t="str">
        <f ca="1">IF(OR([1]Planilha1!$B301="",[1]Planilha1!$B301="NÃO MAPEADO"),"",TRIM([1]Planilha1!$B301))</f>
        <v>NOROESTE</v>
      </c>
      <c r="W301" t="str">
        <f ca="1">IF([1]Planilha1!$C301="","",TRIM([1]Planilha1!$C301))</f>
        <v>MD 2</v>
      </c>
      <c r="X301" t="str">
        <f ca="1">IFERROR(VLOOKUP($C301,[1]Planilha2!$B:$H,7,FALSE),"")</f>
        <v>15990-001</v>
      </c>
    </row>
    <row r="302" spans="1:24" x14ac:dyDescent="0.35">
      <c r="A302" t="str">
        <f ca="1">IF(LEFT(TEXT([1]Planilha1!$L302,"0000000"),1)="5","MS","SP")</f>
        <v>SP</v>
      </c>
      <c r="B302" t="str">
        <f ca="1">IF(RIGHT([1]Planilha1!$A302,5)=" - MS",LEFT([1]Planilha1!$A302,LEN([1]Planilha1!$A302)-5),TRIM([1]Planilha1!$A302))</f>
        <v>MATAO</v>
      </c>
      <c r="C302" s="2">
        <f ca="1">[1]Planilha1!$L302</f>
        <v>3529302</v>
      </c>
      <c r="D302" t="str">
        <f>TRIM([1]Planilha1!$D302)</f>
        <v>Algar</v>
      </c>
      <c r="E302" t="str">
        <f>IF(TRIM([1]Planilha1!$D302)="Claro","Claro","Concorrente")</f>
        <v>Concorrente</v>
      </c>
      <c r="F302" t="s">
        <v>38</v>
      </c>
      <c r="G302" t="str">
        <f t="shared" ca="1" si="18"/>
        <v>Banda Larga + Conteudo</v>
      </c>
      <c r="H302" t="str">
        <f ca="1">TRIM([1]Planilha1!$E302)</f>
        <v>800M R$99,90</v>
      </c>
      <c r="I302" t="str">
        <f ca="1">IF([1]Planilha1!$F302="","",TRIM([1]Planilha1!$F302))</f>
        <v>Fibra</v>
      </c>
      <c r="J302" s="3">
        <f ca="1">IF([1]Planilha1!$G302="","",[1]Planilha1!$G302)</f>
        <v>800</v>
      </c>
      <c r="K302" s="4" t="str" cm="1">
        <f t="array" aca="1" ref="K302" ca="1">IFERROR(VALUE(_xlfn.REGEXEXTRACT([1]Planilha1!$E302,"\+\s*(\d+)GB",2)),"")</f>
        <v/>
      </c>
      <c r="L302" s="5">
        <f ca="1">IF([1]Planilha1!$H302="","",[1]Planilha1!$H302)</f>
        <v>99.9</v>
      </c>
      <c r="M302" s="5" t="str">
        <f ca="1">IF([1]Planilha1!$I302="","",[1]Planilha1!$I302)</f>
        <v/>
      </c>
      <c r="N302" s="2" t="str" cm="1">
        <f t="array" aca="1" ref="N302" ca="1">IFERROR(VALUE(_xlfn.REGEXEXTRACT([1]Planilha1!$E302,"(\d+)\s*MESES",2)),IFERROR(VALUE(_xlfn.REGEXEXTRACT([1]Planilha1!$E302,"por\s*(\d+)\s*M",2)),IF(_xlfn.REGEXTEST([1]Planilha1!$E302,"1[ºª]"),1,"")))</f>
        <v/>
      </c>
      <c r="O302" s="6">
        <f t="shared" ca="1" si="19"/>
        <v>0.12487500000000001</v>
      </c>
      <c r="P302" t="str">
        <f ca="1">IF([1]Planilha1!$J302="","",TRIM([1]Planilha1!$J302))</f>
        <v>0</v>
      </c>
      <c r="Q302" s="7">
        <f ca="1">IF($D302="Claro","",IFERROR($L302-VLOOKUP($B302&amp;"|Claro",[1]AUX_CLARO!$A:$C,2,FALSE),""))</f>
        <v>-40</v>
      </c>
      <c r="R302" s="8">
        <f ca="1">IF($D302="Claro","",IFERROR($J302-VLOOKUP($B302&amp;"|Claro",[1]AUX_CLARO!$A:$C,3,FALSE),""))</f>
        <v>200</v>
      </c>
      <c r="S302" t="str">
        <f t="shared" ca="1" si="20"/>
        <v>Claro mais cara</v>
      </c>
      <c r="T302" t="str">
        <f t="shared" ca="1" si="21"/>
        <v>Claro com menor velocidade</v>
      </c>
      <c r="U302" s="9">
        <f t="shared" si="22"/>
        <v>46174</v>
      </c>
      <c r="V302" t="str">
        <f ca="1">IF(OR([1]Planilha1!$B302="",[1]Planilha1!$B302="NÃO MAPEADO"),"",TRIM([1]Planilha1!$B302))</f>
        <v>NOROESTE</v>
      </c>
      <c r="W302" t="str">
        <f ca="1">IF([1]Planilha1!$C302="","",TRIM([1]Planilha1!$C302))</f>
        <v>MD 2</v>
      </c>
      <c r="X302" t="str">
        <f ca="1">IFERROR(VLOOKUP($C302,[1]Planilha2!$B:$H,7,FALSE),"")</f>
        <v>15990-001</v>
      </c>
    </row>
    <row r="303" spans="1:24" x14ac:dyDescent="0.35">
      <c r="A303" t="str">
        <f ca="1">IF(LEFT(TEXT([1]Planilha1!$L303,"0000000"),1)="5","MS","SP")</f>
        <v>SP</v>
      </c>
      <c r="B303" t="str">
        <f ca="1">IF(RIGHT([1]Planilha1!$A303,5)=" - MS",LEFT([1]Planilha1!$A303,LEN([1]Planilha1!$A303)-5),TRIM([1]Planilha1!$A303))</f>
        <v>MATAO</v>
      </c>
      <c r="C303" s="2">
        <f ca="1">[1]Planilha1!$L303</f>
        <v>3529302</v>
      </c>
      <c r="D303" t="str">
        <f>TRIM([1]Planilha1!$D303)</f>
        <v>Weclix</v>
      </c>
      <c r="E303" t="str">
        <f>IF(TRIM([1]Planilha1!$D303)="Claro","Claro","Concorrente")</f>
        <v>Concorrente</v>
      </c>
      <c r="F303" t="s">
        <v>34</v>
      </c>
      <c r="G303" t="str">
        <f t="shared" ca="1" si="18"/>
        <v>Banda Larga + Conteudo</v>
      </c>
      <c r="H303" t="str">
        <f ca="1">TRIM([1]Planilha1!$E303)</f>
        <v>1GB R$59,90 - 1ª MENSALIDADE, APÓS R$99,90</v>
      </c>
      <c r="I303" t="str">
        <f ca="1">IF([1]Planilha1!$F303="","",TRIM([1]Planilha1!$F303))</f>
        <v>Fibra</v>
      </c>
      <c r="J303" s="3">
        <f ca="1">IF([1]Planilha1!$G303="","",[1]Planilha1!$G303)</f>
        <v>1000</v>
      </c>
      <c r="K303" s="4" t="str" cm="1">
        <f t="array" aca="1" ref="K303" ca="1">IFERROR(VALUE(_xlfn.REGEXEXTRACT([1]Planilha1!$E303,"\+\s*(\d+)GB",2)),"")</f>
        <v/>
      </c>
      <c r="L303" s="5">
        <f ca="1">IF([1]Planilha1!$H303="","",[1]Planilha1!$H303)</f>
        <v>99.9</v>
      </c>
      <c r="M303" s="5">
        <f ca="1">IF([1]Planilha1!$I303="","",[1]Planilha1!$I303)</f>
        <v>59.9</v>
      </c>
      <c r="N303" s="2" cm="1">
        <f t="array" aca="1" ref="N303" ca="1">IFERROR(VALUE(_xlfn.REGEXEXTRACT([1]Planilha1!$E303,"(\d+)\s*MESES",2)),IFERROR(VALUE(_xlfn.REGEXEXTRACT([1]Planilha1!$E303,"por\s*(\d+)\s*M",2)),IF(_xlfn.REGEXTEST([1]Planilha1!$E303,"1[ºª]"),1,"")))</f>
        <v>1</v>
      </c>
      <c r="O303" s="6">
        <f t="shared" ca="1" si="19"/>
        <v>9.9900000000000003E-2</v>
      </c>
      <c r="P303" t="str">
        <f ca="1">IF([1]Planilha1!$J303="","",TRIM([1]Planilha1!$J303))</f>
        <v>0</v>
      </c>
      <c r="Q303" s="7">
        <f ca="1">IF($D303="Claro","",IFERROR($L303-VLOOKUP($B303&amp;"|Claro",[1]AUX_CLARO!$A:$C,2,FALSE),""))</f>
        <v>-40</v>
      </c>
      <c r="R303" s="8">
        <f ca="1">IF($D303="Claro","",IFERROR($J303-VLOOKUP($B303&amp;"|Claro",[1]AUX_CLARO!$A:$C,3,FALSE),""))</f>
        <v>400</v>
      </c>
      <c r="S303" t="str">
        <f t="shared" ca="1" si="20"/>
        <v>Claro mais cara</v>
      </c>
      <c r="T303" t="str">
        <f t="shared" ca="1" si="21"/>
        <v>Claro com menor velocidade</v>
      </c>
      <c r="U303" s="9">
        <f t="shared" si="22"/>
        <v>46174</v>
      </c>
      <c r="V303" t="str">
        <f ca="1">IF(OR([1]Planilha1!$B303="",[1]Planilha1!$B303="NÃO MAPEADO"),"",TRIM([1]Planilha1!$B303))</f>
        <v>NOROESTE</v>
      </c>
      <c r="W303" t="str">
        <f ca="1">IF([1]Planilha1!$C303="","",TRIM([1]Planilha1!$C303))</f>
        <v>MD 2</v>
      </c>
      <c r="X303" t="str">
        <f ca="1">IFERROR(VLOOKUP($C303,[1]Planilha2!$B:$H,7,FALSE),"")</f>
        <v>15990-001</v>
      </c>
    </row>
    <row r="304" spans="1:24" x14ac:dyDescent="0.35">
      <c r="A304" t="str">
        <f ca="1">IF(LEFT(TEXT([1]Planilha1!$L304,"0000000"),1)="5","MS","SP")</f>
        <v>SP</v>
      </c>
      <c r="B304" t="str">
        <f ca="1">IF(RIGHT([1]Planilha1!$A304,5)=" - MS",LEFT([1]Planilha1!$A304,LEN([1]Planilha1!$A304)-5),TRIM([1]Planilha1!$A304))</f>
        <v>MATAO</v>
      </c>
      <c r="C304" s="2">
        <f ca="1">[1]Planilha1!$L304</f>
        <v>3529302</v>
      </c>
      <c r="D304" t="str">
        <f>TRIM([1]Planilha1!$D304)</f>
        <v>ISP LOCAL</v>
      </c>
      <c r="E304" t="str">
        <f>IF(TRIM([1]Planilha1!$D304)="Claro","Claro","Concorrente")</f>
        <v>Concorrente</v>
      </c>
      <c r="F304" t="s">
        <v>74</v>
      </c>
      <c r="G304" t="str">
        <f t="shared" ca="1" si="18"/>
        <v>Banda Larga + Conteudo</v>
      </c>
      <c r="H304" t="str">
        <f ca="1">TRIM([1]Planilha1!$E304)</f>
        <v>PROCESS - 500M R$109,90</v>
      </c>
      <c r="I304" t="str">
        <f ca="1">IF([1]Planilha1!$F304="","",TRIM([1]Planilha1!$F304))</f>
        <v>Fibra</v>
      </c>
      <c r="J304" s="3">
        <f ca="1">IF([1]Planilha1!$G304="","",[1]Planilha1!$G304)</f>
        <v>500</v>
      </c>
      <c r="K304" s="4" t="str" cm="1">
        <f t="array" aca="1" ref="K304" ca="1">IFERROR(VALUE(_xlfn.REGEXEXTRACT([1]Planilha1!$E304,"\+\s*(\d+)GB",2)),"")</f>
        <v/>
      </c>
      <c r="L304" s="5">
        <f ca="1">IF([1]Planilha1!$H304="","",[1]Planilha1!$H304)</f>
        <v>109.9</v>
      </c>
      <c r="M304" s="5" t="str">
        <f ca="1">IF([1]Planilha1!$I304="","",[1]Planilha1!$I304)</f>
        <v/>
      </c>
      <c r="N304" s="2" t="str" cm="1">
        <f t="array" aca="1" ref="N304" ca="1">IFERROR(VALUE(_xlfn.REGEXEXTRACT([1]Planilha1!$E304,"(\d+)\s*MESES",2)),IFERROR(VALUE(_xlfn.REGEXEXTRACT([1]Planilha1!$E304,"por\s*(\d+)\s*M",2)),IF(_xlfn.REGEXTEST([1]Planilha1!$E304,"1[ºª]"),1,"")))</f>
        <v/>
      </c>
      <c r="O304" s="6">
        <f t="shared" ca="1" si="19"/>
        <v>0.21980000000000002</v>
      </c>
      <c r="P304" t="str">
        <f ca="1">IF([1]Planilha1!$J304="","",TRIM([1]Planilha1!$J304))</f>
        <v>0</v>
      </c>
      <c r="Q304" s="7">
        <f ca="1">IF($D304="Claro","",IFERROR($L304-VLOOKUP($B304&amp;"|Claro",[1]AUX_CLARO!$A:$C,2,FALSE),""))</f>
        <v>-30</v>
      </c>
      <c r="R304" s="8">
        <f ca="1">IF($D304="Claro","",IFERROR($J304-VLOOKUP($B304&amp;"|Claro",[1]AUX_CLARO!$A:$C,3,FALSE),""))</f>
        <v>-100</v>
      </c>
      <c r="S304" t="str">
        <f t="shared" ca="1" si="20"/>
        <v>Claro mais cara</v>
      </c>
      <c r="T304" t="str">
        <f t="shared" ca="1" si="21"/>
        <v>Claro com maior velocidade</v>
      </c>
      <c r="U304" s="9">
        <f t="shared" si="22"/>
        <v>46174</v>
      </c>
      <c r="V304" t="str">
        <f ca="1">IF(OR([1]Planilha1!$B304="",[1]Planilha1!$B304="NÃO MAPEADO"),"",TRIM([1]Planilha1!$B304))</f>
        <v>NOROESTE</v>
      </c>
      <c r="W304" t="str">
        <f ca="1">IF([1]Planilha1!$C304="","",TRIM([1]Planilha1!$C304))</f>
        <v>MD 2</v>
      </c>
      <c r="X304" t="str">
        <f ca="1">IFERROR(VLOOKUP($C304,[1]Planilha2!$B:$H,7,FALSE),"")</f>
        <v>15990-001</v>
      </c>
    </row>
    <row r="305" spans="1:24" x14ac:dyDescent="0.35">
      <c r="A305" t="str">
        <f ca="1">IF(LEFT(TEXT([1]Planilha1!$L305,"0000000"),1)="5","MS","SP")</f>
        <v>SP</v>
      </c>
      <c r="B305" t="str">
        <f ca="1">IF(RIGHT([1]Planilha1!$A305,5)=" - MS",LEFT([1]Planilha1!$A305,LEN([1]Planilha1!$A305)-5),TRIM([1]Planilha1!$A305))</f>
        <v>MIRANDOPOLIS</v>
      </c>
      <c r="C305" s="2">
        <f ca="1">[1]Planilha1!$L305</f>
        <v>3530102</v>
      </c>
      <c r="D305" t="str">
        <f>TRIM([1]Planilha1!$D305)</f>
        <v>Claro</v>
      </c>
      <c r="E305" t="str">
        <f>IF(TRIM([1]Planilha1!$D305)="Claro","Claro","Concorrente")</f>
        <v>Claro</v>
      </c>
      <c r="F305" t="s">
        <v>24</v>
      </c>
      <c r="G305" t="str">
        <f t="shared" ca="1" si="18"/>
        <v>Banda Larga + Movel</v>
      </c>
      <c r="H305" t="str">
        <f ca="1">TRIM([1]Planilha1!$E305)</f>
        <v>600M+100GB=R$109,90 por 6M, após R$139,90</v>
      </c>
      <c r="I305" t="str">
        <f ca="1">IF([1]Planilha1!$F305="","",TRIM([1]Planilha1!$F305))</f>
        <v>Fibra</v>
      </c>
      <c r="J305" s="3">
        <f ca="1">IF([1]Planilha1!$G305="","",[1]Planilha1!$G305)</f>
        <v>600</v>
      </c>
      <c r="K305" s="4" cm="1">
        <f t="array" aca="1" ref="K305" ca="1">IFERROR(VALUE(_xlfn.REGEXEXTRACT([1]Planilha1!$E305,"\+\s*(\d+)GB",2)),"")</f>
        <v>100</v>
      </c>
      <c r="L305" s="5">
        <f ca="1">IF([1]Planilha1!$H305="","",[1]Planilha1!$H305)</f>
        <v>139.9</v>
      </c>
      <c r="M305" s="5">
        <f ca="1">IF([1]Planilha1!$I305="","",[1]Planilha1!$I305)</f>
        <v>109.9</v>
      </c>
      <c r="N305" s="2" cm="1">
        <f t="array" aca="1" ref="N305" ca="1">IFERROR(VALUE(_xlfn.REGEXEXTRACT([1]Planilha1!$E305,"(\d+)\s*MESES",2)),IFERROR(VALUE(_xlfn.REGEXEXTRACT([1]Planilha1!$E305,"por\s*(\d+)\s*M",2)),IF(_xlfn.REGEXTEST([1]Planilha1!$E305,"1[ºª]"),1,"")))</f>
        <v>6</v>
      </c>
      <c r="O305" s="6">
        <f t="shared" ca="1" si="19"/>
        <v>0.23316666666666669</v>
      </c>
      <c r="P305" t="str">
        <f ca="1">IF([1]Planilha1!$J305="","",TRIM([1]Planilha1!$J305))</f>
        <v>GLOBOPLAY</v>
      </c>
      <c r="Q305" s="7" t="str">
        <f>IF($D305="Claro","",IFERROR($L305-VLOOKUP($B305&amp;"|Claro",[1]AUX_CLARO!$A:$C,2,FALSE),""))</f>
        <v/>
      </c>
      <c r="R305" s="8" t="str">
        <f>IF($D305="Claro","",IFERROR($J305-VLOOKUP($B305&amp;"|Claro",[1]AUX_CLARO!$A:$C,3,FALSE),""))</f>
        <v/>
      </c>
      <c r="S305" t="str">
        <f t="shared" si="20"/>
        <v/>
      </c>
      <c r="T305" t="str">
        <f t="shared" si="21"/>
        <v/>
      </c>
      <c r="U305" s="9">
        <f t="shared" si="22"/>
        <v>46174</v>
      </c>
      <c r="V305" t="str">
        <f ca="1">IF(OR([1]Planilha1!$B305="",[1]Planilha1!$B305="NÃO MAPEADO"),"",TRIM([1]Planilha1!$B305))</f>
        <v>NOROESTE</v>
      </c>
      <c r="W305" t="str">
        <f ca="1">IF([1]Planilha1!$C305="","",TRIM([1]Planilha1!$C305))</f>
        <v>MD 2</v>
      </c>
      <c r="X305" t="str">
        <f ca="1">IFERROR(VLOOKUP($C305,[1]Planilha2!$B:$H,7,FALSE),"")</f>
        <v>16800-001</v>
      </c>
    </row>
    <row r="306" spans="1:24" x14ac:dyDescent="0.35">
      <c r="A306" t="str">
        <f ca="1">IF(LEFT(TEXT([1]Planilha1!$L306,"0000000"),1)="5","MS","SP")</f>
        <v>SP</v>
      </c>
      <c r="B306" t="str">
        <f ca="1">IF(RIGHT([1]Planilha1!$A306,5)=" - MS",LEFT([1]Planilha1!$A306,LEN([1]Planilha1!$A306)-5),TRIM([1]Planilha1!$A306))</f>
        <v>MIRANDOPOLIS</v>
      </c>
      <c r="C306" s="2">
        <f ca="1">[1]Planilha1!$L306</f>
        <v>3530102</v>
      </c>
      <c r="D306" t="str">
        <f>TRIM([1]Planilha1!$D306)</f>
        <v>Vero</v>
      </c>
      <c r="E306" t="str">
        <f>IF(TRIM([1]Planilha1!$D306)="Claro","Claro","Concorrente")</f>
        <v>Concorrente</v>
      </c>
      <c r="F306" t="s">
        <v>30</v>
      </c>
      <c r="G306" t="str">
        <f t="shared" ca="1" si="18"/>
        <v>Banda Larga + Movel</v>
      </c>
      <c r="H306" t="str">
        <f ca="1">TRIM([1]Planilha1!$E306)</f>
        <v>850M+60GB=R$149,99 (C/ GLOBOPLAY, HBO, DISNEY+)</v>
      </c>
      <c r="I306" t="str">
        <f ca="1">IF([1]Planilha1!$F306="","",TRIM([1]Planilha1!$F306))</f>
        <v>Fibra</v>
      </c>
      <c r="J306" s="3">
        <f ca="1">IF([1]Planilha1!$G306="","",[1]Planilha1!$G306)</f>
        <v>850</v>
      </c>
      <c r="K306" s="4" cm="1">
        <f t="array" aca="1" ref="K306" ca="1">IFERROR(VALUE(_xlfn.REGEXEXTRACT([1]Planilha1!$E306,"\+\s*(\d+)GB",2)),"")</f>
        <v>60</v>
      </c>
      <c r="L306" s="5">
        <f ca="1">IF([1]Planilha1!$H306="","",[1]Planilha1!$H306)</f>
        <v>149.99</v>
      </c>
      <c r="M306" s="5" t="str">
        <f ca="1">IF([1]Planilha1!$I306="","",[1]Planilha1!$I306)</f>
        <v/>
      </c>
      <c r="N306" s="2" t="str" cm="1">
        <f t="array" aca="1" ref="N306" ca="1">IFERROR(VALUE(_xlfn.REGEXEXTRACT([1]Planilha1!$E306,"(\d+)\s*MESES",2)),IFERROR(VALUE(_xlfn.REGEXEXTRACT([1]Planilha1!$E306,"por\s*(\d+)\s*M",2)),IF(_xlfn.REGEXTEST([1]Planilha1!$E306,"1[ºª]"),1,"")))</f>
        <v/>
      </c>
      <c r="O306" s="6">
        <f t="shared" ca="1" si="19"/>
        <v>0.17645882352941178</v>
      </c>
      <c r="P306" t="str">
        <f ca="1">IF([1]Planilha1!$J306="","",TRIM([1]Planilha1!$J306))</f>
        <v>GLOBOPLAY, HBO, DISNEY+</v>
      </c>
      <c r="Q306" s="7">
        <f ca="1">IF($D306="Claro","",IFERROR($L306-VLOOKUP($B306&amp;"|Claro",[1]AUX_CLARO!$A:$C,2,FALSE),""))</f>
        <v>10.090000000000003</v>
      </c>
      <c r="R306" s="8">
        <f ca="1">IF($D306="Claro","",IFERROR($J306-VLOOKUP($B306&amp;"|Claro",[1]AUX_CLARO!$A:$C,3,FALSE),""))</f>
        <v>250</v>
      </c>
      <c r="S306" t="str">
        <f t="shared" ca="1" si="20"/>
        <v>Claro mais barata</v>
      </c>
      <c r="T306" t="str">
        <f t="shared" ca="1" si="21"/>
        <v>Claro com menor velocidade</v>
      </c>
      <c r="U306" s="9">
        <f t="shared" si="22"/>
        <v>46174</v>
      </c>
      <c r="V306" t="str">
        <f ca="1">IF(OR([1]Planilha1!$B306="",[1]Planilha1!$B306="NÃO MAPEADO"),"",TRIM([1]Planilha1!$B306))</f>
        <v>NOROESTE</v>
      </c>
      <c r="W306" t="str">
        <f ca="1">IF([1]Planilha1!$C306="","",TRIM([1]Planilha1!$C306))</f>
        <v>MD 2</v>
      </c>
      <c r="X306" t="str">
        <f ca="1">IFERROR(VLOOKUP($C306,[1]Planilha2!$B:$H,7,FALSE),"")</f>
        <v>16800-001</v>
      </c>
    </row>
    <row r="307" spans="1:24" x14ac:dyDescent="0.35">
      <c r="A307" t="str">
        <f ca="1">IF(LEFT(TEXT([1]Planilha1!$L307,"0000000"),1)="5","MS","SP")</f>
        <v>SP</v>
      </c>
      <c r="B307" t="str">
        <f ca="1">IF(RIGHT([1]Planilha1!$A307,5)=" - MS",LEFT([1]Planilha1!$A307,LEN([1]Planilha1!$A307)-5),TRIM([1]Planilha1!$A307))</f>
        <v>MIRANDOPOLIS</v>
      </c>
      <c r="C307" s="2">
        <f ca="1">[1]Planilha1!$L307</f>
        <v>3530102</v>
      </c>
      <c r="D307" t="str">
        <f>TRIM([1]Planilha1!$D307)</f>
        <v>ISP LOCAL</v>
      </c>
      <c r="E307" t="str">
        <f>IF(TRIM([1]Planilha1!$D307)="Claro","Claro","Concorrente")</f>
        <v>Concorrente</v>
      </c>
      <c r="F307" t="s">
        <v>75</v>
      </c>
      <c r="G307" t="str">
        <f t="shared" ca="1" si="18"/>
        <v>Banda Larga + Conteudo</v>
      </c>
      <c r="H307" t="str">
        <f ca="1">TRIM([1]Planilha1!$E307)</f>
        <v>INSIDESIGN - 800M R$59,90 - 3 MESES, APÓS R$99,90</v>
      </c>
      <c r="I307" t="str">
        <f ca="1">IF([1]Planilha1!$F307="","",TRIM([1]Planilha1!$F307))</f>
        <v>Fibra</v>
      </c>
      <c r="J307" s="3">
        <f ca="1">IF([1]Planilha1!$G307="","",[1]Planilha1!$G307)</f>
        <v>800</v>
      </c>
      <c r="K307" s="4" t="str" cm="1">
        <f t="array" aca="1" ref="K307" ca="1">IFERROR(VALUE(_xlfn.REGEXEXTRACT([1]Planilha1!$E307,"\+\s*(\d+)GB",2)),"")</f>
        <v/>
      </c>
      <c r="L307" s="5">
        <f ca="1">IF([1]Planilha1!$H307="","",[1]Planilha1!$H307)</f>
        <v>99.9</v>
      </c>
      <c r="M307" s="5">
        <f ca="1">IF([1]Planilha1!$I307="","",[1]Planilha1!$I307)</f>
        <v>59.9</v>
      </c>
      <c r="N307" s="2" cm="1">
        <f t="array" aca="1" ref="N307" ca="1">IFERROR(VALUE(_xlfn.REGEXEXTRACT([1]Planilha1!$E307,"(\d+)\s*MESES",2)),IFERROR(VALUE(_xlfn.REGEXEXTRACT([1]Planilha1!$E307,"por\s*(\d+)\s*M",2)),IF(_xlfn.REGEXTEST([1]Planilha1!$E307,"1[ºª]"),1,"")))</f>
        <v>3</v>
      </c>
      <c r="O307" s="6">
        <f t="shared" ca="1" si="19"/>
        <v>0.12487500000000001</v>
      </c>
      <c r="P307" t="str">
        <f ca="1">IF([1]Planilha1!$J307="","",TRIM([1]Planilha1!$J307))</f>
        <v>0</v>
      </c>
      <c r="Q307" s="7">
        <f ca="1">IF($D307="Claro","",IFERROR($L307-VLOOKUP($B307&amp;"|Claro",[1]AUX_CLARO!$A:$C,2,FALSE),""))</f>
        <v>-40</v>
      </c>
      <c r="R307" s="8">
        <f ca="1">IF($D307="Claro","",IFERROR($J307-VLOOKUP($B307&amp;"|Claro",[1]AUX_CLARO!$A:$C,3,FALSE),""))</f>
        <v>200</v>
      </c>
      <c r="S307" t="str">
        <f t="shared" ca="1" si="20"/>
        <v>Claro mais cara</v>
      </c>
      <c r="T307" t="str">
        <f t="shared" ca="1" si="21"/>
        <v>Claro com menor velocidade</v>
      </c>
      <c r="U307" s="9">
        <f t="shared" si="22"/>
        <v>46174</v>
      </c>
      <c r="V307" t="str">
        <f ca="1">IF(OR([1]Planilha1!$B307="",[1]Planilha1!$B307="NÃO MAPEADO"),"",TRIM([1]Planilha1!$B307))</f>
        <v>NOROESTE</v>
      </c>
      <c r="W307" t="str">
        <f ca="1">IF([1]Planilha1!$C307="","",TRIM([1]Planilha1!$C307))</f>
        <v>MD 2</v>
      </c>
      <c r="X307" t="str">
        <f ca="1">IFERROR(VLOOKUP($C307,[1]Planilha2!$B:$H,7,FALSE),"")</f>
        <v>16800-001</v>
      </c>
    </row>
    <row r="308" spans="1:24" x14ac:dyDescent="0.35">
      <c r="A308" t="str">
        <f ca="1">IF(LEFT(TEXT([1]Planilha1!$L308,"0000000"),1)="5","MS","SP")</f>
        <v>SP</v>
      </c>
      <c r="B308" t="str">
        <f ca="1">IF(RIGHT([1]Planilha1!$A308,5)=" - MS",LEFT([1]Planilha1!$A308,LEN([1]Planilha1!$A308)-5),TRIM([1]Planilha1!$A308))</f>
        <v>MIRASSOL</v>
      </c>
      <c r="C308" s="2">
        <f ca="1">[1]Planilha1!$L308</f>
        <v>3530300</v>
      </c>
      <c r="D308" t="str">
        <f>TRIM([1]Planilha1!$D308)</f>
        <v>Claro</v>
      </c>
      <c r="E308" t="str">
        <f>IF(TRIM([1]Planilha1!$D308)="Claro","Claro","Concorrente")</f>
        <v>Claro</v>
      </c>
      <c r="F308" t="s">
        <v>24</v>
      </c>
      <c r="G308" t="str">
        <f t="shared" ca="1" si="18"/>
        <v>Banda Larga + Movel</v>
      </c>
      <c r="H308" t="str">
        <f ca="1">TRIM([1]Planilha1!$E308)</f>
        <v>600M+100GB=R$119,90 por 3M, após R$159,90</v>
      </c>
      <c r="I308" t="str">
        <f ca="1">IF([1]Planilha1!$F308="","",TRIM([1]Planilha1!$F308))</f>
        <v>Fibra</v>
      </c>
      <c r="J308" s="3">
        <f ca="1">IF([1]Planilha1!$G308="","",[1]Planilha1!$G308)</f>
        <v>600</v>
      </c>
      <c r="K308" s="4" cm="1">
        <f t="array" aca="1" ref="K308" ca="1">IFERROR(VALUE(_xlfn.REGEXEXTRACT([1]Planilha1!$E308,"\+\s*(\d+)GB",2)),"")</f>
        <v>100</v>
      </c>
      <c r="L308" s="5">
        <f ca="1">IF([1]Planilha1!$H308="","",[1]Planilha1!$H308)</f>
        <v>159.9</v>
      </c>
      <c r="M308" s="5">
        <f ca="1">IF([1]Planilha1!$I308="","",[1]Planilha1!$I308)</f>
        <v>119.9</v>
      </c>
      <c r="N308" s="2" cm="1">
        <f t="array" aca="1" ref="N308" ca="1">IFERROR(VALUE(_xlfn.REGEXEXTRACT([1]Planilha1!$E308,"(\d+)\s*MESES",2)),IFERROR(VALUE(_xlfn.REGEXEXTRACT([1]Planilha1!$E308,"por\s*(\d+)\s*M",2)),IF(_xlfn.REGEXTEST([1]Planilha1!$E308,"1[ºª]"),1,"")))</f>
        <v>3</v>
      </c>
      <c r="O308" s="6">
        <f t="shared" ca="1" si="19"/>
        <v>0.26650000000000001</v>
      </c>
      <c r="P308" t="str">
        <f ca="1">IF([1]Planilha1!$J308="","",TRIM([1]Planilha1!$J308))</f>
        <v>GLOBOPLAY</v>
      </c>
      <c r="Q308" s="7" t="str">
        <f>IF($D308="Claro","",IFERROR($L308-VLOOKUP($B308&amp;"|Claro",[1]AUX_CLARO!$A:$C,2,FALSE),""))</f>
        <v/>
      </c>
      <c r="R308" s="8" t="str">
        <f>IF($D308="Claro","",IFERROR($J308-VLOOKUP($B308&amp;"|Claro",[1]AUX_CLARO!$A:$C,3,FALSE),""))</f>
        <v/>
      </c>
      <c r="S308" t="str">
        <f t="shared" si="20"/>
        <v/>
      </c>
      <c r="T308" t="str">
        <f t="shared" si="21"/>
        <v/>
      </c>
      <c r="U308" s="9">
        <f t="shared" si="22"/>
        <v>46174</v>
      </c>
      <c r="V308" t="str">
        <f ca="1">IF(OR([1]Planilha1!$B308="",[1]Planilha1!$B308="NÃO MAPEADO"),"",TRIM([1]Planilha1!$B308))</f>
        <v>OESTE</v>
      </c>
      <c r="W308" t="str">
        <f ca="1">IF([1]Planilha1!$C308="","",TRIM([1]Planilha1!$C308))</f>
        <v>ESPECIAL</v>
      </c>
      <c r="X308" t="str">
        <f ca="1">IFERROR(VLOOKUP($C308,[1]Planilha2!$B:$H,7,FALSE),"")</f>
        <v>15130-001</v>
      </c>
    </row>
    <row r="309" spans="1:24" x14ac:dyDescent="0.35">
      <c r="A309" t="str">
        <f ca="1">IF(LEFT(TEXT([1]Planilha1!$L309,"0000000"),1)="5","MS","SP")</f>
        <v>SP</v>
      </c>
      <c r="B309" t="str">
        <f ca="1">IF(RIGHT([1]Planilha1!$A309,5)=" - MS",LEFT([1]Planilha1!$A309,LEN([1]Planilha1!$A309)-5),TRIM([1]Planilha1!$A309))</f>
        <v>MIRASSOL</v>
      </c>
      <c r="C309" s="2">
        <f ca="1">[1]Planilha1!$L309</f>
        <v>3530300</v>
      </c>
      <c r="D309" t="str">
        <f>TRIM([1]Planilha1!$D309)</f>
        <v>Vivo</v>
      </c>
      <c r="E309" t="str">
        <f>IF(TRIM([1]Planilha1!$D309)="Claro","Claro","Concorrente")</f>
        <v>Concorrente</v>
      </c>
      <c r="F309" t="s">
        <v>25</v>
      </c>
      <c r="G309" t="str">
        <f t="shared" ca="1" si="18"/>
        <v>Banda Larga + Movel</v>
      </c>
      <c r="H309" t="s">
        <v>26</v>
      </c>
      <c r="I309" t="str">
        <f ca="1">IF([1]Planilha1!$F309="","",TRIM([1]Planilha1!$F309))</f>
        <v>Fibra</v>
      </c>
      <c r="J309" s="11" t="s">
        <v>27</v>
      </c>
      <c r="K309" s="4" cm="1">
        <f t="array" aca="1" ref="K309" ca="1">IFERROR(VALUE(_xlfn.REGEXEXTRACT([1]Planilha1!$E309,"\+\s*(\d+)GB",2)),"")</f>
        <v>70</v>
      </c>
      <c r="L309" s="5">
        <v>160</v>
      </c>
      <c r="M309" s="5" t="str">
        <f ca="1">IF([1]Planilha1!$I309="","",[1]Planilha1!$I309)</f>
        <v/>
      </c>
      <c r="N309" s="2" t="str" cm="1">
        <f t="array" aca="1" ref="N309" ca="1">IFERROR(VALUE(_xlfn.REGEXEXTRACT([1]Planilha1!$E309,"(\d+)\s*MESES",2)),IFERROR(VALUE(_xlfn.REGEXEXTRACT([1]Planilha1!$E309,"por\s*(\d+)\s*M",2)),IF(_xlfn.REGEXTEST([1]Planilha1!$E309,"1[ºª]"),1,"")))</f>
        <v/>
      </c>
      <c r="O309" s="6" t="str">
        <f t="shared" si="19"/>
        <v/>
      </c>
      <c r="P309" t="str">
        <f ca="1">IF([1]Planilha1!$J309="","",TRIM([1]Planilha1!$J309))</f>
        <v>0</v>
      </c>
      <c r="Q309" s="7">
        <f ca="1">IF($D309="Claro","",IFERROR($L309-VLOOKUP($B309&amp;"|Claro",[1]AUX_CLARO!$A:$C,2,FALSE),""))</f>
        <v>9.9999999999994316E-2</v>
      </c>
      <c r="R309" s="8" t="str">
        <f ca="1">IF($D309="Claro","",IFERROR($J309-VLOOKUP($B309&amp;"|Claro",[1]AUX_CLARO!$A:$C,3,FALSE),""))</f>
        <v/>
      </c>
      <c r="S309" t="str">
        <f t="shared" ca="1" si="20"/>
        <v>Claro mais barata</v>
      </c>
      <c r="T309" t="str">
        <f t="shared" ca="1" si="21"/>
        <v/>
      </c>
      <c r="U309" s="9">
        <f t="shared" si="22"/>
        <v>46174</v>
      </c>
      <c r="V309" t="str">
        <f ca="1">IF(OR([1]Planilha1!$B309="",[1]Planilha1!$B309="NÃO MAPEADO"),"",TRIM([1]Planilha1!$B309))</f>
        <v>OESTE</v>
      </c>
      <c r="W309" t="str">
        <f ca="1">IF([1]Planilha1!$C309="","",TRIM([1]Planilha1!$C309))</f>
        <v>ESPECIAL</v>
      </c>
      <c r="X309" t="str">
        <f ca="1">IFERROR(VLOOKUP($C309,[1]Planilha2!$B:$H,7,FALSE),"")</f>
        <v>15130-001</v>
      </c>
    </row>
    <row r="310" spans="1:24" x14ac:dyDescent="0.35">
      <c r="A310" t="str">
        <f ca="1">IF(LEFT(TEXT([1]Planilha1!$L310,"0000000"),1)="5","MS","SP")</f>
        <v>SP</v>
      </c>
      <c r="B310" t="str">
        <f ca="1">IF(RIGHT([1]Planilha1!$A310,5)=" - MS",LEFT([1]Planilha1!$A310,LEN([1]Planilha1!$A310)-5),TRIM([1]Planilha1!$A310))</f>
        <v>MIRASSOL</v>
      </c>
      <c r="C310" s="2">
        <f ca="1">[1]Planilha1!$L310</f>
        <v>3530300</v>
      </c>
      <c r="D310" t="str">
        <f>TRIM([1]Planilha1!$D310)</f>
        <v>Desktop</v>
      </c>
      <c r="E310" t="str">
        <f>IF(TRIM([1]Planilha1!$D310)="Claro","Claro","Concorrente")</f>
        <v>Concorrente</v>
      </c>
      <c r="F310" t="s">
        <v>29</v>
      </c>
      <c r="G310" t="str">
        <f t="shared" ca="1" si="18"/>
        <v>Banda Larga + Conteudo</v>
      </c>
      <c r="H310" t="str">
        <f ca="1">TRIM([1]Planilha1!$E310)</f>
        <v>600M=R$49,99 por 2M, após R$89,99</v>
      </c>
      <c r="I310" t="str">
        <f ca="1">IF([1]Planilha1!$F310="","",TRIM([1]Planilha1!$F310))</f>
        <v>Fibra</v>
      </c>
      <c r="J310" s="3">
        <f ca="1">IF([1]Planilha1!$G310="","",[1]Planilha1!$G310)</f>
        <v>600</v>
      </c>
      <c r="K310" s="4" t="str" cm="1">
        <f t="array" aca="1" ref="K310" ca="1">IFERROR(VALUE(_xlfn.REGEXEXTRACT([1]Planilha1!$E310,"\+\s*(\d+)GB",2)),"")</f>
        <v/>
      </c>
      <c r="L310" s="5">
        <f ca="1">IF([1]Planilha1!$H310="","",[1]Planilha1!$H310)</f>
        <v>89.99</v>
      </c>
      <c r="M310" s="5">
        <f ca="1">IF([1]Planilha1!$I310="","",[1]Planilha1!$I310)</f>
        <v>49.99</v>
      </c>
      <c r="N310" s="2" cm="1">
        <f t="array" aca="1" ref="N310" ca="1">IFERROR(VALUE(_xlfn.REGEXEXTRACT([1]Planilha1!$E310,"(\d+)\s*MESES",2)),IFERROR(VALUE(_xlfn.REGEXEXTRACT([1]Planilha1!$E310,"por\s*(\d+)\s*M",2)),IF(_xlfn.REGEXTEST([1]Planilha1!$E310,"1[ºª]"),1,"")))</f>
        <v>2</v>
      </c>
      <c r="O310" s="6">
        <f t="shared" ca="1" si="19"/>
        <v>0.14998333333333333</v>
      </c>
      <c r="P310" t="str">
        <f ca="1">IF([1]Planilha1!$J310="","",TRIM([1]Planilha1!$J310))</f>
        <v>0</v>
      </c>
      <c r="Q310" s="7">
        <f ca="1">IF($D310="Claro","",IFERROR($L310-VLOOKUP($B310&amp;"|Claro",[1]AUX_CLARO!$A:$C,2,FALSE),""))</f>
        <v>-69.910000000000011</v>
      </c>
      <c r="R310" s="8">
        <f ca="1">IF($D310="Claro","",IFERROR($J310-VLOOKUP($B310&amp;"|Claro",[1]AUX_CLARO!$A:$C,3,FALSE),""))</f>
        <v>0</v>
      </c>
      <c r="S310" t="str">
        <f t="shared" ca="1" si="20"/>
        <v>Claro mais cara</v>
      </c>
      <c r="T310" t="str">
        <f t="shared" ca="1" si="21"/>
        <v>Mesma velocidade</v>
      </c>
      <c r="U310" s="9">
        <f t="shared" si="22"/>
        <v>46174</v>
      </c>
      <c r="V310" t="str">
        <f ca="1">IF(OR([1]Planilha1!$B310="",[1]Planilha1!$B310="NÃO MAPEADO"),"",TRIM([1]Planilha1!$B310))</f>
        <v>OESTE</v>
      </c>
      <c r="W310" t="str">
        <f ca="1">IF([1]Planilha1!$C310="","",TRIM([1]Planilha1!$C310))</f>
        <v>ESPECIAL</v>
      </c>
      <c r="X310" t="str">
        <f ca="1">IFERROR(VLOOKUP($C310,[1]Planilha2!$B:$H,7,FALSE),"")</f>
        <v>15130-001</v>
      </c>
    </row>
    <row r="311" spans="1:24" x14ac:dyDescent="0.35">
      <c r="A311" t="str">
        <f ca="1">IF(LEFT(TEXT([1]Planilha1!$L311,"0000000"),1)="5","MS","SP")</f>
        <v>SP</v>
      </c>
      <c r="B311" t="str">
        <f ca="1">IF(RIGHT([1]Planilha1!$A311,5)=" - MS",LEFT([1]Planilha1!$A311,LEN([1]Planilha1!$A311)-5),TRIM([1]Planilha1!$A311))</f>
        <v>MIRASSOL</v>
      </c>
      <c r="C311" s="2">
        <f ca="1">[1]Planilha1!$L311</f>
        <v>3530300</v>
      </c>
      <c r="D311" t="str">
        <f>TRIM([1]Planilha1!$D311)</f>
        <v>ISP LOCAL</v>
      </c>
      <c r="E311" t="str">
        <f>IF(TRIM([1]Planilha1!$D311)="Claro","Claro","Concorrente")</f>
        <v>Concorrente</v>
      </c>
      <c r="G311" t="str">
        <f t="shared" ca="1" si="18"/>
        <v>Banda Larga + Conteudo</v>
      </c>
      <c r="H311" t="str">
        <f ca="1">TRIM([1]Planilha1!$E311)</f>
        <v>EASY - 600M R$145,00</v>
      </c>
      <c r="I311" t="str">
        <f ca="1">IF([1]Planilha1!$F311="","",TRIM([1]Planilha1!$F311))</f>
        <v>Fibra</v>
      </c>
      <c r="J311" s="3">
        <f ca="1">IF([1]Planilha1!$G311="","",[1]Planilha1!$G311)</f>
        <v>600</v>
      </c>
      <c r="K311" s="4" t="str" cm="1">
        <f t="array" aca="1" ref="K311" ca="1">IFERROR(VALUE(_xlfn.REGEXEXTRACT([1]Planilha1!$E311,"\+\s*(\d+)GB",2)),"")</f>
        <v/>
      </c>
      <c r="L311" s="5">
        <f ca="1">IF([1]Planilha1!$H311="","",[1]Planilha1!$H311)</f>
        <v>145</v>
      </c>
      <c r="M311" s="5" t="str">
        <f ca="1">IF([1]Planilha1!$I311="","",[1]Planilha1!$I311)</f>
        <v/>
      </c>
      <c r="N311" s="2" t="str" cm="1">
        <f t="array" aca="1" ref="N311" ca="1">IFERROR(VALUE(_xlfn.REGEXEXTRACT([1]Planilha1!$E311,"(\d+)\s*MESES",2)),IFERROR(VALUE(_xlfn.REGEXEXTRACT([1]Planilha1!$E311,"por\s*(\d+)\s*M",2)),IF(_xlfn.REGEXTEST([1]Planilha1!$E311,"1[ºª]"),1,"")))</f>
        <v/>
      </c>
      <c r="O311" s="6">
        <f t="shared" ca="1" si="19"/>
        <v>0.24166666666666667</v>
      </c>
      <c r="P311" t="str">
        <f ca="1">IF([1]Planilha1!$J311="","",TRIM([1]Planilha1!$J311))</f>
        <v>0</v>
      </c>
      <c r="Q311" s="7">
        <f ca="1">IF($D311="Claro","",IFERROR($L311-VLOOKUP($B311&amp;"|Claro",[1]AUX_CLARO!$A:$C,2,FALSE),""))</f>
        <v>-14.900000000000006</v>
      </c>
      <c r="R311" s="8">
        <f ca="1">IF($D311="Claro","",IFERROR($J311-VLOOKUP($B311&amp;"|Claro",[1]AUX_CLARO!$A:$C,3,FALSE),""))</f>
        <v>0</v>
      </c>
      <c r="S311" t="str">
        <f t="shared" ca="1" si="20"/>
        <v>Claro mais cara</v>
      </c>
      <c r="T311" t="str">
        <f t="shared" ca="1" si="21"/>
        <v>Mesma velocidade</v>
      </c>
      <c r="U311" s="9">
        <f t="shared" si="22"/>
        <v>46174</v>
      </c>
      <c r="V311" t="str">
        <f ca="1">IF(OR([1]Planilha1!$B311="",[1]Planilha1!$B311="NÃO MAPEADO"),"",TRIM([1]Planilha1!$B311))</f>
        <v>OESTE</v>
      </c>
      <c r="W311" t="str">
        <f ca="1">IF([1]Planilha1!$C311="","",TRIM([1]Planilha1!$C311))</f>
        <v>ESPECIAL</v>
      </c>
      <c r="X311" t="str">
        <f ca="1">IFERROR(VLOOKUP($C311,[1]Planilha2!$B:$H,7,FALSE),"")</f>
        <v>15130-001</v>
      </c>
    </row>
    <row r="312" spans="1:24" x14ac:dyDescent="0.35">
      <c r="A312" t="str">
        <f ca="1">IF(LEFT(TEXT([1]Planilha1!$L312,"0000000"),1)="5","MS","SP")</f>
        <v>SP</v>
      </c>
      <c r="B312" t="str">
        <f ca="1">IF(RIGHT([1]Planilha1!$A312,5)=" - MS",LEFT([1]Planilha1!$A312,LEN([1]Planilha1!$A312)-5),TRIM([1]Planilha1!$A312))</f>
        <v>MOCOCA</v>
      </c>
      <c r="C312" s="2">
        <f ca="1">[1]Planilha1!$L312</f>
        <v>3530508</v>
      </c>
      <c r="D312" t="str">
        <f>TRIM([1]Planilha1!$D312)</f>
        <v>Claro</v>
      </c>
      <c r="E312" t="str">
        <f>IF(TRIM([1]Planilha1!$D312)="Claro","Claro","Concorrente")</f>
        <v>Claro</v>
      </c>
      <c r="F312" t="s">
        <v>24</v>
      </c>
      <c r="G312" t="str">
        <f t="shared" ca="1" si="18"/>
        <v>Banda Larga + Movel</v>
      </c>
      <c r="H312" t="str">
        <f ca="1">TRIM([1]Planilha1!$E312)</f>
        <v>600M+100GB=R$109,90 por 6M, após R$139,90</v>
      </c>
      <c r="I312" t="str">
        <f ca="1">IF([1]Planilha1!$F312="","",TRIM([1]Planilha1!$F312))</f>
        <v>Fibra</v>
      </c>
      <c r="J312" s="3">
        <f ca="1">IF([1]Planilha1!$G312="","",[1]Planilha1!$G312)</f>
        <v>600</v>
      </c>
      <c r="K312" s="4" cm="1">
        <f t="array" aca="1" ref="K312" ca="1">IFERROR(VALUE(_xlfn.REGEXEXTRACT([1]Planilha1!$E312,"\+\s*(\d+)GB",2)),"")</f>
        <v>100</v>
      </c>
      <c r="L312" s="5">
        <f ca="1">IF([1]Planilha1!$H312="","",[1]Planilha1!$H312)</f>
        <v>139.9</v>
      </c>
      <c r="M312" s="5">
        <f ca="1">IF([1]Planilha1!$I312="","",[1]Planilha1!$I312)</f>
        <v>109.9</v>
      </c>
      <c r="N312" s="2" cm="1">
        <f t="array" aca="1" ref="N312" ca="1">IFERROR(VALUE(_xlfn.REGEXEXTRACT([1]Planilha1!$E312,"(\d+)\s*MESES",2)),IFERROR(VALUE(_xlfn.REGEXEXTRACT([1]Planilha1!$E312,"por\s*(\d+)\s*M",2)),IF(_xlfn.REGEXTEST([1]Planilha1!$E312,"1[ºª]"),1,"")))</f>
        <v>6</v>
      </c>
      <c r="O312" s="6">
        <f t="shared" ca="1" si="19"/>
        <v>0.23316666666666669</v>
      </c>
      <c r="P312" t="str">
        <f ca="1">IF([1]Planilha1!$J312="","",TRIM([1]Planilha1!$J312))</f>
        <v>GLOBOPLAY</v>
      </c>
      <c r="Q312" s="7" t="str">
        <f>IF($D312="Claro","",IFERROR($L312-VLOOKUP($B312&amp;"|Claro",[1]AUX_CLARO!$A:$C,2,FALSE),""))</f>
        <v/>
      </c>
      <c r="R312" s="8" t="str">
        <f>IF($D312="Claro","",IFERROR($J312-VLOOKUP($B312&amp;"|Claro",[1]AUX_CLARO!$A:$C,3,FALSE),""))</f>
        <v/>
      </c>
      <c r="S312" t="str">
        <f t="shared" si="20"/>
        <v/>
      </c>
      <c r="T312" t="str">
        <f t="shared" si="21"/>
        <v/>
      </c>
      <c r="U312" s="9">
        <f t="shared" si="22"/>
        <v>46174</v>
      </c>
      <c r="V312" t="str">
        <f ca="1">IF(OR([1]Planilha1!$B312="",[1]Planilha1!$B312="NÃO MAPEADO"),"",TRIM([1]Planilha1!$B312))</f>
        <v>SUDESTE</v>
      </c>
      <c r="W312" t="str">
        <f ca="1">IF([1]Planilha1!$C312="","",TRIM([1]Planilha1!$C312))</f>
        <v>MD 2</v>
      </c>
      <c r="X312" s="12" t="str">
        <f ca="1">IFERROR(VLOOKUP($C312,[1]Planilha2!$B:$H,7,FALSE),"")</f>
        <v>13730-001</v>
      </c>
    </row>
    <row r="313" spans="1:24" x14ac:dyDescent="0.35">
      <c r="A313" t="str">
        <f ca="1">IF(LEFT(TEXT([1]Planilha1!$L313,"0000000"),1)="5","MS","SP")</f>
        <v>SP</v>
      </c>
      <c r="B313" t="str">
        <f ca="1">IF(RIGHT([1]Planilha1!$A313,5)=" - MS",LEFT([1]Planilha1!$A313,LEN([1]Planilha1!$A313)-5),TRIM([1]Planilha1!$A313))</f>
        <v>MOCOCA</v>
      </c>
      <c r="C313" s="2">
        <f ca="1">[1]Planilha1!$L313</f>
        <v>3530508</v>
      </c>
      <c r="D313" t="str">
        <f>TRIM([1]Planilha1!$D313)</f>
        <v>Vivo</v>
      </c>
      <c r="E313" t="str">
        <f>IF(TRIM([1]Planilha1!$D313)="Claro","Claro","Concorrente")</f>
        <v>Concorrente</v>
      </c>
      <c r="F313" t="s">
        <v>25</v>
      </c>
      <c r="G313" t="str">
        <f t="shared" ca="1" si="18"/>
        <v>Banda Larga + Movel</v>
      </c>
      <c r="H313" t="s">
        <v>26</v>
      </c>
      <c r="I313" t="str">
        <f ca="1">IF([1]Planilha1!$F313="","",TRIM([1]Planilha1!$F313))</f>
        <v>Fibra</v>
      </c>
      <c r="J313" s="11" t="s">
        <v>27</v>
      </c>
      <c r="K313" s="4" cm="1">
        <f t="array" aca="1" ref="K313" ca="1">IFERROR(VALUE(_xlfn.REGEXEXTRACT([1]Planilha1!$E313,"\+\s*(\d+)GB",2)),"")</f>
        <v>70</v>
      </c>
      <c r="L313" s="5">
        <v>160</v>
      </c>
      <c r="M313" s="5" t="str">
        <f ca="1">IF([1]Planilha1!$I313="","",[1]Planilha1!$I313)</f>
        <v/>
      </c>
      <c r="N313" s="2" t="str" cm="1">
        <f t="array" aca="1" ref="N313" ca="1">IFERROR(VALUE(_xlfn.REGEXEXTRACT([1]Planilha1!$E313,"(\d+)\s*MESES",2)),IFERROR(VALUE(_xlfn.REGEXEXTRACT([1]Planilha1!$E313,"por\s*(\d+)\s*M",2)),IF(_xlfn.REGEXTEST([1]Planilha1!$E313,"1[ºª]"),1,"")))</f>
        <v/>
      </c>
      <c r="O313" s="6" t="str">
        <f t="shared" si="19"/>
        <v/>
      </c>
      <c r="P313" t="str">
        <f ca="1">IF([1]Planilha1!$J313="","",TRIM([1]Planilha1!$J313))</f>
        <v>0</v>
      </c>
      <c r="Q313" s="7">
        <f ca="1">IF($D313="Claro","",IFERROR($L313-VLOOKUP($B313&amp;"|Claro",[1]AUX_CLARO!$A:$C,2,FALSE),""))</f>
        <v>20.099999999999994</v>
      </c>
      <c r="R313" s="8" t="str">
        <f ca="1">IF($D313="Claro","",IFERROR($J313-VLOOKUP($B313&amp;"|Claro",[1]AUX_CLARO!$A:$C,3,FALSE),""))</f>
        <v/>
      </c>
      <c r="S313" t="str">
        <f t="shared" ca="1" si="20"/>
        <v>Claro mais barata</v>
      </c>
      <c r="T313" t="str">
        <f t="shared" ca="1" si="21"/>
        <v/>
      </c>
      <c r="U313" s="9">
        <f t="shared" si="22"/>
        <v>46174</v>
      </c>
      <c r="V313" t="str">
        <f ca="1">IF(OR([1]Planilha1!$B313="",[1]Planilha1!$B313="NÃO MAPEADO"),"",TRIM([1]Planilha1!$B313))</f>
        <v>SUDESTE</v>
      </c>
      <c r="W313" t="str">
        <f ca="1">IF([1]Planilha1!$C313="","",TRIM([1]Planilha1!$C313))</f>
        <v>MD 2</v>
      </c>
      <c r="X313" s="12" t="str">
        <f ca="1">IFERROR(VLOOKUP($C313,[1]Planilha2!$B:$H,7,FALSE),"")</f>
        <v>13730-001</v>
      </c>
    </row>
    <row r="314" spans="1:24" x14ac:dyDescent="0.35">
      <c r="A314" t="str">
        <f ca="1">IF(LEFT(TEXT([1]Planilha1!$L314,"0000000"),1)="5","MS","SP")</f>
        <v>SP</v>
      </c>
      <c r="B314" t="str">
        <f ca="1">IF(RIGHT([1]Planilha1!$A314,5)=" - MS",LEFT([1]Planilha1!$A314,LEN([1]Planilha1!$A314)-5),TRIM([1]Planilha1!$A314))</f>
        <v>MOCOCA</v>
      </c>
      <c r="C314" s="2">
        <f ca="1">[1]Planilha1!$L314</f>
        <v>3530508</v>
      </c>
      <c r="D314" t="str">
        <f>TRIM([1]Planilha1!$D314)</f>
        <v>Alares</v>
      </c>
      <c r="E314" t="str">
        <f>IF(TRIM([1]Planilha1!$D314)="Claro","Claro","Concorrente")</f>
        <v>Concorrente</v>
      </c>
      <c r="F314" t="s">
        <v>32</v>
      </c>
      <c r="G314" t="str">
        <f t="shared" ca="1" si="18"/>
        <v>Banda Larga + Conteudo</v>
      </c>
      <c r="H314" t="str">
        <f ca="1">TRIM([1]Planilha1!$E314)</f>
        <v>1GB + GLOBOPLAY R$99,90</v>
      </c>
      <c r="I314" t="str">
        <f ca="1">IF([1]Planilha1!$F314="","",TRIM([1]Planilha1!$F314))</f>
        <v>Fibra</v>
      </c>
      <c r="J314" s="3">
        <f ca="1">IF([1]Planilha1!$G314="","",[1]Planilha1!$G314)</f>
        <v>1000</v>
      </c>
      <c r="K314" s="4" t="str" cm="1">
        <f t="array" aca="1" ref="K314" ca="1">IFERROR(VALUE(_xlfn.REGEXEXTRACT([1]Planilha1!$E314,"\+\s*(\d+)GB",2)),"")</f>
        <v/>
      </c>
      <c r="L314" s="5">
        <f ca="1">IF([1]Planilha1!$H314="","",[1]Planilha1!$H314)</f>
        <v>99.9</v>
      </c>
      <c r="M314" s="5" t="str">
        <f ca="1">IF([1]Planilha1!$I314="","",[1]Planilha1!$I314)</f>
        <v/>
      </c>
      <c r="N314" s="2" t="str" cm="1">
        <f t="array" aca="1" ref="N314" ca="1">IFERROR(VALUE(_xlfn.REGEXEXTRACT([1]Planilha1!$E314,"(\d+)\s*MESES",2)),IFERROR(VALUE(_xlfn.REGEXEXTRACT([1]Planilha1!$E314,"por\s*(\d+)\s*M",2)),IF(_xlfn.REGEXTEST([1]Planilha1!$E314,"1[ºª]"),1,"")))</f>
        <v/>
      </c>
      <c r="O314" s="6">
        <f t="shared" ca="1" si="19"/>
        <v>9.9900000000000003E-2</v>
      </c>
      <c r="P314" t="str">
        <f ca="1">IF([1]Planilha1!$J314="","",TRIM([1]Planilha1!$J314))</f>
        <v>GLOBOPLAY</v>
      </c>
      <c r="Q314" s="7">
        <f ca="1">IF($D314="Claro","",IFERROR($L314-VLOOKUP($B314&amp;"|Claro",[1]AUX_CLARO!$A:$C,2,FALSE),""))</f>
        <v>-40</v>
      </c>
      <c r="R314" s="8">
        <f ca="1">IF($D314="Claro","",IFERROR($J314-VLOOKUP($B314&amp;"|Claro",[1]AUX_CLARO!$A:$C,3,FALSE),""))</f>
        <v>400</v>
      </c>
      <c r="S314" t="str">
        <f t="shared" ca="1" si="20"/>
        <v>Claro mais cara</v>
      </c>
      <c r="T314" t="str">
        <f t="shared" ca="1" si="21"/>
        <v>Claro com menor velocidade</v>
      </c>
      <c r="U314" s="9">
        <f t="shared" si="22"/>
        <v>46174</v>
      </c>
      <c r="V314" t="str">
        <f ca="1">IF(OR([1]Planilha1!$B314="",[1]Planilha1!$B314="NÃO MAPEADO"),"",TRIM([1]Planilha1!$B314))</f>
        <v>SUDESTE</v>
      </c>
      <c r="W314" t="str">
        <f ca="1">IF([1]Planilha1!$C314="","",TRIM([1]Planilha1!$C314))</f>
        <v>MD 2</v>
      </c>
      <c r="X314" s="12" t="str">
        <f ca="1">IFERROR(VLOOKUP($C314,[1]Planilha2!$B:$H,7,FALSE),"")</f>
        <v>13730-001</v>
      </c>
    </row>
    <row r="315" spans="1:24" x14ac:dyDescent="0.35">
      <c r="A315" t="str">
        <f ca="1">IF(LEFT(TEXT([1]Planilha1!$L315,"0000000"),1)="5","MS","SP")</f>
        <v>SP</v>
      </c>
      <c r="B315" t="str">
        <f ca="1">IF(RIGHT([1]Planilha1!$A315,5)=" - MS",LEFT([1]Planilha1!$A315,LEN([1]Planilha1!$A315)-5),TRIM([1]Planilha1!$A315))</f>
        <v>MOCOCA</v>
      </c>
      <c r="C315" s="2">
        <f ca="1">[1]Planilha1!$L315</f>
        <v>3530508</v>
      </c>
      <c r="D315" t="str">
        <f>TRIM([1]Planilha1!$D315)</f>
        <v>ISP LOCAL</v>
      </c>
      <c r="E315" t="str">
        <f>IF(TRIM([1]Planilha1!$D315)="Claro","Claro","Concorrente")</f>
        <v>Concorrente</v>
      </c>
      <c r="G315" t="str">
        <f t="shared" ca="1" si="18"/>
        <v>Banda Larga + Conteudo</v>
      </c>
      <c r="H315" t="str">
        <f ca="1">TRIM([1]Planilha1!$E315)</f>
        <v>TELECOM - 600M R$59,90, 3 MESES, APÓS R$119,00</v>
      </c>
      <c r="I315" t="str">
        <f ca="1">IF([1]Planilha1!$F315="","",TRIM([1]Planilha1!$F315))</f>
        <v>Fibra</v>
      </c>
      <c r="J315" s="3">
        <f ca="1">IF([1]Planilha1!$G315="","",[1]Planilha1!$G315)</f>
        <v>600</v>
      </c>
      <c r="K315" s="4" t="str" cm="1">
        <f t="array" aca="1" ref="K315" ca="1">IFERROR(VALUE(_xlfn.REGEXEXTRACT([1]Planilha1!$E315,"\+\s*(\d+)GB",2)),"")</f>
        <v/>
      </c>
      <c r="L315" s="5">
        <f ca="1">IF([1]Planilha1!$H315="","",[1]Planilha1!$H315)</f>
        <v>119</v>
      </c>
      <c r="M315" s="5">
        <f ca="1">IF([1]Planilha1!$I315="","",[1]Planilha1!$I315)</f>
        <v>59.9</v>
      </c>
      <c r="N315" s="2" cm="1">
        <f t="array" aca="1" ref="N315" ca="1">IFERROR(VALUE(_xlfn.REGEXEXTRACT([1]Planilha1!$E315,"(\d+)\s*MESES",2)),IFERROR(VALUE(_xlfn.REGEXEXTRACT([1]Planilha1!$E315,"por\s*(\d+)\s*M",2)),IF(_xlfn.REGEXTEST([1]Planilha1!$E315,"1[ºª]"),1,"")))</f>
        <v>3</v>
      </c>
      <c r="O315" s="6">
        <f t="shared" ca="1" si="19"/>
        <v>0.19833333333333333</v>
      </c>
      <c r="P315" t="str">
        <f ca="1">IF([1]Planilha1!$J315="","",TRIM([1]Planilha1!$J315))</f>
        <v>0</v>
      </c>
      <c r="Q315" s="7">
        <f ca="1">IF($D315="Claro","",IFERROR($L315-VLOOKUP($B315&amp;"|Claro",[1]AUX_CLARO!$A:$C,2,FALSE),""))</f>
        <v>-20.900000000000006</v>
      </c>
      <c r="R315" s="8">
        <f ca="1">IF($D315="Claro","",IFERROR($J315-VLOOKUP($B315&amp;"|Claro",[1]AUX_CLARO!$A:$C,3,FALSE),""))</f>
        <v>0</v>
      </c>
      <c r="S315" t="str">
        <f t="shared" ca="1" si="20"/>
        <v>Claro mais cara</v>
      </c>
      <c r="T315" t="str">
        <f t="shared" ca="1" si="21"/>
        <v>Mesma velocidade</v>
      </c>
      <c r="U315" s="9">
        <f t="shared" si="22"/>
        <v>46174</v>
      </c>
      <c r="V315" t="str">
        <f ca="1">IF(OR([1]Planilha1!$B315="",[1]Planilha1!$B315="NÃO MAPEADO"),"",TRIM([1]Planilha1!$B315))</f>
        <v>SUDESTE</v>
      </c>
      <c r="W315" t="str">
        <f ca="1">IF([1]Planilha1!$C315="","",TRIM([1]Planilha1!$C315))</f>
        <v>MD 2</v>
      </c>
      <c r="X315" s="12" t="str">
        <f ca="1">IFERROR(VLOOKUP($C315,[1]Planilha2!$B:$H,7,FALSE),"")</f>
        <v>13730-001</v>
      </c>
    </row>
    <row r="316" spans="1:24" x14ac:dyDescent="0.35">
      <c r="A316" t="str">
        <f ca="1">IF(LEFT(TEXT([1]Planilha1!$L316,"0000000"),1)="5","MS","SP")</f>
        <v>SP</v>
      </c>
      <c r="B316" t="str">
        <f ca="1">IF(RIGHT([1]Planilha1!$A316,5)=" - MS",LEFT([1]Planilha1!$A316,LEN([1]Planilha1!$A316)-5),TRIM([1]Planilha1!$A316))</f>
        <v>MOGI GUACU</v>
      </c>
      <c r="C316" s="2">
        <f ca="1">[1]Planilha1!$L316</f>
        <v>3530706</v>
      </c>
      <c r="D316" t="str">
        <f>TRIM([1]Planilha1!$D316)</f>
        <v>Claro</v>
      </c>
      <c r="E316" t="str">
        <f>IF(TRIM([1]Planilha1!$D316)="Claro","Claro","Concorrente")</f>
        <v>Claro</v>
      </c>
      <c r="F316" t="s">
        <v>24</v>
      </c>
      <c r="G316" t="str">
        <f t="shared" ca="1" si="18"/>
        <v>Banda Larga + Movel</v>
      </c>
      <c r="H316" t="str">
        <f ca="1">TRIM([1]Planilha1!$E316)</f>
        <v>600M+100GB=R$159,90</v>
      </c>
      <c r="I316" t="str">
        <f ca="1">IF([1]Planilha1!$F316="","",TRIM([1]Planilha1!$F316))</f>
        <v>Fibra</v>
      </c>
      <c r="J316" s="3">
        <f ca="1">IF([1]Planilha1!$G316="","",[1]Planilha1!$G316)</f>
        <v>600</v>
      </c>
      <c r="K316" s="4" cm="1">
        <f t="array" aca="1" ref="K316" ca="1">IFERROR(VALUE(_xlfn.REGEXEXTRACT([1]Planilha1!$E316,"\+\s*(\d+)GB",2)),"")</f>
        <v>100</v>
      </c>
      <c r="L316" s="5">
        <f ca="1">IF([1]Planilha1!$H316="","",[1]Planilha1!$H316)</f>
        <v>159.9</v>
      </c>
      <c r="M316" s="5" t="str">
        <f ca="1">IF([1]Planilha1!$I316="","",[1]Planilha1!$I316)</f>
        <v/>
      </c>
      <c r="N316" s="2" t="str" cm="1">
        <f t="array" aca="1" ref="N316" ca="1">IFERROR(VALUE(_xlfn.REGEXEXTRACT([1]Planilha1!$E316,"(\d+)\s*MESES",2)),IFERROR(VALUE(_xlfn.REGEXEXTRACT([1]Planilha1!$E316,"por\s*(\d+)\s*M",2)),IF(_xlfn.REGEXTEST([1]Planilha1!$E316,"1[ºª]"),1,"")))</f>
        <v/>
      </c>
      <c r="O316" s="6">
        <f t="shared" ca="1" si="19"/>
        <v>0.26650000000000001</v>
      </c>
      <c r="P316" t="str">
        <f ca="1">IF([1]Planilha1!$J316="","",TRIM([1]Planilha1!$J316))</f>
        <v>GLOBOPLAY</v>
      </c>
      <c r="Q316" s="7" t="str">
        <f>IF($D316="Claro","",IFERROR($L316-VLOOKUP($B316&amp;"|Claro",[1]AUX_CLARO!$A:$C,2,FALSE),""))</f>
        <v/>
      </c>
      <c r="R316" s="8" t="str">
        <f>IF($D316="Claro","",IFERROR($J316-VLOOKUP($B316&amp;"|Claro",[1]AUX_CLARO!$A:$C,3,FALSE),""))</f>
        <v/>
      </c>
      <c r="S316" t="str">
        <f t="shared" si="20"/>
        <v/>
      </c>
      <c r="T316" t="str">
        <f t="shared" si="21"/>
        <v/>
      </c>
      <c r="U316" s="9">
        <f t="shared" si="22"/>
        <v>46174</v>
      </c>
      <c r="V316" t="str">
        <f ca="1">IF(OR([1]Planilha1!$B316="",[1]Planilha1!$B316="NÃO MAPEADO"),"",TRIM([1]Planilha1!$B316))</f>
        <v>CENTRAL</v>
      </c>
      <c r="W316" t="str">
        <f ca="1">IF([1]Planilha1!$C316="","",TRIM([1]Planilha1!$C316))</f>
        <v>PADRÃO</v>
      </c>
      <c r="X316" t="str">
        <f ca="1">IFERROR(VLOOKUP($C316,[1]Planilha2!$B:$H,7,FALSE),"")</f>
        <v>13840-001</v>
      </c>
    </row>
    <row r="317" spans="1:24" x14ac:dyDescent="0.35">
      <c r="A317" t="str">
        <f ca="1">IF(LEFT(TEXT([1]Planilha1!$L317,"0000000"),1)="5","MS","SP")</f>
        <v>SP</v>
      </c>
      <c r="B317" t="str">
        <f ca="1">IF(RIGHT([1]Planilha1!$A317,5)=" - MS",LEFT([1]Planilha1!$A317,LEN([1]Planilha1!$A317)-5),TRIM([1]Planilha1!$A317))</f>
        <v>MOGI GUACU</v>
      </c>
      <c r="C317" s="2">
        <f ca="1">[1]Planilha1!$L317</f>
        <v>3530706</v>
      </c>
      <c r="D317" t="str">
        <f>TRIM([1]Planilha1!$D317)</f>
        <v>Vivo</v>
      </c>
      <c r="E317" t="str">
        <f>IF(TRIM([1]Planilha1!$D317)="Claro","Claro","Concorrente")</f>
        <v>Concorrente</v>
      </c>
      <c r="F317" t="s">
        <v>25</v>
      </c>
      <c r="G317" t="str">
        <f t="shared" ca="1" si="18"/>
        <v>Banda Larga + Movel</v>
      </c>
      <c r="H317" t="s">
        <v>26</v>
      </c>
      <c r="I317" t="str">
        <f ca="1">IF([1]Planilha1!$F317="","",TRIM([1]Planilha1!$F317))</f>
        <v>Fibra</v>
      </c>
      <c r="J317" s="11" t="s">
        <v>27</v>
      </c>
      <c r="K317" s="4" cm="1">
        <f t="array" aca="1" ref="K317" ca="1">IFERROR(VALUE(_xlfn.REGEXEXTRACT([1]Planilha1!$E317,"\+\s*(\d+)GB",2)),"")</f>
        <v>70</v>
      </c>
      <c r="L317" s="5">
        <v>160</v>
      </c>
      <c r="M317" s="5" t="str">
        <f ca="1">IF([1]Planilha1!$I317="","",[1]Planilha1!$I317)</f>
        <v/>
      </c>
      <c r="N317" s="2" t="str" cm="1">
        <f t="array" aca="1" ref="N317" ca="1">IFERROR(VALUE(_xlfn.REGEXEXTRACT([1]Planilha1!$E317,"(\d+)\s*MESES",2)),IFERROR(VALUE(_xlfn.REGEXEXTRACT([1]Planilha1!$E317,"por\s*(\d+)\s*M",2)),IF(_xlfn.REGEXTEST([1]Planilha1!$E317,"1[ºª]"),1,"")))</f>
        <v/>
      </c>
      <c r="O317" s="6" t="str">
        <f t="shared" si="19"/>
        <v/>
      </c>
      <c r="P317" t="str">
        <f ca="1">IF([1]Planilha1!$J317="","",TRIM([1]Planilha1!$J317))</f>
        <v>0</v>
      </c>
      <c r="Q317" s="7">
        <f ca="1">IF($D317="Claro","",IFERROR($L317-VLOOKUP($B317&amp;"|Claro",[1]AUX_CLARO!$A:$C,2,FALSE),""))</f>
        <v>9.9999999999994316E-2</v>
      </c>
      <c r="R317" s="8" t="str">
        <f ca="1">IF($D317="Claro","",IFERROR($J317-VLOOKUP($B317&amp;"|Claro",[1]AUX_CLARO!$A:$C,3,FALSE),""))</f>
        <v/>
      </c>
      <c r="S317" t="str">
        <f t="shared" ca="1" si="20"/>
        <v>Claro mais barata</v>
      </c>
      <c r="T317" t="str">
        <f t="shared" ca="1" si="21"/>
        <v/>
      </c>
      <c r="U317" s="9">
        <f t="shared" si="22"/>
        <v>46174</v>
      </c>
      <c r="V317" t="str">
        <f ca="1">IF(OR([1]Planilha1!$B317="",[1]Planilha1!$B317="NÃO MAPEADO"),"",TRIM([1]Planilha1!$B317))</f>
        <v>CENTRAL</v>
      </c>
      <c r="W317" t="str">
        <f ca="1">IF([1]Planilha1!$C317="","",TRIM([1]Planilha1!$C317))</f>
        <v>PADRÃO</v>
      </c>
      <c r="X317" t="str">
        <f ca="1">IFERROR(VLOOKUP($C317,[1]Planilha2!$B:$H,7,FALSE),"")</f>
        <v>13840-001</v>
      </c>
    </row>
    <row r="318" spans="1:24" x14ac:dyDescent="0.35">
      <c r="A318" t="str">
        <f ca="1">IF(LEFT(TEXT([1]Planilha1!$L318,"0000000"),1)="5","MS","SP")</f>
        <v>SP</v>
      </c>
      <c r="B318" t="str">
        <f ca="1">IF(RIGHT([1]Planilha1!$A318,5)=" - MS",LEFT([1]Planilha1!$A318,LEN([1]Planilha1!$A318)-5),TRIM([1]Planilha1!$A318))</f>
        <v>MOGI GUACU</v>
      </c>
      <c r="C318" s="2">
        <f ca="1">[1]Planilha1!$L318</f>
        <v>3530706</v>
      </c>
      <c r="D318" t="str">
        <f>TRIM([1]Planilha1!$D318)</f>
        <v>Desktop</v>
      </c>
      <c r="E318" t="str">
        <f>IF(TRIM([1]Planilha1!$D318)="Claro","Claro","Concorrente")</f>
        <v>Concorrente</v>
      </c>
      <c r="F318" t="s">
        <v>29</v>
      </c>
      <c r="G318" t="str">
        <f t="shared" ca="1" si="18"/>
        <v>Banda Larga + Conteudo</v>
      </c>
      <c r="H318" t="str">
        <f ca="1">TRIM([1]Planilha1!$E318)</f>
        <v>600M=R$49,99 por 2M, após R$89,99</v>
      </c>
      <c r="I318" t="str">
        <f ca="1">IF([1]Planilha1!$F318="","",TRIM([1]Planilha1!$F318))</f>
        <v>Fibra</v>
      </c>
      <c r="J318" s="3">
        <f ca="1">IF([1]Planilha1!$G318="","",[1]Planilha1!$G318)</f>
        <v>600</v>
      </c>
      <c r="K318" s="4" t="str" cm="1">
        <f t="array" aca="1" ref="K318" ca="1">IFERROR(VALUE(_xlfn.REGEXEXTRACT([1]Planilha1!$E318,"\+\s*(\d+)GB",2)),"")</f>
        <v/>
      </c>
      <c r="L318" s="5">
        <f ca="1">IF([1]Planilha1!$H318="","",[1]Planilha1!$H318)</f>
        <v>89.99</v>
      </c>
      <c r="M318" s="5">
        <f ca="1">IF([1]Planilha1!$I318="","",[1]Planilha1!$I318)</f>
        <v>49.99</v>
      </c>
      <c r="N318" s="2" cm="1">
        <f t="array" aca="1" ref="N318" ca="1">IFERROR(VALUE(_xlfn.REGEXEXTRACT([1]Planilha1!$E318,"(\d+)\s*MESES",2)),IFERROR(VALUE(_xlfn.REGEXEXTRACT([1]Planilha1!$E318,"por\s*(\d+)\s*M",2)),IF(_xlfn.REGEXTEST([1]Planilha1!$E318,"1[ºª]"),1,"")))</f>
        <v>2</v>
      </c>
      <c r="O318" s="6">
        <f t="shared" ca="1" si="19"/>
        <v>0.14998333333333333</v>
      </c>
      <c r="P318" t="str">
        <f ca="1">IF([1]Planilha1!$J318="","",TRIM([1]Planilha1!$J318))</f>
        <v>0</v>
      </c>
      <c r="Q318" s="7">
        <f ca="1">IF($D318="Claro","",IFERROR($L318-VLOOKUP($B318&amp;"|Claro",[1]AUX_CLARO!$A:$C,2,FALSE),""))</f>
        <v>-69.910000000000011</v>
      </c>
      <c r="R318" s="8">
        <f ca="1">IF($D318="Claro","",IFERROR($J318-VLOOKUP($B318&amp;"|Claro",[1]AUX_CLARO!$A:$C,3,FALSE),""))</f>
        <v>0</v>
      </c>
      <c r="S318" t="str">
        <f t="shared" ca="1" si="20"/>
        <v>Claro mais cara</v>
      </c>
      <c r="T318" t="str">
        <f t="shared" ca="1" si="21"/>
        <v>Mesma velocidade</v>
      </c>
      <c r="U318" s="9">
        <f t="shared" si="22"/>
        <v>46174</v>
      </c>
      <c r="V318" t="str">
        <f ca="1">IF(OR([1]Planilha1!$B318="",[1]Planilha1!$B318="NÃO MAPEADO"),"",TRIM([1]Planilha1!$B318))</f>
        <v>CENTRAL</v>
      </c>
      <c r="W318" t="str">
        <f ca="1">IF([1]Planilha1!$C318="","",TRIM([1]Planilha1!$C318))</f>
        <v>PADRÃO</v>
      </c>
      <c r="X318" t="str">
        <f ca="1">IFERROR(VLOOKUP($C318,[1]Planilha2!$B:$H,7,FALSE),"")</f>
        <v>13840-001</v>
      </c>
    </row>
    <row r="319" spans="1:24" x14ac:dyDescent="0.35">
      <c r="A319" t="str">
        <f ca="1">IF(LEFT(TEXT([1]Planilha1!$L319,"0000000"),1)="5","MS","SP")</f>
        <v>SP</v>
      </c>
      <c r="B319" t="str">
        <f ca="1">IF(RIGHT([1]Planilha1!$A319,5)=" - MS",LEFT([1]Planilha1!$A319,LEN([1]Planilha1!$A319)-5),TRIM([1]Planilha1!$A319))</f>
        <v>MOGI GUACU</v>
      </c>
      <c r="C319" s="2">
        <f ca="1">[1]Planilha1!$L319</f>
        <v>3530706</v>
      </c>
      <c r="D319" t="str">
        <f>TRIM([1]Planilha1!$D319)</f>
        <v>Alares</v>
      </c>
      <c r="E319" t="str">
        <f>IF(TRIM([1]Planilha1!$D319)="Claro","Claro","Concorrente")</f>
        <v>Concorrente</v>
      </c>
      <c r="F319" t="s">
        <v>32</v>
      </c>
      <c r="G319" t="str">
        <f t="shared" ca="1" si="18"/>
        <v>Banda Larga + Conteudo</v>
      </c>
      <c r="H319" t="str">
        <f ca="1">TRIM([1]Planilha1!$E319)</f>
        <v>1GB + GLOBOPLAY R$99,90</v>
      </c>
      <c r="I319" t="str">
        <f ca="1">IF([1]Planilha1!$F319="","",TRIM([1]Planilha1!$F319))</f>
        <v>Fibra</v>
      </c>
      <c r="J319" s="3">
        <f ca="1">IF([1]Planilha1!$G319="","",[1]Planilha1!$G319)</f>
        <v>1000</v>
      </c>
      <c r="K319" s="4" t="str" cm="1">
        <f t="array" aca="1" ref="K319" ca="1">IFERROR(VALUE(_xlfn.REGEXEXTRACT([1]Planilha1!$E319,"\+\s*(\d+)GB",2)),"")</f>
        <v/>
      </c>
      <c r="L319" s="5">
        <f ca="1">IF([1]Planilha1!$H319="","",[1]Planilha1!$H319)</f>
        <v>99.9</v>
      </c>
      <c r="M319" s="5" t="str">
        <f ca="1">IF([1]Planilha1!$I319="","",[1]Planilha1!$I319)</f>
        <v/>
      </c>
      <c r="N319" s="2" t="str" cm="1">
        <f t="array" aca="1" ref="N319" ca="1">IFERROR(VALUE(_xlfn.REGEXEXTRACT([1]Planilha1!$E319,"(\d+)\s*MESES",2)),IFERROR(VALUE(_xlfn.REGEXEXTRACT([1]Planilha1!$E319,"por\s*(\d+)\s*M",2)),IF(_xlfn.REGEXTEST([1]Planilha1!$E319,"1[ºª]"),1,"")))</f>
        <v/>
      </c>
      <c r="O319" s="6">
        <f t="shared" ca="1" si="19"/>
        <v>9.9900000000000003E-2</v>
      </c>
      <c r="P319" t="str">
        <f ca="1">IF([1]Planilha1!$J319="","",TRIM([1]Planilha1!$J319))</f>
        <v>GLOBOPLAY</v>
      </c>
      <c r="Q319" s="7">
        <f ca="1">IF($D319="Claro","",IFERROR($L319-VLOOKUP($B319&amp;"|Claro",[1]AUX_CLARO!$A:$C,2,FALSE),""))</f>
        <v>-60</v>
      </c>
      <c r="R319" s="8">
        <f ca="1">IF($D319="Claro","",IFERROR($J319-VLOOKUP($B319&amp;"|Claro",[1]AUX_CLARO!$A:$C,3,FALSE),""))</f>
        <v>400</v>
      </c>
      <c r="S319" t="str">
        <f t="shared" ca="1" si="20"/>
        <v>Claro mais cara</v>
      </c>
      <c r="T319" t="str">
        <f t="shared" ca="1" si="21"/>
        <v>Claro com menor velocidade</v>
      </c>
      <c r="U319" s="9">
        <f t="shared" si="22"/>
        <v>46174</v>
      </c>
      <c r="V319" t="str">
        <f ca="1">IF(OR([1]Planilha1!$B319="",[1]Planilha1!$B319="NÃO MAPEADO"),"",TRIM([1]Planilha1!$B319))</f>
        <v>CENTRAL</v>
      </c>
      <c r="W319" t="str">
        <f ca="1">IF([1]Planilha1!$C319="","",TRIM([1]Planilha1!$C319))</f>
        <v>PADRÃO</v>
      </c>
      <c r="X319" t="str">
        <f ca="1">IFERROR(VLOOKUP($C319,[1]Planilha2!$B:$H,7,FALSE),"")</f>
        <v>13840-001</v>
      </c>
    </row>
    <row r="320" spans="1:24" x14ac:dyDescent="0.35">
      <c r="A320" t="str">
        <f ca="1">IF(LEFT(TEXT([1]Planilha1!$L320,"0000000"),1)="5","MS","SP")</f>
        <v>SP</v>
      </c>
      <c r="B320" t="str">
        <f ca="1">IF(RIGHT([1]Planilha1!$A320,5)=" - MS",LEFT([1]Planilha1!$A320,LEN([1]Planilha1!$A320)-5),TRIM([1]Planilha1!$A320))</f>
        <v>MOGI GUACU</v>
      </c>
      <c r="C320" s="2">
        <f ca="1">[1]Planilha1!$L320</f>
        <v>3530706</v>
      </c>
      <c r="D320" t="str">
        <f>TRIM([1]Planilha1!$D320)</f>
        <v>ISP LOCAL</v>
      </c>
      <c r="E320" t="str">
        <f>IF(TRIM([1]Planilha1!$D320)="Claro","Claro","Concorrente")</f>
        <v>Concorrente</v>
      </c>
      <c r="G320" t="str">
        <f t="shared" ca="1" si="18"/>
        <v>Banda Larga + Conteudo</v>
      </c>
      <c r="H320" t="str">
        <f ca="1">TRIM([1]Planilha1!$E320)</f>
        <v>NR CONEXÕES - 550M R$99,90</v>
      </c>
      <c r="I320" t="str">
        <f ca="1">IF([1]Planilha1!$F320="","",TRIM([1]Planilha1!$F320))</f>
        <v>Fibra</v>
      </c>
      <c r="J320" s="3">
        <f ca="1">IF([1]Planilha1!$G320="","",[1]Planilha1!$G320)</f>
        <v>550</v>
      </c>
      <c r="K320" s="4" t="str" cm="1">
        <f t="array" aca="1" ref="K320" ca="1">IFERROR(VALUE(_xlfn.REGEXEXTRACT([1]Planilha1!$E320,"\+\s*(\d+)GB",2)),"")</f>
        <v/>
      </c>
      <c r="L320" s="5">
        <f ca="1">IF([1]Planilha1!$H320="","",[1]Planilha1!$H320)</f>
        <v>99.9</v>
      </c>
      <c r="M320" s="5" t="str">
        <f ca="1">IF([1]Planilha1!$I320="","",[1]Planilha1!$I320)</f>
        <v/>
      </c>
      <c r="N320" s="2" t="str" cm="1">
        <f t="array" aca="1" ref="N320" ca="1">IFERROR(VALUE(_xlfn.REGEXEXTRACT([1]Planilha1!$E320,"(\d+)\s*MESES",2)),IFERROR(VALUE(_xlfn.REGEXEXTRACT([1]Planilha1!$E320,"por\s*(\d+)\s*M",2)),IF(_xlfn.REGEXTEST([1]Planilha1!$E320,"1[ºª]"),1,"")))</f>
        <v/>
      </c>
      <c r="O320" s="6">
        <f t="shared" ca="1" si="19"/>
        <v>0.18163636363636365</v>
      </c>
      <c r="P320" t="str">
        <f ca="1">IF([1]Planilha1!$J320="","",TRIM([1]Planilha1!$J320))</f>
        <v>0</v>
      </c>
      <c r="Q320" s="7">
        <f ca="1">IF($D320="Claro","",IFERROR($L320-VLOOKUP($B320&amp;"|Claro",[1]AUX_CLARO!$A:$C,2,FALSE),""))</f>
        <v>-60</v>
      </c>
      <c r="R320" s="8">
        <f ca="1">IF($D320="Claro","",IFERROR($J320-VLOOKUP($B320&amp;"|Claro",[1]AUX_CLARO!$A:$C,3,FALSE),""))</f>
        <v>-50</v>
      </c>
      <c r="S320" t="str">
        <f t="shared" ca="1" si="20"/>
        <v>Claro mais cara</v>
      </c>
      <c r="T320" t="str">
        <f t="shared" ca="1" si="21"/>
        <v>Claro com maior velocidade</v>
      </c>
      <c r="U320" s="9">
        <f t="shared" si="22"/>
        <v>46174</v>
      </c>
      <c r="V320" t="str">
        <f ca="1">IF(OR([1]Planilha1!$B320="",[1]Planilha1!$B320="NÃO MAPEADO"),"",TRIM([1]Planilha1!$B320))</f>
        <v>CENTRAL</v>
      </c>
      <c r="W320" t="str">
        <f ca="1">IF([1]Planilha1!$C320="","",TRIM([1]Planilha1!$C320))</f>
        <v>PADRÃO</v>
      </c>
      <c r="X320" t="str">
        <f ca="1">IFERROR(VLOOKUP($C320,[1]Planilha2!$B:$H,7,FALSE),"")</f>
        <v>13840-001</v>
      </c>
    </row>
    <row r="321" spans="1:24" x14ac:dyDescent="0.35">
      <c r="A321" t="str">
        <f ca="1">IF(LEFT(TEXT([1]Planilha1!$L321,"0000000"),1)="5","MS","SP")</f>
        <v>SP</v>
      </c>
      <c r="B321" t="str">
        <f ca="1">IF(RIGHT([1]Planilha1!$A321,5)=" - MS",LEFT([1]Planilha1!$A321,LEN([1]Planilha1!$A321)-5),TRIM([1]Planilha1!$A321))</f>
        <v>MOGI MIRIM</v>
      </c>
      <c r="C321" s="2">
        <f ca="1">[1]Planilha1!$L321</f>
        <v>3530805</v>
      </c>
      <c r="D321" t="str">
        <f>TRIM([1]Planilha1!$D321)</f>
        <v>Claro</v>
      </c>
      <c r="E321" t="str">
        <f>IF(TRIM([1]Planilha1!$D321)="Claro","Claro","Concorrente")</f>
        <v>Claro</v>
      </c>
      <c r="F321" t="s">
        <v>24</v>
      </c>
      <c r="G321" t="str">
        <f t="shared" ref="G321:G384" ca="1" si="23">IF($K321&lt;&gt;"","Banda Larga + Movel",IF($P321&lt;&gt;"","Banda Larga + Conteudo","Banda Larga"))</f>
        <v>Banda Larga + Movel</v>
      </c>
      <c r="H321" t="str">
        <f ca="1">TRIM([1]Planilha1!$E321)</f>
        <v>600M+100GB=R$159,90</v>
      </c>
      <c r="I321" t="str">
        <f ca="1">IF([1]Planilha1!$F321="","",TRIM([1]Planilha1!$F321))</f>
        <v>Fibra</v>
      </c>
      <c r="J321" s="3">
        <f ca="1">IF([1]Planilha1!$G321="","",[1]Planilha1!$G321)</f>
        <v>600</v>
      </c>
      <c r="K321" s="4" cm="1">
        <f t="array" aca="1" ref="K321" ca="1">IFERROR(VALUE(_xlfn.REGEXEXTRACT([1]Planilha1!$E321,"\+\s*(\d+)GB",2)),"")</f>
        <v>100</v>
      </c>
      <c r="L321" s="5">
        <f ca="1">IF([1]Planilha1!$H321="","",[1]Planilha1!$H321)</f>
        <v>159.9</v>
      </c>
      <c r="M321" s="5" t="str">
        <f ca="1">IF([1]Planilha1!$I321="","",[1]Planilha1!$I321)</f>
        <v/>
      </c>
      <c r="N321" s="2" t="str" cm="1">
        <f t="array" aca="1" ref="N321" ca="1">IFERROR(VALUE(_xlfn.REGEXEXTRACT([1]Planilha1!$E321,"(\d+)\s*MESES",2)),IFERROR(VALUE(_xlfn.REGEXEXTRACT([1]Planilha1!$E321,"por\s*(\d+)\s*M",2)),IF(_xlfn.REGEXTEST([1]Planilha1!$E321,"1[ºª]"),1,"")))</f>
        <v/>
      </c>
      <c r="O321" s="6">
        <f t="shared" ca="1" si="19"/>
        <v>0.26650000000000001</v>
      </c>
      <c r="P321" t="str">
        <f ca="1">IF([1]Planilha1!$J321="","",TRIM([1]Planilha1!$J321))</f>
        <v>GLOBOPLAY</v>
      </c>
      <c r="Q321" s="7" t="str">
        <f>IF($D321="Claro","",IFERROR($L321-VLOOKUP($B321&amp;"|Claro",[1]AUX_CLARO!$A:$C,2,FALSE),""))</f>
        <v/>
      </c>
      <c r="R321" s="8" t="str">
        <f>IF($D321="Claro","",IFERROR($J321-VLOOKUP($B321&amp;"|Claro",[1]AUX_CLARO!$A:$C,3,FALSE),""))</f>
        <v/>
      </c>
      <c r="S321" t="str">
        <f t="shared" si="20"/>
        <v/>
      </c>
      <c r="T321" t="str">
        <f t="shared" si="21"/>
        <v/>
      </c>
      <c r="U321" s="9">
        <f t="shared" si="22"/>
        <v>46174</v>
      </c>
      <c r="V321" t="str">
        <f ca="1">IF(OR([1]Planilha1!$B321="",[1]Planilha1!$B321="NÃO MAPEADO"),"",TRIM([1]Planilha1!$B321))</f>
        <v>CENTRAL</v>
      </c>
      <c r="W321" t="str">
        <f ca="1">IF([1]Planilha1!$C321="","",TRIM([1]Planilha1!$C321))</f>
        <v>PADRÃO</v>
      </c>
      <c r="X321" t="str">
        <f ca="1">IFERROR(VLOOKUP($C321,[1]Planilha2!$B:$H,7,FALSE),"")</f>
        <v>13800-001</v>
      </c>
    </row>
    <row r="322" spans="1:24" x14ac:dyDescent="0.35">
      <c r="A322" t="str">
        <f ca="1">IF(LEFT(TEXT([1]Planilha1!$L322,"0000000"),1)="5","MS","SP")</f>
        <v>SP</v>
      </c>
      <c r="B322" t="str">
        <f ca="1">IF(RIGHT([1]Planilha1!$A322,5)=" - MS",LEFT([1]Planilha1!$A322,LEN([1]Planilha1!$A322)-5),TRIM([1]Planilha1!$A322))</f>
        <v>MOGI MIRIM</v>
      </c>
      <c r="C322" s="2">
        <f ca="1">[1]Planilha1!$L322</f>
        <v>3530805</v>
      </c>
      <c r="D322" t="str">
        <f>TRIM([1]Planilha1!$D322)</f>
        <v>Vivo</v>
      </c>
      <c r="E322" t="str">
        <f>IF(TRIM([1]Planilha1!$D322)="Claro","Claro","Concorrente")</f>
        <v>Concorrente</v>
      </c>
      <c r="F322" t="s">
        <v>25</v>
      </c>
      <c r="G322" t="str">
        <f t="shared" ca="1" si="23"/>
        <v>Banda Larga + Movel</v>
      </c>
      <c r="H322" t="s">
        <v>26</v>
      </c>
      <c r="I322" t="str">
        <f ca="1">IF([1]Planilha1!$F322="","",TRIM([1]Planilha1!$F322))</f>
        <v>Fibra</v>
      </c>
      <c r="J322" s="11" t="s">
        <v>27</v>
      </c>
      <c r="K322" s="4" cm="1">
        <f t="array" aca="1" ref="K322" ca="1">IFERROR(VALUE(_xlfn.REGEXEXTRACT([1]Planilha1!$E322,"\+\s*(\d+)GB",2)),"")</f>
        <v>70</v>
      </c>
      <c r="L322" s="5">
        <v>160</v>
      </c>
      <c r="M322" s="5" t="str">
        <f ca="1">IF([1]Planilha1!$I322="","",[1]Planilha1!$I322)</f>
        <v/>
      </c>
      <c r="N322" s="2" t="str" cm="1">
        <f t="array" aca="1" ref="N322" ca="1">IFERROR(VALUE(_xlfn.REGEXEXTRACT([1]Planilha1!$E322,"(\d+)\s*MESES",2)),IFERROR(VALUE(_xlfn.REGEXEXTRACT([1]Planilha1!$E322,"por\s*(\d+)\s*M",2)),IF(_xlfn.REGEXTEST([1]Planilha1!$E322,"1[ºª]"),1,"")))</f>
        <v/>
      </c>
      <c r="O322" s="6" t="str">
        <f t="shared" si="19"/>
        <v/>
      </c>
      <c r="P322" t="str">
        <f ca="1">IF([1]Planilha1!$J322="","",TRIM([1]Planilha1!$J322))</f>
        <v>0</v>
      </c>
      <c r="Q322" s="7">
        <f ca="1">IF($D322="Claro","",IFERROR($L322-VLOOKUP($B322&amp;"|Claro",[1]AUX_CLARO!$A:$C,2,FALSE),""))</f>
        <v>9.9999999999994316E-2</v>
      </c>
      <c r="R322" s="8" t="str">
        <f ca="1">IF($D322="Claro","",IFERROR($J322-VLOOKUP($B322&amp;"|Claro",[1]AUX_CLARO!$A:$C,3,FALSE),""))</f>
        <v/>
      </c>
      <c r="S322" t="str">
        <f t="shared" ca="1" si="20"/>
        <v>Claro mais barata</v>
      </c>
      <c r="T322" t="str">
        <f t="shared" ca="1" si="21"/>
        <v/>
      </c>
      <c r="U322" s="9">
        <f t="shared" si="22"/>
        <v>46174</v>
      </c>
      <c r="V322" t="str">
        <f ca="1">IF(OR([1]Planilha1!$B322="",[1]Planilha1!$B322="NÃO MAPEADO"),"",TRIM([1]Planilha1!$B322))</f>
        <v>CENTRAL</v>
      </c>
      <c r="W322" t="str">
        <f ca="1">IF([1]Planilha1!$C322="","",TRIM([1]Planilha1!$C322))</f>
        <v>PADRÃO</v>
      </c>
      <c r="X322" t="str">
        <f ca="1">IFERROR(VLOOKUP($C322,[1]Planilha2!$B:$H,7,FALSE),"")</f>
        <v>13800-001</v>
      </c>
    </row>
    <row r="323" spans="1:24" x14ac:dyDescent="0.35">
      <c r="A323" t="str">
        <f ca="1">IF(LEFT(TEXT([1]Planilha1!$L323,"0000000"),1)="5","MS","SP")</f>
        <v>SP</v>
      </c>
      <c r="B323" t="str">
        <f ca="1">IF(RIGHT([1]Planilha1!$A323,5)=" - MS",LEFT([1]Planilha1!$A323,LEN([1]Planilha1!$A323)-5),TRIM([1]Planilha1!$A323))</f>
        <v>MOGI MIRIM</v>
      </c>
      <c r="C323" s="2">
        <f ca="1">[1]Planilha1!$L323</f>
        <v>3530805</v>
      </c>
      <c r="D323" t="str">
        <f>TRIM([1]Planilha1!$D323)</f>
        <v>Desktop</v>
      </c>
      <c r="E323" t="str">
        <f>IF(TRIM([1]Planilha1!$D323)="Claro","Claro","Concorrente")</f>
        <v>Concorrente</v>
      </c>
      <c r="F323" t="s">
        <v>29</v>
      </c>
      <c r="G323" t="str">
        <f t="shared" ca="1" si="23"/>
        <v>Banda Larga + Conteudo</v>
      </c>
      <c r="H323" t="str">
        <f ca="1">TRIM([1]Planilha1!$E323)</f>
        <v>600M=R$49,99 por 2M, após R$89,99</v>
      </c>
      <c r="I323" t="str">
        <f ca="1">IF([1]Planilha1!$F323="","",TRIM([1]Planilha1!$F323))</f>
        <v>Fibra</v>
      </c>
      <c r="J323" s="3">
        <f ca="1">IF([1]Planilha1!$G323="","",[1]Planilha1!$G323)</f>
        <v>600</v>
      </c>
      <c r="K323" s="4" t="str" cm="1">
        <f t="array" aca="1" ref="K323" ca="1">IFERROR(VALUE(_xlfn.REGEXEXTRACT([1]Planilha1!$E323,"\+\s*(\d+)GB",2)),"")</f>
        <v/>
      </c>
      <c r="L323" s="5">
        <f ca="1">IF([1]Planilha1!$H323="","",[1]Planilha1!$H323)</f>
        <v>89.99</v>
      </c>
      <c r="M323" s="5">
        <f ca="1">IF([1]Planilha1!$I323="","",[1]Planilha1!$I323)</f>
        <v>49.99</v>
      </c>
      <c r="N323" s="2" cm="1">
        <f t="array" aca="1" ref="N323" ca="1">IFERROR(VALUE(_xlfn.REGEXEXTRACT([1]Planilha1!$E323,"(\d+)\s*MESES",2)),IFERROR(VALUE(_xlfn.REGEXEXTRACT([1]Planilha1!$E323,"por\s*(\d+)\s*M",2)),IF(_xlfn.REGEXTEST([1]Planilha1!$E323,"1[ºª]"),1,"")))</f>
        <v>2</v>
      </c>
      <c r="O323" s="6">
        <f t="shared" ref="O323:O386" ca="1" si="24">IF(OR($L323="",$J323="",N($J323)=0),"",$L323/$J323)</f>
        <v>0.14998333333333333</v>
      </c>
      <c r="P323" t="str">
        <f ca="1">IF([1]Planilha1!$J323="","",TRIM([1]Planilha1!$J323))</f>
        <v>0</v>
      </c>
      <c r="Q323" s="7">
        <f ca="1">IF($D323="Claro","",IFERROR($L323-VLOOKUP($B323&amp;"|Claro",[1]AUX_CLARO!$A:$C,2,FALSE),""))</f>
        <v>-69.910000000000011</v>
      </c>
      <c r="R323" s="8">
        <f ca="1">IF($D323="Claro","",IFERROR($J323-VLOOKUP($B323&amp;"|Claro",[1]AUX_CLARO!$A:$C,3,FALSE),""))</f>
        <v>0</v>
      </c>
      <c r="S323" t="str">
        <f t="shared" ref="S323:S386" ca="1" si="25">IF($Q323="","",IF($Q323&gt;0,"Claro mais barata",IF($Q323=0,"Mesmo preco","Claro mais cara")))</f>
        <v>Claro mais cara</v>
      </c>
      <c r="T323" t="str">
        <f t="shared" ref="T323:T386" ca="1" si="26">IF($R323="","",IF($R323&lt;0,"Claro com maior velocidade",IF($R323=0,"Mesma velocidade","Claro com menor velocidade")))</f>
        <v>Mesma velocidade</v>
      </c>
      <c r="U323" s="9">
        <f t="shared" ref="U323:U386" si="27">DATE(2026,6,1)</f>
        <v>46174</v>
      </c>
      <c r="V323" t="str">
        <f ca="1">IF(OR([1]Planilha1!$B323="",[1]Planilha1!$B323="NÃO MAPEADO"),"",TRIM([1]Planilha1!$B323))</f>
        <v>CENTRAL</v>
      </c>
      <c r="W323" t="str">
        <f ca="1">IF([1]Planilha1!$C323="","",TRIM([1]Planilha1!$C323))</f>
        <v>PADRÃO</v>
      </c>
      <c r="X323" t="str">
        <f ca="1">IFERROR(VLOOKUP($C323,[1]Planilha2!$B:$H,7,FALSE),"")</f>
        <v>13800-001</v>
      </c>
    </row>
    <row r="324" spans="1:24" x14ac:dyDescent="0.35">
      <c r="A324" t="str">
        <f ca="1">IF(LEFT(TEXT([1]Planilha1!$L324,"0000000"),1)="5","MS","SP")</f>
        <v>SP</v>
      </c>
      <c r="B324" t="str">
        <f ca="1">IF(RIGHT([1]Planilha1!$A324,5)=" - MS",LEFT([1]Planilha1!$A324,LEN([1]Planilha1!$A324)-5),TRIM([1]Planilha1!$A324))</f>
        <v>MOGI MIRIM</v>
      </c>
      <c r="C324" s="2">
        <f ca="1">[1]Planilha1!$L324</f>
        <v>3530805</v>
      </c>
      <c r="D324" t="str">
        <f>TRIM([1]Planilha1!$D324)</f>
        <v>Alares</v>
      </c>
      <c r="E324" t="str">
        <f>IF(TRIM([1]Planilha1!$D324)="Claro","Claro","Concorrente")</f>
        <v>Concorrente</v>
      </c>
      <c r="F324" t="s">
        <v>32</v>
      </c>
      <c r="G324" t="str">
        <f t="shared" ca="1" si="23"/>
        <v>Banda Larga + Conteudo</v>
      </c>
      <c r="H324" t="str">
        <f ca="1">TRIM([1]Planilha1!$E324)</f>
        <v>1GB + GLOBOPLAY R$99,90</v>
      </c>
      <c r="I324" t="str">
        <f ca="1">IF([1]Planilha1!$F324="","",TRIM([1]Planilha1!$F324))</f>
        <v>Fibra</v>
      </c>
      <c r="J324" s="3">
        <f ca="1">IF([1]Planilha1!$G324="","",[1]Planilha1!$G324)</f>
        <v>1000</v>
      </c>
      <c r="K324" s="4" t="str" cm="1">
        <f t="array" aca="1" ref="K324" ca="1">IFERROR(VALUE(_xlfn.REGEXEXTRACT([1]Planilha1!$E324,"\+\s*(\d+)GB",2)),"")</f>
        <v/>
      </c>
      <c r="L324" s="5">
        <f ca="1">IF([1]Planilha1!$H324="","",[1]Planilha1!$H324)</f>
        <v>99.9</v>
      </c>
      <c r="M324" s="5" t="str">
        <f ca="1">IF([1]Planilha1!$I324="","",[1]Planilha1!$I324)</f>
        <v/>
      </c>
      <c r="N324" s="2" t="str" cm="1">
        <f t="array" aca="1" ref="N324" ca="1">IFERROR(VALUE(_xlfn.REGEXEXTRACT([1]Planilha1!$E324,"(\d+)\s*MESES",2)),IFERROR(VALUE(_xlfn.REGEXEXTRACT([1]Planilha1!$E324,"por\s*(\d+)\s*M",2)),IF(_xlfn.REGEXTEST([1]Planilha1!$E324,"1[ºª]"),1,"")))</f>
        <v/>
      </c>
      <c r="O324" s="6">
        <f t="shared" ca="1" si="24"/>
        <v>9.9900000000000003E-2</v>
      </c>
      <c r="P324" t="str">
        <f ca="1">IF([1]Planilha1!$J324="","",TRIM([1]Planilha1!$J324))</f>
        <v>GLOBOPLAY</v>
      </c>
      <c r="Q324" s="7">
        <f ca="1">IF($D324="Claro","",IFERROR($L324-VLOOKUP($B324&amp;"|Claro",[1]AUX_CLARO!$A:$C,2,FALSE),""))</f>
        <v>-60</v>
      </c>
      <c r="R324" s="8">
        <f ca="1">IF($D324="Claro","",IFERROR($J324-VLOOKUP($B324&amp;"|Claro",[1]AUX_CLARO!$A:$C,3,FALSE),""))</f>
        <v>400</v>
      </c>
      <c r="S324" t="str">
        <f t="shared" ca="1" si="25"/>
        <v>Claro mais cara</v>
      </c>
      <c r="T324" t="str">
        <f t="shared" ca="1" si="26"/>
        <v>Claro com menor velocidade</v>
      </c>
      <c r="U324" s="9">
        <f t="shared" si="27"/>
        <v>46174</v>
      </c>
      <c r="V324" t="str">
        <f ca="1">IF(OR([1]Planilha1!$B324="",[1]Planilha1!$B324="NÃO MAPEADO"),"",TRIM([1]Planilha1!$B324))</f>
        <v>CENTRAL</v>
      </c>
      <c r="W324" t="str">
        <f ca="1">IF([1]Planilha1!$C324="","",TRIM([1]Planilha1!$C324))</f>
        <v>PADRÃO</v>
      </c>
      <c r="X324" t="str">
        <f ca="1">IFERROR(VLOOKUP($C324,[1]Planilha2!$B:$H,7,FALSE),"")</f>
        <v>13800-001</v>
      </c>
    </row>
    <row r="325" spans="1:24" x14ac:dyDescent="0.35">
      <c r="A325" t="str">
        <f ca="1">IF(LEFT(TEXT([1]Planilha1!$L325,"0000000"),1)="5","MS","SP")</f>
        <v>SP</v>
      </c>
      <c r="B325" t="str">
        <f ca="1">IF(RIGHT([1]Planilha1!$A325,5)=" - MS",LEFT([1]Planilha1!$A325,LEN([1]Planilha1!$A325)-5),TRIM([1]Planilha1!$A325))</f>
        <v>MOGI MIRIM</v>
      </c>
      <c r="C325" s="2">
        <f ca="1">[1]Planilha1!$L325</f>
        <v>3530805</v>
      </c>
      <c r="D325" t="str">
        <f>TRIM([1]Planilha1!$D325)</f>
        <v>ISP LOCAL</v>
      </c>
      <c r="E325" t="str">
        <f>IF(TRIM([1]Planilha1!$D325)="Claro","Claro","Concorrente")</f>
        <v>Concorrente</v>
      </c>
      <c r="F325" t="s">
        <v>76</v>
      </c>
      <c r="G325" t="str">
        <f t="shared" ca="1" si="23"/>
        <v>Banda Larga + Conteudo</v>
      </c>
      <c r="H325" t="str">
        <f ca="1">TRIM([1]Planilha1!$E325)</f>
        <v>NEOLINK - 600M R$59,90, 2 MESES, APÓS R$99,90</v>
      </c>
      <c r="I325" t="str">
        <f ca="1">IF([1]Planilha1!$F325="","",TRIM([1]Planilha1!$F325))</f>
        <v>Fibra</v>
      </c>
      <c r="J325" s="3">
        <f ca="1">IF([1]Planilha1!$G325="","",[1]Planilha1!$G325)</f>
        <v>600</v>
      </c>
      <c r="K325" s="4" t="str" cm="1">
        <f t="array" aca="1" ref="K325" ca="1">IFERROR(VALUE(_xlfn.REGEXEXTRACT([1]Planilha1!$E325,"\+\s*(\d+)GB",2)),"")</f>
        <v/>
      </c>
      <c r="L325" s="5">
        <f ca="1">IF([1]Planilha1!$H325="","",[1]Planilha1!$H325)</f>
        <v>99.9</v>
      </c>
      <c r="M325" s="5">
        <f ca="1">IF([1]Planilha1!$I325="","",[1]Planilha1!$I325)</f>
        <v>59.9</v>
      </c>
      <c r="N325" s="2" cm="1">
        <f t="array" aca="1" ref="N325" ca="1">IFERROR(VALUE(_xlfn.REGEXEXTRACT([1]Planilha1!$E325,"(\d+)\s*MESES",2)),IFERROR(VALUE(_xlfn.REGEXEXTRACT([1]Planilha1!$E325,"por\s*(\d+)\s*M",2)),IF(_xlfn.REGEXTEST([1]Planilha1!$E325,"1[ºª]"),1,"")))</f>
        <v>2</v>
      </c>
      <c r="O325" s="6">
        <f t="shared" ca="1" si="24"/>
        <v>0.16650000000000001</v>
      </c>
      <c r="P325" t="str">
        <f ca="1">IF([1]Planilha1!$J325="","",TRIM([1]Planilha1!$J325))</f>
        <v>0</v>
      </c>
      <c r="Q325" s="7">
        <f ca="1">IF($D325="Claro","",IFERROR($L325-VLOOKUP($B325&amp;"|Claro",[1]AUX_CLARO!$A:$C,2,FALSE),""))</f>
        <v>-60</v>
      </c>
      <c r="R325" s="8">
        <f ca="1">IF($D325="Claro","",IFERROR($J325-VLOOKUP($B325&amp;"|Claro",[1]AUX_CLARO!$A:$C,3,FALSE),""))</f>
        <v>0</v>
      </c>
      <c r="S325" t="str">
        <f t="shared" ca="1" si="25"/>
        <v>Claro mais cara</v>
      </c>
      <c r="T325" t="str">
        <f t="shared" ca="1" si="26"/>
        <v>Mesma velocidade</v>
      </c>
      <c r="U325" s="9">
        <f t="shared" si="27"/>
        <v>46174</v>
      </c>
      <c r="V325" t="str">
        <f ca="1">IF(OR([1]Planilha1!$B325="",[1]Planilha1!$B325="NÃO MAPEADO"),"",TRIM([1]Planilha1!$B325))</f>
        <v>CENTRAL</v>
      </c>
      <c r="W325" t="str">
        <f ca="1">IF([1]Planilha1!$C325="","",TRIM([1]Planilha1!$C325))</f>
        <v>PADRÃO</v>
      </c>
      <c r="X325" t="str">
        <f ca="1">IFERROR(VLOOKUP($C325,[1]Planilha2!$B:$H,7,FALSE),"")</f>
        <v>13800-001</v>
      </c>
    </row>
    <row r="326" spans="1:24" x14ac:dyDescent="0.35">
      <c r="A326" t="str">
        <f ca="1">IF(LEFT(TEXT([1]Planilha1!$L326,"0000000"),1)="5","MS","SP")</f>
        <v>SP</v>
      </c>
      <c r="B326" t="str">
        <f ca="1">IF(RIGHT([1]Planilha1!$A326,5)=" - MS",LEFT([1]Planilha1!$A326,LEN([1]Planilha1!$A326)-5),TRIM([1]Planilha1!$A326))</f>
        <v>MONGAGUA</v>
      </c>
      <c r="C326" s="2">
        <f ca="1">[1]Planilha1!$L326</f>
        <v>3531100</v>
      </c>
      <c r="D326" t="str">
        <f>TRIM([1]Planilha1!$D326)</f>
        <v>Claro</v>
      </c>
      <c r="E326" t="str">
        <f>IF(TRIM([1]Planilha1!$D326)="Claro","Claro","Concorrente")</f>
        <v>Claro</v>
      </c>
      <c r="F326" t="s">
        <v>24</v>
      </c>
      <c r="G326" t="str">
        <f t="shared" ca="1" si="23"/>
        <v>Banda Larga + Movel</v>
      </c>
      <c r="H326" t="str">
        <f ca="1">TRIM([1]Planilha1!$E326)</f>
        <v>600M+100GB=R$119,90 por 3M, após R$159,90</v>
      </c>
      <c r="I326" t="str">
        <f ca="1">IF([1]Planilha1!$F326="","",TRIM([1]Planilha1!$F326))</f>
        <v>Fibra</v>
      </c>
      <c r="J326" s="3">
        <f ca="1">IF([1]Planilha1!$G326="","",[1]Planilha1!$G326)</f>
        <v>600</v>
      </c>
      <c r="K326" s="4" cm="1">
        <f t="array" aca="1" ref="K326" ca="1">IFERROR(VALUE(_xlfn.REGEXEXTRACT([1]Planilha1!$E326,"\+\s*(\d+)GB",2)),"")</f>
        <v>100</v>
      </c>
      <c r="L326" s="5">
        <f ca="1">IF([1]Planilha1!$H326="","",[1]Planilha1!$H326)</f>
        <v>159.9</v>
      </c>
      <c r="M326" s="5">
        <f ca="1">IF([1]Planilha1!$I326="","",[1]Planilha1!$I326)</f>
        <v>119.9</v>
      </c>
      <c r="N326" s="2" cm="1">
        <f t="array" aca="1" ref="N326" ca="1">IFERROR(VALUE(_xlfn.REGEXEXTRACT([1]Planilha1!$E326,"(\d+)\s*MESES",2)),IFERROR(VALUE(_xlfn.REGEXEXTRACT([1]Planilha1!$E326,"por\s*(\d+)\s*M",2)),IF(_xlfn.REGEXTEST([1]Planilha1!$E326,"1[ºª]"),1,"")))</f>
        <v>3</v>
      </c>
      <c r="O326" s="6">
        <f t="shared" ca="1" si="24"/>
        <v>0.26650000000000001</v>
      </c>
      <c r="P326" t="str">
        <f ca="1">IF([1]Planilha1!$J326="","",TRIM([1]Planilha1!$J326))</f>
        <v>GLOBOPLAY</v>
      </c>
      <c r="Q326" s="7" t="str">
        <f>IF($D326="Claro","",IFERROR($L326-VLOOKUP($B326&amp;"|Claro",[1]AUX_CLARO!$A:$C,2,FALSE),""))</f>
        <v/>
      </c>
      <c r="R326" s="8" t="str">
        <f>IF($D326="Claro","",IFERROR($J326-VLOOKUP($B326&amp;"|Claro",[1]AUX_CLARO!$A:$C,3,FALSE),""))</f>
        <v/>
      </c>
      <c r="S326" t="str">
        <f t="shared" si="25"/>
        <v/>
      </c>
      <c r="T326" t="str">
        <f t="shared" si="26"/>
        <v/>
      </c>
      <c r="U326" s="9">
        <f t="shared" si="27"/>
        <v>46174</v>
      </c>
      <c r="V326" t="str">
        <f ca="1">IF(OR([1]Planilha1!$B326="",[1]Planilha1!$B326="NÃO MAPEADO"),"",TRIM([1]Planilha1!$B326))</f>
        <v>LITORAL</v>
      </c>
      <c r="W326" t="str">
        <f ca="1">IF([1]Planilha1!$C326="","",TRIM([1]Planilha1!$C326))</f>
        <v>ESPECIAL</v>
      </c>
      <c r="X326" t="str">
        <f ca="1">IFERROR(VLOOKUP($C326,[1]Planilha2!$B:$H,7,FALSE),"")</f>
        <v>11730-001</v>
      </c>
    </row>
    <row r="327" spans="1:24" x14ac:dyDescent="0.35">
      <c r="A327" t="str">
        <f ca="1">IF(LEFT(TEXT([1]Planilha1!$L327,"0000000"),1)="5","MS","SP")</f>
        <v>SP</v>
      </c>
      <c r="B327" t="str">
        <f ca="1">IF(RIGHT([1]Planilha1!$A327,5)=" - MS",LEFT([1]Planilha1!$A327,LEN([1]Planilha1!$A327)-5),TRIM([1]Planilha1!$A327))</f>
        <v>MONGAGUA</v>
      </c>
      <c r="C327" s="2">
        <f ca="1">[1]Planilha1!$L327</f>
        <v>3531100</v>
      </c>
      <c r="D327" t="str">
        <f>TRIM([1]Planilha1!$D327)</f>
        <v>Desktop</v>
      </c>
      <c r="E327" t="str">
        <f>IF(TRIM([1]Planilha1!$D327)="Claro","Claro","Concorrente")</f>
        <v>Concorrente</v>
      </c>
      <c r="F327" t="s">
        <v>29</v>
      </c>
      <c r="G327" t="str">
        <f t="shared" ca="1" si="23"/>
        <v>Banda Larga + Conteudo</v>
      </c>
      <c r="H327" t="str">
        <f ca="1">TRIM([1]Planilha1!$E327)</f>
        <v>600M=R$49,99 por 2M, após R$89,99</v>
      </c>
      <c r="I327" t="str">
        <f ca="1">IF([1]Planilha1!$F327="","",TRIM([1]Planilha1!$F327))</f>
        <v>Fibra</v>
      </c>
      <c r="J327" s="3">
        <f ca="1">IF([1]Planilha1!$G327="","",[1]Planilha1!$G327)</f>
        <v>600</v>
      </c>
      <c r="K327" s="4" t="str" cm="1">
        <f t="array" aca="1" ref="K327" ca="1">IFERROR(VALUE(_xlfn.REGEXEXTRACT([1]Planilha1!$E327,"\+\s*(\d+)GB",2)),"")</f>
        <v/>
      </c>
      <c r="L327" s="5">
        <f ca="1">IF([1]Planilha1!$H327="","",[1]Planilha1!$H327)</f>
        <v>89.99</v>
      </c>
      <c r="M327" s="5">
        <f ca="1">IF([1]Planilha1!$I327="","",[1]Planilha1!$I327)</f>
        <v>49.99</v>
      </c>
      <c r="N327" s="2" cm="1">
        <f t="array" aca="1" ref="N327" ca="1">IFERROR(VALUE(_xlfn.REGEXEXTRACT([1]Planilha1!$E327,"(\d+)\s*MESES",2)),IFERROR(VALUE(_xlfn.REGEXEXTRACT([1]Planilha1!$E327,"por\s*(\d+)\s*M",2)),IF(_xlfn.REGEXTEST([1]Planilha1!$E327,"1[ºª]"),1,"")))</f>
        <v>2</v>
      </c>
      <c r="O327" s="6">
        <f t="shared" ca="1" si="24"/>
        <v>0.14998333333333333</v>
      </c>
      <c r="P327" t="str">
        <f ca="1">IF([1]Planilha1!$J327="","",TRIM([1]Planilha1!$J327))</f>
        <v>0</v>
      </c>
      <c r="Q327" s="7">
        <f ca="1">IF($D327="Claro","",IFERROR($L327-VLOOKUP($B327&amp;"|Claro",[1]AUX_CLARO!$A:$C,2,FALSE),""))</f>
        <v>-69.910000000000011</v>
      </c>
      <c r="R327" s="8">
        <f ca="1">IF($D327="Claro","",IFERROR($J327-VLOOKUP($B327&amp;"|Claro",[1]AUX_CLARO!$A:$C,3,FALSE),""))</f>
        <v>0</v>
      </c>
      <c r="S327" t="str">
        <f t="shared" ca="1" si="25"/>
        <v>Claro mais cara</v>
      </c>
      <c r="T327" t="str">
        <f t="shared" ca="1" si="26"/>
        <v>Mesma velocidade</v>
      </c>
      <c r="U327" s="9">
        <f t="shared" si="27"/>
        <v>46174</v>
      </c>
      <c r="V327" t="str">
        <f ca="1">IF(OR([1]Planilha1!$B327="",[1]Planilha1!$B327="NÃO MAPEADO"),"",TRIM([1]Planilha1!$B327))</f>
        <v>LITORAL</v>
      </c>
      <c r="W327" t="str">
        <f ca="1">IF([1]Planilha1!$C327="","",TRIM([1]Planilha1!$C327))</f>
        <v>ESPECIAL</v>
      </c>
      <c r="X327" t="str">
        <f ca="1">IFERROR(VLOOKUP($C327,[1]Planilha2!$B:$H,7,FALSE),"")</f>
        <v>11730-001</v>
      </c>
    </row>
    <row r="328" spans="1:24" x14ac:dyDescent="0.35">
      <c r="A328" t="str">
        <f ca="1">IF(LEFT(TEXT([1]Planilha1!$L328,"0000000"),1)="5","MS","SP")</f>
        <v>SP</v>
      </c>
      <c r="B328" t="str">
        <f ca="1">IF(RIGHT([1]Planilha1!$A328,5)=" - MS",LEFT([1]Planilha1!$A328,LEN([1]Planilha1!$A328)-5),TRIM([1]Planilha1!$A328))</f>
        <v>MONGAGUA</v>
      </c>
      <c r="C328" s="2">
        <f ca="1">[1]Planilha1!$L328</f>
        <v>3531100</v>
      </c>
      <c r="D328" t="str">
        <f>TRIM([1]Planilha1!$D328)</f>
        <v>ISP LOCAL</v>
      </c>
      <c r="E328" t="str">
        <f>IF(TRIM([1]Planilha1!$D328)="Claro","Claro","Concorrente")</f>
        <v>Concorrente</v>
      </c>
      <c r="F328" t="s">
        <v>65</v>
      </c>
      <c r="G328" t="str">
        <f t="shared" ca="1" si="23"/>
        <v>Banda Larga + Conteudo</v>
      </c>
      <c r="H328" t="str">
        <f ca="1">TRIM([1]Planilha1!$E328)</f>
        <v>ETECCNET - 600M R$109,90</v>
      </c>
      <c r="I328" t="str">
        <f ca="1">IF([1]Planilha1!$F328="","",TRIM([1]Planilha1!$F328))</f>
        <v>Fibra</v>
      </c>
      <c r="J328" s="3">
        <f ca="1">IF([1]Planilha1!$G328="","",[1]Planilha1!$G328)</f>
        <v>600</v>
      </c>
      <c r="K328" s="4" t="str" cm="1">
        <f t="array" aca="1" ref="K328" ca="1">IFERROR(VALUE(_xlfn.REGEXEXTRACT([1]Planilha1!$E328,"\+\s*(\d+)GB",2)),"")</f>
        <v/>
      </c>
      <c r="L328" s="5">
        <f ca="1">IF([1]Planilha1!$H328="","",[1]Planilha1!$H328)</f>
        <v>109.9</v>
      </c>
      <c r="M328" s="5" t="str">
        <f ca="1">IF([1]Planilha1!$I328="","",[1]Planilha1!$I328)</f>
        <v/>
      </c>
      <c r="N328" s="2" t="str" cm="1">
        <f t="array" aca="1" ref="N328" ca="1">IFERROR(VALUE(_xlfn.REGEXEXTRACT([1]Planilha1!$E328,"(\d+)\s*MESES",2)),IFERROR(VALUE(_xlfn.REGEXEXTRACT([1]Planilha1!$E328,"por\s*(\d+)\s*M",2)),IF(_xlfn.REGEXTEST([1]Planilha1!$E328,"1[ºª]"),1,"")))</f>
        <v/>
      </c>
      <c r="O328" s="6">
        <f t="shared" ca="1" si="24"/>
        <v>0.18316666666666667</v>
      </c>
      <c r="P328" t="str">
        <f ca="1">IF([1]Planilha1!$J328="","",TRIM([1]Planilha1!$J328))</f>
        <v>0</v>
      </c>
      <c r="Q328" s="7">
        <f ca="1">IF($D328="Claro","",IFERROR($L328-VLOOKUP($B328&amp;"|Claro",[1]AUX_CLARO!$A:$C,2,FALSE),""))</f>
        <v>-50</v>
      </c>
      <c r="R328" s="8">
        <f ca="1">IF($D328="Claro","",IFERROR($J328-VLOOKUP($B328&amp;"|Claro",[1]AUX_CLARO!$A:$C,3,FALSE),""))</f>
        <v>0</v>
      </c>
      <c r="S328" t="str">
        <f t="shared" ca="1" si="25"/>
        <v>Claro mais cara</v>
      </c>
      <c r="T328" t="str">
        <f t="shared" ca="1" si="26"/>
        <v>Mesma velocidade</v>
      </c>
      <c r="U328" s="9">
        <f t="shared" si="27"/>
        <v>46174</v>
      </c>
      <c r="V328" t="str">
        <f ca="1">IF(OR([1]Planilha1!$B328="",[1]Planilha1!$B328="NÃO MAPEADO"),"",TRIM([1]Planilha1!$B328))</f>
        <v>LITORAL</v>
      </c>
      <c r="W328" t="str">
        <f ca="1">IF([1]Planilha1!$C328="","",TRIM([1]Planilha1!$C328))</f>
        <v>ESPECIAL</v>
      </c>
      <c r="X328" t="str">
        <f ca="1">IFERROR(VLOOKUP($C328,[1]Planilha2!$B:$H,7,FALSE),"")</f>
        <v>11730-001</v>
      </c>
    </row>
    <row r="329" spans="1:24" x14ac:dyDescent="0.35">
      <c r="A329" t="str">
        <f ca="1">IF(LEFT(TEXT([1]Planilha1!$L329,"0000000"),1)="5","MS","SP")</f>
        <v>SP</v>
      </c>
      <c r="B329" t="str">
        <f ca="1">IF(RIGHT([1]Planilha1!$A329,5)=" - MS",LEFT([1]Planilha1!$A329,LEN([1]Planilha1!$A329)-5),TRIM([1]Planilha1!$A329))</f>
        <v>MONTE ALTO</v>
      </c>
      <c r="C329" s="2">
        <f ca="1">[1]Planilha1!$L329</f>
        <v>3531308</v>
      </c>
      <c r="D329" t="str">
        <f>TRIM([1]Planilha1!$D329)</f>
        <v>Claro</v>
      </c>
      <c r="E329" t="str">
        <f>IF(TRIM([1]Planilha1!$D329)="Claro","Claro","Concorrente")</f>
        <v>Claro</v>
      </c>
      <c r="F329" t="s">
        <v>24</v>
      </c>
      <c r="G329" t="str">
        <f t="shared" ca="1" si="23"/>
        <v>Banda Larga + Movel</v>
      </c>
      <c r="H329" t="str">
        <f ca="1">TRIM([1]Planilha1!$E329)</f>
        <v>600M+100GB=R$109,90 por 6M, após R$139,90</v>
      </c>
      <c r="I329" t="str">
        <f ca="1">IF([1]Planilha1!$F329="","",TRIM([1]Planilha1!$F329))</f>
        <v>Fibra</v>
      </c>
      <c r="J329" s="3">
        <f ca="1">IF([1]Planilha1!$G329="","",[1]Planilha1!$G329)</f>
        <v>600</v>
      </c>
      <c r="K329" s="4" cm="1">
        <f t="array" aca="1" ref="K329" ca="1">IFERROR(VALUE(_xlfn.REGEXEXTRACT([1]Planilha1!$E329,"\+\s*(\d+)GB",2)),"")</f>
        <v>100</v>
      </c>
      <c r="L329" s="5">
        <f ca="1">IF([1]Planilha1!$H329="","",[1]Planilha1!$H329)</f>
        <v>139.9</v>
      </c>
      <c r="M329" s="5">
        <f ca="1">IF([1]Planilha1!$I329="","",[1]Planilha1!$I329)</f>
        <v>109.9</v>
      </c>
      <c r="N329" s="2" cm="1">
        <f t="array" aca="1" ref="N329" ca="1">IFERROR(VALUE(_xlfn.REGEXEXTRACT([1]Planilha1!$E329,"(\d+)\s*MESES",2)),IFERROR(VALUE(_xlfn.REGEXEXTRACT([1]Planilha1!$E329,"por\s*(\d+)\s*M",2)),IF(_xlfn.REGEXTEST([1]Planilha1!$E329,"1[ºª]"),1,"")))</f>
        <v>6</v>
      </c>
      <c r="O329" s="6">
        <f t="shared" ca="1" si="24"/>
        <v>0.23316666666666669</v>
      </c>
      <c r="P329" t="str">
        <f ca="1">IF([1]Planilha1!$J329="","",TRIM([1]Planilha1!$J329))</f>
        <v>GLOBOPLAY</v>
      </c>
      <c r="Q329" s="7" t="str">
        <f>IF($D329="Claro","",IFERROR($L329-VLOOKUP($B329&amp;"|Claro",[1]AUX_CLARO!$A:$C,2,FALSE),""))</f>
        <v/>
      </c>
      <c r="R329" s="8" t="str">
        <f>IF($D329="Claro","",IFERROR($J329-VLOOKUP($B329&amp;"|Claro",[1]AUX_CLARO!$A:$C,3,FALSE),""))</f>
        <v/>
      </c>
      <c r="S329" t="str">
        <f t="shared" si="25"/>
        <v/>
      </c>
      <c r="T329" t="str">
        <f t="shared" si="26"/>
        <v/>
      </c>
      <c r="U329" s="9">
        <f t="shared" si="27"/>
        <v>46174</v>
      </c>
      <c r="V329" t="str">
        <f ca="1">IF(OR([1]Planilha1!$B329="",[1]Planilha1!$B329="NÃO MAPEADO"),"",TRIM([1]Planilha1!$B329))</f>
        <v>NOROESTE</v>
      </c>
      <c r="W329" t="str">
        <f ca="1">IF([1]Planilha1!$C329="","",TRIM([1]Planilha1!$C329))</f>
        <v>MD 2</v>
      </c>
      <c r="X329" t="str">
        <f ca="1">IFERROR(VLOOKUP($C329,[1]Planilha2!$B:$H,7,FALSE),"")</f>
        <v>15910-001</v>
      </c>
    </row>
    <row r="330" spans="1:24" x14ac:dyDescent="0.35">
      <c r="A330" t="str">
        <f ca="1">IF(LEFT(TEXT([1]Planilha1!$L330,"0000000"),1)="5","MS","SP")</f>
        <v>SP</v>
      </c>
      <c r="B330" t="str">
        <f ca="1">IF(RIGHT([1]Planilha1!$A330,5)=" - MS",LEFT([1]Planilha1!$A330,LEN([1]Planilha1!$A330)-5),TRIM([1]Planilha1!$A330))</f>
        <v>MONTE ALTO</v>
      </c>
      <c r="C330" s="2">
        <f ca="1">[1]Planilha1!$L330</f>
        <v>3531308</v>
      </c>
      <c r="D330" t="str">
        <f>TRIM([1]Planilha1!$D330)</f>
        <v>Desktop</v>
      </c>
      <c r="E330" t="str">
        <f>IF(TRIM([1]Planilha1!$D330)="Claro","Claro","Concorrente")</f>
        <v>Concorrente</v>
      </c>
      <c r="F330" t="s">
        <v>29</v>
      </c>
      <c r="G330" t="str">
        <f t="shared" ca="1" si="23"/>
        <v>Banda Larga + Movel</v>
      </c>
      <c r="H330" t="str">
        <f ca="1">TRIM([1]Planilha1!$E330)</f>
        <v>600M+15GB=R$129,99 - 6 MESES, APÓS R$139,99</v>
      </c>
      <c r="I330" t="str">
        <f ca="1">IF([1]Planilha1!$F330="","",TRIM([1]Planilha1!$F330))</f>
        <v>Fibra</v>
      </c>
      <c r="J330" s="3">
        <f ca="1">IF([1]Planilha1!$G330="","",[1]Planilha1!$G330)</f>
        <v>600</v>
      </c>
      <c r="K330" s="4" cm="1">
        <f t="array" aca="1" ref="K330" ca="1">IFERROR(VALUE(_xlfn.REGEXEXTRACT([1]Planilha1!$E330,"\+\s*(\d+)GB",2)),"")</f>
        <v>15</v>
      </c>
      <c r="L330" s="5">
        <f ca="1">IF([1]Planilha1!$H330="","",[1]Planilha1!$H330)</f>
        <v>139.99</v>
      </c>
      <c r="M330" s="5">
        <f ca="1">IF([1]Planilha1!$I330="","",[1]Planilha1!$I330)</f>
        <v>129.99</v>
      </c>
      <c r="N330" s="2" cm="1">
        <f t="array" aca="1" ref="N330" ca="1">IFERROR(VALUE(_xlfn.REGEXEXTRACT([1]Planilha1!$E330,"(\d+)\s*MESES",2)),IFERROR(VALUE(_xlfn.REGEXEXTRACT([1]Planilha1!$E330,"por\s*(\d+)\s*M",2)),IF(_xlfn.REGEXTEST([1]Planilha1!$E330,"1[ºª]"),1,"")))</f>
        <v>6</v>
      </c>
      <c r="O330" s="6">
        <f t="shared" ca="1" si="24"/>
        <v>0.23331666666666667</v>
      </c>
      <c r="P330" t="str">
        <f ca="1">IF([1]Planilha1!$J330="","",TRIM([1]Planilha1!$J330))</f>
        <v>0</v>
      </c>
      <c r="Q330" s="7">
        <f ca="1">IF($D330="Claro","",IFERROR($L330-VLOOKUP($B330&amp;"|Claro",[1]AUX_CLARO!$A:$C,2,FALSE),""))</f>
        <v>9.0000000000003411E-2</v>
      </c>
      <c r="R330" s="8">
        <f ca="1">IF($D330="Claro","",IFERROR($J330-VLOOKUP($B330&amp;"|Claro",[1]AUX_CLARO!$A:$C,3,FALSE),""))</f>
        <v>0</v>
      </c>
      <c r="S330" t="str">
        <f t="shared" ca="1" si="25"/>
        <v>Claro mais barata</v>
      </c>
      <c r="T330" t="str">
        <f t="shared" ca="1" si="26"/>
        <v>Mesma velocidade</v>
      </c>
      <c r="U330" s="9">
        <f t="shared" si="27"/>
        <v>46174</v>
      </c>
      <c r="V330" t="str">
        <f ca="1">IF(OR([1]Planilha1!$B330="",[1]Planilha1!$B330="NÃO MAPEADO"),"",TRIM([1]Planilha1!$B330))</f>
        <v>NOROESTE</v>
      </c>
      <c r="W330" t="str">
        <f ca="1">IF([1]Planilha1!$C330="","",TRIM([1]Planilha1!$C330))</f>
        <v>MD 2</v>
      </c>
      <c r="X330" t="str">
        <f ca="1">IFERROR(VLOOKUP($C330,[1]Planilha2!$B:$H,7,FALSE),"")</f>
        <v>15910-001</v>
      </c>
    </row>
    <row r="331" spans="1:24" x14ac:dyDescent="0.35">
      <c r="A331" t="str">
        <f ca="1">IF(LEFT(TEXT([1]Planilha1!$L331,"0000000"),1)="5","MS","SP")</f>
        <v>SP</v>
      </c>
      <c r="B331" t="str">
        <f ca="1">IF(RIGHT([1]Planilha1!$A331,5)=" - MS",LEFT([1]Planilha1!$A331,LEN([1]Planilha1!$A331)-5),TRIM([1]Planilha1!$A331))</f>
        <v>MONTE ALTO</v>
      </c>
      <c r="C331" s="2">
        <f ca="1">[1]Planilha1!$L331</f>
        <v>3531308</v>
      </c>
      <c r="D331" t="str">
        <f>TRIM([1]Planilha1!$D331)</f>
        <v>Weclix</v>
      </c>
      <c r="E331" t="str">
        <f>IF(TRIM([1]Planilha1!$D331)="Claro","Claro","Concorrente")</f>
        <v>Concorrente</v>
      </c>
      <c r="F331" t="s">
        <v>34</v>
      </c>
      <c r="G331" t="str">
        <f t="shared" ca="1" si="23"/>
        <v>Banda Larga + Conteudo</v>
      </c>
      <c r="H331" t="str">
        <f ca="1">TRIM([1]Planilha1!$E331)</f>
        <v>1GB R$59,90 - 1ª MENSALIDADE, APÓS R$99,90</v>
      </c>
      <c r="I331" t="str">
        <f ca="1">IF([1]Planilha1!$F331="","",TRIM([1]Planilha1!$F331))</f>
        <v>Fibra</v>
      </c>
      <c r="J331" s="3">
        <f ca="1">IF([1]Planilha1!$G331="","",[1]Planilha1!$G331)</f>
        <v>1000</v>
      </c>
      <c r="K331" s="4" t="str" cm="1">
        <f t="array" aca="1" ref="K331" ca="1">IFERROR(VALUE(_xlfn.REGEXEXTRACT([1]Planilha1!$E331,"\+\s*(\d+)GB",2)),"")</f>
        <v/>
      </c>
      <c r="L331" s="5">
        <f ca="1">IF([1]Planilha1!$H331="","",[1]Planilha1!$H331)</f>
        <v>99.9</v>
      </c>
      <c r="M331" s="5">
        <f ca="1">IF([1]Planilha1!$I331="","",[1]Planilha1!$I331)</f>
        <v>59.9</v>
      </c>
      <c r="N331" s="2" cm="1">
        <f t="array" aca="1" ref="N331" ca="1">IFERROR(VALUE(_xlfn.REGEXEXTRACT([1]Planilha1!$E331,"(\d+)\s*MESES",2)),IFERROR(VALUE(_xlfn.REGEXEXTRACT([1]Planilha1!$E331,"por\s*(\d+)\s*M",2)),IF(_xlfn.REGEXTEST([1]Planilha1!$E331,"1[ºª]"),1,"")))</f>
        <v>1</v>
      </c>
      <c r="O331" s="6">
        <f t="shared" ca="1" si="24"/>
        <v>9.9900000000000003E-2</v>
      </c>
      <c r="P331" t="str">
        <f ca="1">IF([1]Planilha1!$J331="","",TRIM([1]Planilha1!$J331))</f>
        <v>0</v>
      </c>
      <c r="Q331" s="7">
        <f ca="1">IF($D331="Claro","",IFERROR($L331-VLOOKUP($B331&amp;"|Claro",[1]AUX_CLARO!$A:$C,2,FALSE),""))</f>
        <v>-40</v>
      </c>
      <c r="R331" s="8">
        <f ca="1">IF($D331="Claro","",IFERROR($J331-VLOOKUP($B331&amp;"|Claro",[1]AUX_CLARO!$A:$C,3,FALSE),""))</f>
        <v>400</v>
      </c>
      <c r="S331" t="str">
        <f t="shared" ca="1" si="25"/>
        <v>Claro mais cara</v>
      </c>
      <c r="T331" t="str">
        <f t="shared" ca="1" si="26"/>
        <v>Claro com menor velocidade</v>
      </c>
      <c r="U331" s="9">
        <f t="shared" si="27"/>
        <v>46174</v>
      </c>
      <c r="V331" t="str">
        <f ca="1">IF(OR([1]Planilha1!$B331="",[1]Planilha1!$B331="NÃO MAPEADO"),"",TRIM([1]Planilha1!$B331))</f>
        <v>NOROESTE</v>
      </c>
      <c r="W331" t="str">
        <f ca="1">IF([1]Planilha1!$C331="","",TRIM([1]Planilha1!$C331))</f>
        <v>MD 2</v>
      </c>
      <c r="X331" t="str">
        <f ca="1">IFERROR(VLOOKUP($C331,[1]Planilha2!$B:$H,7,FALSE),"")</f>
        <v>15910-001</v>
      </c>
    </row>
    <row r="332" spans="1:24" x14ac:dyDescent="0.35">
      <c r="A332" t="str">
        <f ca="1">IF(LEFT(TEXT([1]Planilha1!$L332,"0000000"),1)="5","MS","SP")</f>
        <v>SP</v>
      </c>
      <c r="B332" t="str">
        <f ca="1">IF(RIGHT([1]Planilha1!$A332,5)=" - MS",LEFT([1]Planilha1!$A332,LEN([1]Planilha1!$A332)-5),TRIM([1]Planilha1!$A332))</f>
        <v>MONTE ALTO</v>
      </c>
      <c r="C332" s="2">
        <f ca="1">[1]Planilha1!$L332</f>
        <v>3531308</v>
      </c>
      <c r="D332" t="str">
        <f>TRIM([1]Planilha1!$D332)</f>
        <v>ISP LOCAL</v>
      </c>
      <c r="E332" t="str">
        <f>IF(TRIM([1]Planilha1!$D332)="Claro","Claro","Concorrente")</f>
        <v>Concorrente</v>
      </c>
      <c r="G332" t="str">
        <f t="shared" ca="1" si="23"/>
        <v>Banda Larga + Conteudo</v>
      </c>
      <c r="H332" t="str">
        <f ca="1">TRIM([1]Planilha1!$E332)</f>
        <v>MONTE ALTONET - 400M R$99,90</v>
      </c>
      <c r="I332" t="str">
        <f ca="1">IF([1]Planilha1!$F332="","",TRIM([1]Planilha1!$F332))</f>
        <v>Fibra</v>
      </c>
      <c r="J332" s="3">
        <f ca="1">IF([1]Planilha1!$G332="","",[1]Planilha1!$G332)</f>
        <v>400</v>
      </c>
      <c r="K332" s="4" t="str" cm="1">
        <f t="array" aca="1" ref="K332" ca="1">IFERROR(VALUE(_xlfn.REGEXEXTRACT([1]Planilha1!$E332,"\+\s*(\d+)GB",2)),"")</f>
        <v/>
      </c>
      <c r="L332" s="5">
        <f ca="1">IF([1]Planilha1!$H332="","",[1]Planilha1!$H332)</f>
        <v>99.9</v>
      </c>
      <c r="M332" s="5" t="str">
        <f ca="1">IF([1]Planilha1!$I332="","",[1]Planilha1!$I332)</f>
        <v/>
      </c>
      <c r="N332" s="2" t="str" cm="1">
        <f t="array" aca="1" ref="N332" ca="1">IFERROR(VALUE(_xlfn.REGEXEXTRACT([1]Planilha1!$E332,"(\d+)\s*MESES",2)),IFERROR(VALUE(_xlfn.REGEXEXTRACT([1]Planilha1!$E332,"por\s*(\d+)\s*M",2)),IF(_xlfn.REGEXTEST([1]Planilha1!$E332,"1[ºª]"),1,"")))</f>
        <v/>
      </c>
      <c r="O332" s="6">
        <f t="shared" ca="1" si="24"/>
        <v>0.24975000000000003</v>
      </c>
      <c r="P332" t="str">
        <f ca="1">IF([1]Planilha1!$J332="","",TRIM([1]Planilha1!$J332))</f>
        <v>0</v>
      </c>
      <c r="Q332" s="7">
        <f ca="1">IF($D332="Claro","",IFERROR($L332-VLOOKUP($B332&amp;"|Claro",[1]AUX_CLARO!$A:$C,2,FALSE),""))</f>
        <v>-40</v>
      </c>
      <c r="R332" s="8">
        <f ca="1">IF($D332="Claro","",IFERROR($J332-VLOOKUP($B332&amp;"|Claro",[1]AUX_CLARO!$A:$C,3,FALSE),""))</f>
        <v>-200</v>
      </c>
      <c r="S332" t="str">
        <f t="shared" ca="1" si="25"/>
        <v>Claro mais cara</v>
      </c>
      <c r="T332" t="str">
        <f t="shared" ca="1" si="26"/>
        <v>Claro com maior velocidade</v>
      </c>
      <c r="U332" s="9">
        <f t="shared" si="27"/>
        <v>46174</v>
      </c>
      <c r="V332" t="str">
        <f ca="1">IF(OR([1]Planilha1!$B332="",[1]Planilha1!$B332="NÃO MAPEADO"),"",TRIM([1]Planilha1!$B332))</f>
        <v>NOROESTE</v>
      </c>
      <c r="W332" t="str">
        <f ca="1">IF([1]Planilha1!$C332="","",TRIM([1]Planilha1!$C332))</f>
        <v>MD 2</v>
      </c>
      <c r="X332" t="str">
        <f ca="1">IFERROR(VLOOKUP($C332,[1]Planilha2!$B:$H,7,FALSE),"")</f>
        <v>15910-001</v>
      </c>
    </row>
    <row r="333" spans="1:24" x14ac:dyDescent="0.35">
      <c r="A333" t="str">
        <f ca="1">IF(LEFT(TEXT([1]Planilha1!$L333,"0000000"),1)="5","MS","SP")</f>
        <v>SP</v>
      </c>
      <c r="B333" t="str">
        <f ca="1">IF(RIGHT([1]Planilha1!$A333,5)=" - MS",LEFT([1]Planilha1!$A333,LEN([1]Planilha1!$A333)-5),TRIM([1]Planilha1!$A333))</f>
        <v>MONTE MOR</v>
      </c>
      <c r="C333" s="2">
        <f ca="1">[1]Planilha1!$L333</f>
        <v>3531803</v>
      </c>
      <c r="D333" t="str">
        <f>TRIM([1]Planilha1!$D333)</f>
        <v>Claro</v>
      </c>
      <c r="E333" t="str">
        <f>IF(TRIM([1]Planilha1!$D333)="Claro","Claro","Concorrente")</f>
        <v>Claro</v>
      </c>
      <c r="F333" t="s">
        <v>24</v>
      </c>
      <c r="G333" t="str">
        <f t="shared" ca="1" si="23"/>
        <v>Banda Larga + Movel</v>
      </c>
      <c r="H333" t="str">
        <f ca="1">TRIM([1]Planilha1!$E333)</f>
        <v>600M+100GB=R$159,90</v>
      </c>
      <c r="I333" t="str">
        <f ca="1">IF([1]Planilha1!$F333="","",TRIM([1]Planilha1!$F333))</f>
        <v>Fibra</v>
      </c>
      <c r="J333" s="3">
        <f ca="1">IF([1]Planilha1!$G333="","",[1]Planilha1!$G333)</f>
        <v>600</v>
      </c>
      <c r="K333" s="4" cm="1">
        <f t="array" aca="1" ref="K333" ca="1">IFERROR(VALUE(_xlfn.REGEXEXTRACT([1]Planilha1!$E333,"\+\s*(\d+)GB",2)),"")</f>
        <v>100</v>
      </c>
      <c r="L333" s="5">
        <f ca="1">IF([1]Planilha1!$H333="","",[1]Planilha1!$H333)</f>
        <v>159.9</v>
      </c>
      <c r="M333" s="5" t="str">
        <f ca="1">IF([1]Planilha1!$I333="","",[1]Planilha1!$I333)</f>
        <v/>
      </c>
      <c r="N333" s="2" t="str" cm="1">
        <f t="array" aca="1" ref="N333" ca="1">IFERROR(VALUE(_xlfn.REGEXEXTRACT([1]Planilha1!$E333,"(\d+)\s*MESES",2)),IFERROR(VALUE(_xlfn.REGEXEXTRACT([1]Planilha1!$E333,"por\s*(\d+)\s*M",2)),IF(_xlfn.REGEXTEST([1]Planilha1!$E333,"1[ºª]"),1,"")))</f>
        <v/>
      </c>
      <c r="O333" s="6">
        <f t="shared" ca="1" si="24"/>
        <v>0.26650000000000001</v>
      </c>
      <c r="P333" t="str">
        <f ca="1">IF([1]Planilha1!$J333="","",TRIM([1]Planilha1!$J333))</f>
        <v>GLOBOPLAY</v>
      </c>
      <c r="Q333" s="7" t="str">
        <f>IF($D333="Claro","",IFERROR($L333-VLOOKUP($B333&amp;"|Claro",[1]AUX_CLARO!$A:$C,2,FALSE),""))</f>
        <v/>
      </c>
      <c r="R333" s="8" t="str">
        <f>IF($D333="Claro","",IFERROR($J333-VLOOKUP($B333&amp;"|Claro",[1]AUX_CLARO!$A:$C,3,FALSE),""))</f>
        <v/>
      </c>
      <c r="S333" t="str">
        <f t="shared" si="25"/>
        <v/>
      </c>
      <c r="T333" t="str">
        <f t="shared" si="26"/>
        <v/>
      </c>
      <c r="U333" s="9">
        <f t="shared" si="27"/>
        <v>46174</v>
      </c>
      <c r="V333" t="str">
        <f ca="1">IF(OR([1]Planilha1!$B333="",[1]Planilha1!$B333="NÃO MAPEADO"),"",TRIM([1]Planilha1!$B333))</f>
        <v>CENTRAL</v>
      </c>
      <c r="W333" t="str">
        <f ca="1">IF([1]Planilha1!$C333="","",TRIM([1]Planilha1!$C333))</f>
        <v>PADRÃO</v>
      </c>
      <c r="X333" t="str">
        <f ca="1">IFERROR(VLOOKUP($C333,[1]Planilha2!$B:$H,7,FALSE),"")</f>
        <v>13190-001</v>
      </c>
    </row>
    <row r="334" spans="1:24" x14ac:dyDescent="0.35">
      <c r="A334" t="str">
        <f ca="1">IF(LEFT(TEXT([1]Planilha1!$L334,"0000000"),1)="5","MS","SP")</f>
        <v>SP</v>
      </c>
      <c r="B334" t="str">
        <f ca="1">IF(RIGHT([1]Planilha1!$A334,5)=" - MS",LEFT([1]Planilha1!$A334,LEN([1]Planilha1!$A334)-5),TRIM([1]Planilha1!$A334))</f>
        <v>MONTE MOR</v>
      </c>
      <c r="C334" s="2">
        <f ca="1">[1]Planilha1!$L334</f>
        <v>3531803</v>
      </c>
      <c r="D334" t="str">
        <f>TRIM([1]Planilha1!$D334)</f>
        <v>Desktop</v>
      </c>
      <c r="E334" t="str">
        <f>IF(TRIM([1]Planilha1!$D334)="Claro","Claro","Concorrente")</f>
        <v>Concorrente</v>
      </c>
      <c r="F334" t="s">
        <v>29</v>
      </c>
      <c r="G334" t="str">
        <f t="shared" ca="1" si="23"/>
        <v>Banda Larga + Movel</v>
      </c>
      <c r="H334" t="str">
        <f ca="1">TRIM([1]Planilha1!$E334)</f>
        <v>600M+15GB=R$129,99 - 6 MESES, APÓS R$139,99</v>
      </c>
      <c r="I334" t="str">
        <f ca="1">IF([1]Planilha1!$F334="","",TRIM([1]Planilha1!$F334))</f>
        <v>Fibra</v>
      </c>
      <c r="J334" s="3">
        <f ca="1">IF([1]Planilha1!$G334="","",[1]Planilha1!$G334)</f>
        <v>600</v>
      </c>
      <c r="K334" s="4" cm="1">
        <f t="array" aca="1" ref="K334" ca="1">IFERROR(VALUE(_xlfn.REGEXEXTRACT([1]Planilha1!$E334,"\+\s*(\d+)GB",2)),"")</f>
        <v>15</v>
      </c>
      <c r="L334" s="5">
        <f ca="1">IF([1]Planilha1!$H334="","",[1]Planilha1!$H334)</f>
        <v>139.99</v>
      </c>
      <c r="M334" s="5">
        <f ca="1">IF([1]Planilha1!$I334="","",[1]Planilha1!$I334)</f>
        <v>129.99</v>
      </c>
      <c r="N334" s="2" cm="1">
        <f t="array" aca="1" ref="N334" ca="1">IFERROR(VALUE(_xlfn.REGEXEXTRACT([1]Planilha1!$E334,"(\d+)\s*MESES",2)),IFERROR(VALUE(_xlfn.REGEXEXTRACT([1]Planilha1!$E334,"por\s*(\d+)\s*M",2)),IF(_xlfn.REGEXTEST([1]Planilha1!$E334,"1[ºª]"),1,"")))</f>
        <v>6</v>
      </c>
      <c r="O334" s="6">
        <f t="shared" ca="1" si="24"/>
        <v>0.23331666666666667</v>
      </c>
      <c r="P334" t="str">
        <f ca="1">IF([1]Planilha1!$J334="","",TRIM([1]Planilha1!$J334))</f>
        <v>0</v>
      </c>
      <c r="Q334" s="7">
        <f ca="1">IF($D334="Claro","",IFERROR($L334-VLOOKUP($B334&amp;"|Claro",[1]AUX_CLARO!$A:$C,2,FALSE),""))</f>
        <v>-19.909999999999997</v>
      </c>
      <c r="R334" s="8">
        <f ca="1">IF($D334="Claro","",IFERROR($J334-VLOOKUP($B334&amp;"|Claro",[1]AUX_CLARO!$A:$C,3,FALSE),""))</f>
        <v>0</v>
      </c>
      <c r="S334" t="str">
        <f t="shared" ca="1" si="25"/>
        <v>Claro mais cara</v>
      </c>
      <c r="T334" t="str">
        <f t="shared" ca="1" si="26"/>
        <v>Mesma velocidade</v>
      </c>
      <c r="U334" s="9">
        <f t="shared" si="27"/>
        <v>46174</v>
      </c>
      <c r="V334" t="str">
        <f ca="1">IF(OR([1]Planilha1!$B334="",[1]Planilha1!$B334="NÃO MAPEADO"),"",TRIM([1]Planilha1!$B334))</f>
        <v>CENTRAL</v>
      </c>
      <c r="W334" t="str">
        <f ca="1">IF([1]Planilha1!$C334="","",TRIM([1]Planilha1!$C334))</f>
        <v>PADRÃO</v>
      </c>
      <c r="X334" t="str">
        <f ca="1">IFERROR(VLOOKUP($C334,[1]Planilha2!$B:$H,7,FALSE),"")</f>
        <v>13190-001</v>
      </c>
    </row>
    <row r="335" spans="1:24" x14ac:dyDescent="0.35">
      <c r="A335" t="str">
        <f ca="1">IF(LEFT(TEXT([1]Planilha1!$L335,"0000000"),1)="5","MS","SP")</f>
        <v>SP</v>
      </c>
      <c r="B335" t="str">
        <f ca="1">IF(RIGHT([1]Planilha1!$A335,5)=" - MS",LEFT([1]Planilha1!$A335,LEN([1]Planilha1!$A335)-5),TRIM([1]Planilha1!$A335))</f>
        <v>MONTE MOR</v>
      </c>
      <c r="C335" s="2">
        <f ca="1">[1]Planilha1!$L335</f>
        <v>3531803</v>
      </c>
      <c r="D335" t="str">
        <f>TRIM([1]Planilha1!$D335)</f>
        <v>Alares</v>
      </c>
      <c r="E335" t="str">
        <f>IF(TRIM([1]Planilha1!$D335)="Claro","Claro","Concorrente")</f>
        <v>Concorrente</v>
      </c>
      <c r="F335" t="s">
        <v>32</v>
      </c>
      <c r="G335" t="str">
        <f t="shared" ca="1" si="23"/>
        <v>Banda Larga + Conteudo</v>
      </c>
      <c r="H335" t="str">
        <f ca="1">TRIM([1]Planilha1!$E335)</f>
        <v>1GB + GLOBOPLAY R$99,90</v>
      </c>
      <c r="I335" t="str">
        <f ca="1">IF([1]Planilha1!$F335="","",TRIM([1]Planilha1!$F335))</f>
        <v>Fibra</v>
      </c>
      <c r="J335" s="3">
        <f ca="1">IF([1]Planilha1!$G335="","",[1]Planilha1!$G335)</f>
        <v>1000</v>
      </c>
      <c r="K335" s="4" t="str" cm="1">
        <f t="array" aca="1" ref="K335" ca="1">IFERROR(VALUE(_xlfn.REGEXEXTRACT([1]Planilha1!$E335,"\+\s*(\d+)GB",2)),"")</f>
        <v/>
      </c>
      <c r="L335" s="5">
        <f ca="1">IF([1]Planilha1!$H335="","",[1]Planilha1!$H335)</f>
        <v>99.9</v>
      </c>
      <c r="M335" s="5" t="str">
        <f ca="1">IF([1]Planilha1!$I335="","",[1]Planilha1!$I335)</f>
        <v/>
      </c>
      <c r="N335" s="2" t="str" cm="1">
        <f t="array" aca="1" ref="N335" ca="1">IFERROR(VALUE(_xlfn.REGEXEXTRACT([1]Planilha1!$E335,"(\d+)\s*MESES",2)),IFERROR(VALUE(_xlfn.REGEXEXTRACT([1]Planilha1!$E335,"por\s*(\d+)\s*M",2)),IF(_xlfn.REGEXTEST([1]Planilha1!$E335,"1[ºª]"),1,"")))</f>
        <v/>
      </c>
      <c r="O335" s="6">
        <f t="shared" ca="1" si="24"/>
        <v>9.9900000000000003E-2</v>
      </c>
      <c r="P335" t="str">
        <f ca="1">IF([1]Planilha1!$J335="","",TRIM([1]Planilha1!$J335))</f>
        <v>GLOBOPLAY</v>
      </c>
      <c r="Q335" s="7">
        <f ca="1">IF($D335="Claro","",IFERROR($L335-VLOOKUP($B335&amp;"|Claro",[1]AUX_CLARO!$A:$C,2,FALSE),""))</f>
        <v>-60</v>
      </c>
      <c r="R335" s="8">
        <f ca="1">IF($D335="Claro","",IFERROR($J335-VLOOKUP($B335&amp;"|Claro",[1]AUX_CLARO!$A:$C,3,FALSE),""))</f>
        <v>400</v>
      </c>
      <c r="S335" t="str">
        <f t="shared" ca="1" si="25"/>
        <v>Claro mais cara</v>
      </c>
      <c r="T335" t="str">
        <f t="shared" ca="1" si="26"/>
        <v>Claro com menor velocidade</v>
      </c>
      <c r="U335" s="9">
        <f t="shared" si="27"/>
        <v>46174</v>
      </c>
      <c r="V335" t="str">
        <f ca="1">IF(OR([1]Planilha1!$B335="",[1]Planilha1!$B335="NÃO MAPEADO"),"",TRIM([1]Planilha1!$B335))</f>
        <v>CENTRAL</v>
      </c>
      <c r="W335" t="str">
        <f ca="1">IF([1]Planilha1!$C335="","",TRIM([1]Planilha1!$C335))</f>
        <v>PADRÃO</v>
      </c>
      <c r="X335" t="str">
        <f ca="1">IFERROR(VLOOKUP($C335,[1]Planilha2!$B:$H,7,FALSE),"")</f>
        <v>13190-001</v>
      </c>
    </row>
    <row r="336" spans="1:24" x14ac:dyDescent="0.35">
      <c r="A336" t="str">
        <f ca="1">IF(LEFT(TEXT([1]Planilha1!$L336,"0000000"),1)="5","MS","SP")</f>
        <v>SP</v>
      </c>
      <c r="B336" t="str">
        <f ca="1">IF(RIGHT([1]Planilha1!$A336,5)=" - MS",LEFT([1]Planilha1!$A336,LEN([1]Planilha1!$A336)-5),TRIM([1]Planilha1!$A336))</f>
        <v>MONTE MOR</v>
      </c>
      <c r="C336" s="2">
        <f ca="1">[1]Planilha1!$L336</f>
        <v>3531803</v>
      </c>
      <c r="D336" t="str">
        <f>TRIM([1]Planilha1!$D336)</f>
        <v>ISP LOCAL</v>
      </c>
      <c r="E336" t="str">
        <f>IF(TRIM([1]Planilha1!$D336)="Claro","Claro","Concorrente")</f>
        <v>Concorrente</v>
      </c>
      <c r="F336" t="s">
        <v>62</v>
      </c>
      <c r="G336" t="str">
        <f t="shared" ca="1" si="23"/>
        <v>Banda Larga + Conteudo</v>
      </c>
      <c r="H336" t="str">
        <f ca="1">TRIM([1]Planilha1!$E336)</f>
        <v>CLICKNET - 700M R$99,99</v>
      </c>
      <c r="I336" t="str">
        <f ca="1">IF([1]Planilha1!$F336="","",TRIM([1]Planilha1!$F336))</f>
        <v>Fibra</v>
      </c>
      <c r="J336" s="3">
        <f ca="1">IF([1]Planilha1!$G336="","",[1]Planilha1!$G336)</f>
        <v>700</v>
      </c>
      <c r="K336" s="4" t="str" cm="1">
        <f t="array" aca="1" ref="K336" ca="1">IFERROR(VALUE(_xlfn.REGEXEXTRACT([1]Planilha1!$E336,"\+\s*(\d+)GB",2)),"")</f>
        <v/>
      </c>
      <c r="L336" s="5">
        <f ca="1">IF([1]Planilha1!$H336="","",[1]Planilha1!$H336)</f>
        <v>99.99</v>
      </c>
      <c r="M336" s="5" t="str">
        <f ca="1">IF([1]Planilha1!$I336="","",[1]Planilha1!$I336)</f>
        <v/>
      </c>
      <c r="N336" s="2" t="str" cm="1">
        <f t="array" aca="1" ref="N336" ca="1">IFERROR(VALUE(_xlfn.REGEXEXTRACT([1]Planilha1!$E336,"(\d+)\s*MESES",2)),IFERROR(VALUE(_xlfn.REGEXEXTRACT([1]Planilha1!$E336,"por\s*(\d+)\s*M",2)),IF(_xlfn.REGEXTEST([1]Planilha1!$E336,"1[ºª]"),1,"")))</f>
        <v/>
      </c>
      <c r="O336" s="6">
        <f t="shared" ca="1" si="24"/>
        <v>0.14284285714285713</v>
      </c>
      <c r="P336" t="str">
        <f ca="1">IF([1]Planilha1!$J336="","",TRIM([1]Planilha1!$J336))</f>
        <v>0</v>
      </c>
      <c r="Q336" s="7">
        <f ca="1">IF($D336="Claro","",IFERROR($L336-VLOOKUP($B336&amp;"|Claro",[1]AUX_CLARO!$A:$C,2,FALSE),""))</f>
        <v>-59.910000000000011</v>
      </c>
      <c r="R336" s="8">
        <f ca="1">IF($D336="Claro","",IFERROR($J336-VLOOKUP($B336&amp;"|Claro",[1]AUX_CLARO!$A:$C,3,FALSE),""))</f>
        <v>100</v>
      </c>
      <c r="S336" t="str">
        <f t="shared" ca="1" si="25"/>
        <v>Claro mais cara</v>
      </c>
      <c r="T336" t="str">
        <f t="shared" ca="1" si="26"/>
        <v>Claro com menor velocidade</v>
      </c>
      <c r="U336" s="9">
        <f t="shared" si="27"/>
        <v>46174</v>
      </c>
      <c r="V336" t="str">
        <f ca="1">IF(OR([1]Planilha1!$B336="",[1]Planilha1!$B336="NÃO MAPEADO"),"",TRIM([1]Planilha1!$B336))</f>
        <v>CENTRAL</v>
      </c>
      <c r="W336" t="str">
        <f ca="1">IF([1]Planilha1!$C336="","",TRIM([1]Planilha1!$C336))</f>
        <v>PADRÃO</v>
      </c>
      <c r="X336" t="str">
        <f ca="1">IFERROR(VLOOKUP($C336,[1]Planilha2!$B:$H,7,FALSE),"")</f>
        <v>13190-001</v>
      </c>
    </row>
    <row r="337" spans="1:24" x14ac:dyDescent="0.35">
      <c r="A337" t="str">
        <f ca="1">IF(LEFT(TEXT([1]Planilha1!$L337,"0000000"),1)="5","MS","SP")</f>
        <v>SP</v>
      </c>
      <c r="B337" t="str">
        <f ca="1">IF(RIGHT([1]Planilha1!$A337,5)=" - MS",LEFT([1]Planilha1!$A337,LEN([1]Planilha1!$A337)-5),TRIM([1]Planilha1!$A337))</f>
        <v>NOVA ODESSA</v>
      </c>
      <c r="C337" s="2">
        <f ca="1">[1]Planilha1!$L337</f>
        <v>3533403</v>
      </c>
      <c r="D337" t="str">
        <f>TRIM([1]Planilha1!$D337)</f>
        <v>Claro</v>
      </c>
      <c r="E337" t="str">
        <f>IF(TRIM([1]Planilha1!$D337)="Claro","Claro","Concorrente")</f>
        <v>Claro</v>
      </c>
      <c r="F337" t="s">
        <v>24</v>
      </c>
      <c r="G337" t="str">
        <f t="shared" ca="1" si="23"/>
        <v>Banda Larga + Movel</v>
      </c>
      <c r="H337" t="str">
        <f ca="1">TRIM([1]Planilha1!$E337)</f>
        <v>600M+100GB=R$119,90 por 3M, após R$159,90</v>
      </c>
      <c r="I337" t="str">
        <f ca="1">IF([1]Planilha1!$F337="","",TRIM([1]Planilha1!$F337))</f>
        <v>Fibra</v>
      </c>
      <c r="J337" s="3">
        <f ca="1">IF([1]Planilha1!$G337="","",[1]Planilha1!$G337)</f>
        <v>600</v>
      </c>
      <c r="K337" s="4" cm="1">
        <f t="array" aca="1" ref="K337" ca="1">IFERROR(VALUE(_xlfn.REGEXEXTRACT([1]Planilha1!$E337,"\+\s*(\d+)GB",2)),"")</f>
        <v>100</v>
      </c>
      <c r="L337" s="5">
        <f ca="1">IF([1]Planilha1!$H337="","",[1]Planilha1!$H337)</f>
        <v>159.9</v>
      </c>
      <c r="M337" s="5">
        <f ca="1">IF([1]Planilha1!$I337="","",[1]Planilha1!$I337)</f>
        <v>119.9</v>
      </c>
      <c r="N337" s="2" cm="1">
        <f t="array" aca="1" ref="N337" ca="1">IFERROR(VALUE(_xlfn.REGEXEXTRACT([1]Planilha1!$E337,"(\d+)\s*MESES",2)),IFERROR(VALUE(_xlfn.REGEXEXTRACT([1]Planilha1!$E337,"por\s*(\d+)\s*M",2)),IF(_xlfn.REGEXTEST([1]Planilha1!$E337,"1[ºª]"),1,"")))</f>
        <v>3</v>
      </c>
      <c r="O337" s="6">
        <f t="shared" ca="1" si="24"/>
        <v>0.26650000000000001</v>
      </c>
      <c r="P337" t="str">
        <f ca="1">IF([1]Planilha1!$J337="","",TRIM([1]Planilha1!$J337))</f>
        <v>GLOBOPLAY</v>
      </c>
      <c r="Q337" s="7" t="str">
        <f>IF($D337="Claro","",IFERROR($L337-VLOOKUP($B337&amp;"|Claro",[1]AUX_CLARO!$A:$C,2,FALSE),""))</f>
        <v/>
      </c>
      <c r="R337" s="8" t="str">
        <f>IF($D337="Claro","",IFERROR($J337-VLOOKUP($B337&amp;"|Claro",[1]AUX_CLARO!$A:$C,3,FALSE),""))</f>
        <v/>
      </c>
      <c r="S337" t="str">
        <f t="shared" si="25"/>
        <v/>
      </c>
      <c r="T337" t="str">
        <f t="shared" si="26"/>
        <v/>
      </c>
      <c r="U337" s="9">
        <f t="shared" si="27"/>
        <v>46174</v>
      </c>
      <c r="V337" t="str">
        <f ca="1">IF(OR([1]Planilha1!$B337="",[1]Planilha1!$B337="NÃO MAPEADO"),"",TRIM([1]Planilha1!$B337))</f>
        <v>CENTRAL</v>
      </c>
      <c r="W337" t="str">
        <f ca="1">IF([1]Planilha1!$C337="","",TRIM([1]Planilha1!$C337))</f>
        <v>ESPECIAL</v>
      </c>
      <c r="X337" t="str">
        <f ca="1">IFERROR(VLOOKUP($C337,[1]Planilha2!$B:$H,7,FALSE),"")</f>
        <v>13380-001</v>
      </c>
    </row>
    <row r="338" spans="1:24" x14ac:dyDescent="0.35">
      <c r="A338" t="str">
        <f ca="1">IF(LEFT(TEXT([1]Planilha1!$L338,"0000000"),1)="5","MS","SP")</f>
        <v>SP</v>
      </c>
      <c r="B338" t="str">
        <f ca="1">IF(RIGHT([1]Planilha1!$A338,5)=" - MS",LEFT([1]Planilha1!$A338,LEN([1]Planilha1!$A338)-5),TRIM([1]Planilha1!$A338))</f>
        <v>NOVA ODESSA</v>
      </c>
      <c r="C338" s="2">
        <f ca="1">[1]Planilha1!$L338</f>
        <v>3533403</v>
      </c>
      <c r="D338" t="str">
        <f>TRIM([1]Planilha1!$D338)</f>
        <v>Vivo</v>
      </c>
      <c r="E338" t="str">
        <f>IF(TRIM([1]Planilha1!$D338)="Claro","Claro","Concorrente")</f>
        <v>Concorrente</v>
      </c>
      <c r="F338" t="s">
        <v>25</v>
      </c>
      <c r="G338" t="str">
        <f t="shared" ca="1" si="23"/>
        <v>Banda Larga + Movel</v>
      </c>
      <c r="H338" t="s">
        <v>26</v>
      </c>
      <c r="I338" t="str">
        <f ca="1">IF([1]Planilha1!$F338="","",TRIM([1]Planilha1!$F338))</f>
        <v>Fibra</v>
      </c>
      <c r="J338" s="11" t="s">
        <v>27</v>
      </c>
      <c r="K338" s="4" cm="1">
        <f t="array" aca="1" ref="K338" ca="1">IFERROR(VALUE(_xlfn.REGEXEXTRACT([1]Planilha1!$E338,"\+\s*(\d+)GB",2)),"")</f>
        <v>70</v>
      </c>
      <c r="L338" s="5">
        <v>160</v>
      </c>
      <c r="M338" s="5" t="str">
        <f ca="1">IF([1]Planilha1!$I338="","",[1]Planilha1!$I338)</f>
        <v/>
      </c>
      <c r="N338" s="2" t="str" cm="1">
        <f t="array" aca="1" ref="N338" ca="1">IFERROR(VALUE(_xlfn.REGEXEXTRACT([1]Planilha1!$E338,"(\d+)\s*MESES",2)),IFERROR(VALUE(_xlfn.REGEXEXTRACT([1]Planilha1!$E338,"por\s*(\d+)\s*M",2)),IF(_xlfn.REGEXTEST([1]Planilha1!$E338,"1[ºª]"),1,"")))</f>
        <v/>
      </c>
      <c r="O338" s="6" t="str">
        <f t="shared" si="24"/>
        <v/>
      </c>
      <c r="P338" t="str">
        <f ca="1">IF([1]Planilha1!$J338="","",TRIM([1]Planilha1!$J338))</f>
        <v>0</v>
      </c>
      <c r="Q338" s="7">
        <f ca="1">IF($D338="Claro","",IFERROR($L338-VLOOKUP($B338&amp;"|Claro",[1]AUX_CLARO!$A:$C,2,FALSE),""))</f>
        <v>9.9999999999994316E-2</v>
      </c>
      <c r="R338" s="8" t="str">
        <f ca="1">IF($D338="Claro","",IFERROR($J338-VLOOKUP($B338&amp;"|Claro",[1]AUX_CLARO!$A:$C,3,FALSE),""))</f>
        <v/>
      </c>
      <c r="S338" t="str">
        <f t="shared" ca="1" si="25"/>
        <v>Claro mais barata</v>
      </c>
      <c r="T338" t="str">
        <f t="shared" ca="1" si="26"/>
        <v/>
      </c>
      <c r="U338" s="9">
        <f t="shared" si="27"/>
        <v>46174</v>
      </c>
      <c r="V338" t="str">
        <f ca="1">IF(OR([1]Planilha1!$B338="",[1]Planilha1!$B338="NÃO MAPEADO"),"",TRIM([1]Planilha1!$B338))</f>
        <v>CENTRAL</v>
      </c>
      <c r="W338" t="str">
        <f ca="1">IF([1]Planilha1!$C338="","",TRIM([1]Planilha1!$C338))</f>
        <v>ESPECIAL</v>
      </c>
      <c r="X338" t="str">
        <f ca="1">IFERROR(VLOOKUP($C338,[1]Planilha2!$B:$H,7,FALSE),"")</f>
        <v>13380-001</v>
      </c>
    </row>
    <row r="339" spans="1:24" x14ac:dyDescent="0.35">
      <c r="A339" t="str">
        <f ca="1">IF(LEFT(TEXT([1]Planilha1!$L339,"0000000"),1)="5","MS","SP")</f>
        <v>SP</v>
      </c>
      <c r="B339" t="str">
        <f ca="1">IF(RIGHT([1]Planilha1!$A339,5)=" - MS",LEFT([1]Planilha1!$A339,LEN([1]Planilha1!$A339)-5),TRIM([1]Planilha1!$A339))</f>
        <v>NOVA ODESSA</v>
      </c>
      <c r="C339" s="2">
        <f ca="1">[1]Planilha1!$L339</f>
        <v>3533403</v>
      </c>
      <c r="D339" t="str">
        <f>TRIM([1]Planilha1!$D339)</f>
        <v>Desktop</v>
      </c>
      <c r="E339" t="str">
        <f>IF(TRIM([1]Planilha1!$D339)="Claro","Claro","Concorrente")</f>
        <v>Concorrente</v>
      </c>
      <c r="F339" t="s">
        <v>29</v>
      </c>
      <c r="G339" t="str">
        <f t="shared" ca="1" si="23"/>
        <v>Banda Larga + Movel</v>
      </c>
      <c r="H339" t="str">
        <f ca="1">TRIM([1]Planilha1!$E339)</f>
        <v>600M+15GB=R$129,99 - 6 MESES, APÓS R$139,99</v>
      </c>
      <c r="I339" t="str">
        <f ca="1">IF([1]Planilha1!$F339="","",TRIM([1]Planilha1!$F339))</f>
        <v>Fibra</v>
      </c>
      <c r="J339" s="3">
        <f ca="1">IF([1]Planilha1!$G339="","",[1]Planilha1!$G339)</f>
        <v>600</v>
      </c>
      <c r="K339" s="4" cm="1">
        <f t="array" aca="1" ref="K339" ca="1">IFERROR(VALUE(_xlfn.REGEXEXTRACT([1]Planilha1!$E339,"\+\s*(\d+)GB",2)),"")</f>
        <v>15</v>
      </c>
      <c r="L339" s="5">
        <f ca="1">IF([1]Planilha1!$H339="","",[1]Planilha1!$H339)</f>
        <v>139.99</v>
      </c>
      <c r="M339" s="5">
        <f ca="1">IF([1]Planilha1!$I339="","",[1]Planilha1!$I339)</f>
        <v>129.99</v>
      </c>
      <c r="N339" s="2" cm="1">
        <f t="array" aca="1" ref="N339" ca="1">IFERROR(VALUE(_xlfn.REGEXEXTRACT([1]Planilha1!$E339,"(\d+)\s*MESES",2)),IFERROR(VALUE(_xlfn.REGEXEXTRACT([1]Planilha1!$E339,"por\s*(\d+)\s*M",2)),IF(_xlfn.REGEXTEST([1]Planilha1!$E339,"1[ºª]"),1,"")))</f>
        <v>6</v>
      </c>
      <c r="O339" s="6">
        <f t="shared" ca="1" si="24"/>
        <v>0.23331666666666667</v>
      </c>
      <c r="P339" t="str">
        <f ca="1">IF([1]Planilha1!$J339="","",TRIM([1]Planilha1!$J339))</f>
        <v>0</v>
      </c>
      <c r="Q339" s="7">
        <f ca="1">IF($D339="Claro","",IFERROR($L339-VLOOKUP($B339&amp;"|Claro",[1]AUX_CLARO!$A:$C,2,FALSE),""))</f>
        <v>-19.909999999999997</v>
      </c>
      <c r="R339" s="8">
        <f ca="1">IF($D339="Claro","",IFERROR($J339-VLOOKUP($B339&amp;"|Claro",[1]AUX_CLARO!$A:$C,3,FALSE),""))</f>
        <v>0</v>
      </c>
      <c r="S339" t="str">
        <f t="shared" ca="1" si="25"/>
        <v>Claro mais cara</v>
      </c>
      <c r="T339" t="str">
        <f t="shared" ca="1" si="26"/>
        <v>Mesma velocidade</v>
      </c>
      <c r="U339" s="9">
        <f t="shared" si="27"/>
        <v>46174</v>
      </c>
      <c r="V339" t="str">
        <f ca="1">IF(OR([1]Planilha1!$B339="",[1]Planilha1!$B339="NÃO MAPEADO"),"",TRIM([1]Planilha1!$B339))</f>
        <v>CENTRAL</v>
      </c>
      <c r="W339" t="str">
        <f ca="1">IF([1]Planilha1!$C339="","",TRIM([1]Planilha1!$C339))</f>
        <v>ESPECIAL</v>
      </c>
      <c r="X339" t="str">
        <f ca="1">IFERROR(VLOOKUP($C339,[1]Planilha2!$B:$H,7,FALSE),"")</f>
        <v>13380-001</v>
      </c>
    </row>
    <row r="340" spans="1:24" x14ac:dyDescent="0.35">
      <c r="A340" t="str">
        <f ca="1">IF(LEFT(TEXT([1]Planilha1!$L340,"0000000"),1)="5","MS","SP")</f>
        <v>SP</v>
      </c>
      <c r="B340" t="str">
        <f ca="1">IF(RIGHT([1]Planilha1!$A340,5)=" - MS",LEFT([1]Planilha1!$A340,LEN([1]Planilha1!$A340)-5),TRIM([1]Planilha1!$A340))</f>
        <v>NOVA ODESSA</v>
      </c>
      <c r="C340" s="2">
        <f ca="1">[1]Planilha1!$L340</f>
        <v>3533403</v>
      </c>
      <c r="D340" t="str">
        <f>TRIM([1]Planilha1!$D340)</f>
        <v>ISP LOCAL</v>
      </c>
      <c r="E340" t="str">
        <f>IF(TRIM([1]Planilha1!$D340)="Claro","Claro","Concorrente")</f>
        <v>Concorrente</v>
      </c>
      <c r="F340" t="s">
        <v>62</v>
      </c>
      <c r="G340" t="str">
        <f t="shared" ca="1" si="23"/>
        <v>Banda Larga + Conteudo</v>
      </c>
      <c r="H340" t="str">
        <f ca="1">TRIM([1]Planilha1!$E340)</f>
        <v>CLICKNET - 700M R$99,99</v>
      </c>
      <c r="I340" t="str">
        <f ca="1">IF([1]Planilha1!$F340="","",TRIM([1]Planilha1!$F340))</f>
        <v>Fibra</v>
      </c>
      <c r="J340" s="3">
        <f ca="1">IF([1]Planilha1!$G340="","",[1]Planilha1!$G340)</f>
        <v>700</v>
      </c>
      <c r="K340" s="4" t="str" cm="1">
        <f t="array" aca="1" ref="K340" ca="1">IFERROR(VALUE(_xlfn.REGEXEXTRACT([1]Planilha1!$E340,"\+\s*(\d+)GB",2)),"")</f>
        <v/>
      </c>
      <c r="L340" s="5">
        <f ca="1">IF([1]Planilha1!$H340="","",[1]Planilha1!$H340)</f>
        <v>99.99</v>
      </c>
      <c r="M340" s="5" t="str">
        <f ca="1">IF([1]Planilha1!$I340="","",[1]Planilha1!$I340)</f>
        <v/>
      </c>
      <c r="N340" s="2" t="str" cm="1">
        <f t="array" aca="1" ref="N340" ca="1">IFERROR(VALUE(_xlfn.REGEXEXTRACT([1]Planilha1!$E340,"(\d+)\s*MESES",2)),IFERROR(VALUE(_xlfn.REGEXEXTRACT([1]Planilha1!$E340,"por\s*(\d+)\s*M",2)),IF(_xlfn.REGEXTEST([1]Planilha1!$E340,"1[ºª]"),1,"")))</f>
        <v/>
      </c>
      <c r="O340" s="6">
        <f t="shared" ca="1" si="24"/>
        <v>0.14284285714285713</v>
      </c>
      <c r="P340" t="str">
        <f ca="1">IF([1]Planilha1!$J340="","",TRIM([1]Planilha1!$J340))</f>
        <v>0</v>
      </c>
      <c r="Q340" s="7">
        <f ca="1">IF($D340="Claro","",IFERROR($L340-VLOOKUP($B340&amp;"|Claro",[1]AUX_CLARO!$A:$C,2,FALSE),""))</f>
        <v>-59.910000000000011</v>
      </c>
      <c r="R340" s="8">
        <f ca="1">IF($D340="Claro","",IFERROR($J340-VLOOKUP($B340&amp;"|Claro",[1]AUX_CLARO!$A:$C,3,FALSE),""))</f>
        <v>100</v>
      </c>
      <c r="S340" t="str">
        <f t="shared" ca="1" si="25"/>
        <v>Claro mais cara</v>
      </c>
      <c r="T340" t="str">
        <f t="shared" ca="1" si="26"/>
        <v>Claro com menor velocidade</v>
      </c>
      <c r="U340" s="9">
        <f t="shared" si="27"/>
        <v>46174</v>
      </c>
      <c r="V340" t="str">
        <f ca="1">IF(OR([1]Planilha1!$B340="",[1]Planilha1!$B340="NÃO MAPEADO"),"",TRIM([1]Planilha1!$B340))</f>
        <v>CENTRAL</v>
      </c>
      <c r="W340" t="str">
        <f ca="1">IF([1]Planilha1!$C340="","",TRIM([1]Planilha1!$C340))</f>
        <v>ESPECIAL</v>
      </c>
      <c r="X340" t="str">
        <f ca="1">IFERROR(VLOOKUP($C340,[1]Planilha2!$B:$H,7,FALSE),"")</f>
        <v>13380-001</v>
      </c>
    </row>
    <row r="341" spans="1:24" x14ac:dyDescent="0.35">
      <c r="A341" t="str">
        <f ca="1">IF(LEFT(TEXT([1]Planilha1!$L341,"0000000"),1)="5","MS","SP")</f>
        <v>SP</v>
      </c>
      <c r="B341" t="str">
        <f ca="1">IF(RIGHT([1]Planilha1!$A341,5)=" - MS",LEFT([1]Planilha1!$A341,LEN([1]Planilha1!$A341)-5),TRIM([1]Planilha1!$A341))</f>
        <v>OLIMPIA</v>
      </c>
      <c r="C341" s="2">
        <f ca="1">[1]Planilha1!$L341</f>
        <v>3533908</v>
      </c>
      <c r="D341" t="str">
        <f>TRIM([1]Planilha1!$D341)</f>
        <v>Claro</v>
      </c>
      <c r="E341" t="str">
        <f>IF(TRIM([1]Planilha1!$D341)="Claro","Claro","Concorrente")</f>
        <v>Claro</v>
      </c>
      <c r="F341" t="s">
        <v>24</v>
      </c>
      <c r="G341" t="str">
        <f t="shared" ca="1" si="23"/>
        <v>Banda Larga + Movel</v>
      </c>
      <c r="H341" t="str">
        <f ca="1">TRIM([1]Planilha1!$E341)</f>
        <v>600M+100GB=R$109,90 por 6M, após R$139,90</v>
      </c>
      <c r="I341" t="str">
        <f ca="1">IF([1]Planilha1!$F341="","",TRIM([1]Planilha1!$F341))</f>
        <v>Fibra</v>
      </c>
      <c r="J341" s="3">
        <f ca="1">IF([1]Planilha1!$G341="","",[1]Planilha1!$G341)</f>
        <v>600</v>
      </c>
      <c r="K341" s="4" cm="1">
        <f t="array" aca="1" ref="K341" ca="1">IFERROR(VALUE(_xlfn.REGEXEXTRACT([1]Planilha1!$E341,"\+\s*(\d+)GB",2)),"")</f>
        <v>100</v>
      </c>
      <c r="L341" s="5">
        <f ca="1">IF([1]Planilha1!$H341="","",[1]Planilha1!$H341)</f>
        <v>139.9</v>
      </c>
      <c r="M341" s="5">
        <f ca="1">IF([1]Planilha1!$I341="","",[1]Planilha1!$I341)</f>
        <v>109.9</v>
      </c>
      <c r="N341" s="2" cm="1">
        <f t="array" aca="1" ref="N341" ca="1">IFERROR(VALUE(_xlfn.REGEXEXTRACT([1]Planilha1!$E341,"(\d+)\s*MESES",2)),IFERROR(VALUE(_xlfn.REGEXEXTRACT([1]Planilha1!$E341,"por\s*(\d+)\s*M",2)),IF(_xlfn.REGEXTEST([1]Planilha1!$E341,"1[ºª]"),1,"")))</f>
        <v>6</v>
      </c>
      <c r="O341" s="6">
        <f t="shared" ca="1" si="24"/>
        <v>0.23316666666666669</v>
      </c>
      <c r="P341" t="str">
        <f ca="1">IF([1]Planilha1!$J341="","",TRIM([1]Planilha1!$J341))</f>
        <v>GLOBOPLAY</v>
      </c>
      <c r="Q341" s="7" t="str">
        <f>IF($D341="Claro","",IFERROR($L341-VLOOKUP($B341&amp;"|Claro",[1]AUX_CLARO!$A:$C,2,FALSE),""))</f>
        <v/>
      </c>
      <c r="R341" s="8" t="str">
        <f>IF($D341="Claro","",IFERROR($J341-VLOOKUP($B341&amp;"|Claro",[1]AUX_CLARO!$A:$C,3,FALSE),""))</f>
        <v/>
      </c>
      <c r="S341" t="str">
        <f t="shared" si="25"/>
        <v/>
      </c>
      <c r="T341" t="str">
        <f t="shared" si="26"/>
        <v/>
      </c>
      <c r="U341" s="9">
        <f t="shared" si="27"/>
        <v>46174</v>
      </c>
      <c r="V341" t="str">
        <f ca="1">IF(OR([1]Planilha1!$B341="",[1]Planilha1!$B341="NÃO MAPEADO"),"",TRIM([1]Planilha1!$B341))</f>
        <v>NOROESTE</v>
      </c>
      <c r="W341" t="str">
        <f ca="1">IF([1]Planilha1!$C341="","",TRIM([1]Planilha1!$C341))</f>
        <v>MD 2</v>
      </c>
      <c r="X341" t="str">
        <f ca="1">IFERROR(VLOOKUP($C341,[1]Planilha2!$B:$H,7,FALSE),"")</f>
        <v>15400-001</v>
      </c>
    </row>
    <row r="342" spans="1:24" x14ac:dyDescent="0.35">
      <c r="A342" t="str">
        <f ca="1">IF(LEFT(TEXT([1]Planilha1!$L342,"0000000"),1)="5","MS","SP")</f>
        <v>SP</v>
      </c>
      <c r="B342" t="str">
        <f ca="1">IF(RIGHT([1]Planilha1!$A342,5)=" - MS",LEFT([1]Planilha1!$A342,LEN([1]Planilha1!$A342)-5),TRIM([1]Planilha1!$A342))</f>
        <v>OLIMPIA</v>
      </c>
      <c r="C342" s="2">
        <f ca="1">[1]Planilha1!$L342</f>
        <v>3533908</v>
      </c>
      <c r="D342" t="str">
        <f>TRIM([1]Planilha1!$D342)</f>
        <v>Vivo</v>
      </c>
      <c r="E342" t="str">
        <f>IF(TRIM([1]Planilha1!$D342)="Claro","Claro","Concorrente")</f>
        <v>Concorrente</v>
      </c>
      <c r="F342" t="s">
        <v>25</v>
      </c>
      <c r="G342" t="str">
        <f t="shared" ca="1" si="23"/>
        <v>Banda Larga + Movel</v>
      </c>
      <c r="H342" t="s">
        <v>26</v>
      </c>
      <c r="I342" t="str">
        <f ca="1">IF([1]Planilha1!$F342="","",TRIM([1]Planilha1!$F342))</f>
        <v>Fibra</v>
      </c>
      <c r="J342" s="11" t="s">
        <v>27</v>
      </c>
      <c r="K342" s="4" cm="1">
        <f t="array" aca="1" ref="K342" ca="1">IFERROR(VALUE(_xlfn.REGEXEXTRACT([1]Planilha1!$E342,"\+\s*(\d+)GB",2)),"")</f>
        <v>70</v>
      </c>
      <c r="L342" s="5">
        <v>160</v>
      </c>
      <c r="M342" s="5" t="str">
        <f ca="1">IF([1]Planilha1!$I342="","",[1]Planilha1!$I342)</f>
        <v/>
      </c>
      <c r="N342" s="2" t="str" cm="1">
        <f t="array" aca="1" ref="N342" ca="1">IFERROR(VALUE(_xlfn.REGEXEXTRACT([1]Planilha1!$E342,"(\d+)\s*MESES",2)),IFERROR(VALUE(_xlfn.REGEXEXTRACT([1]Planilha1!$E342,"por\s*(\d+)\s*M",2)),IF(_xlfn.REGEXTEST([1]Planilha1!$E342,"1[ºª]"),1,"")))</f>
        <v/>
      </c>
      <c r="O342" s="6" t="str">
        <f t="shared" si="24"/>
        <v/>
      </c>
      <c r="P342" t="str">
        <f ca="1">IF([1]Planilha1!$J342="","",TRIM([1]Planilha1!$J342))</f>
        <v>0</v>
      </c>
      <c r="Q342" s="7">
        <f ca="1">IF($D342="Claro","",IFERROR($L342-VLOOKUP($B342&amp;"|Claro",[1]AUX_CLARO!$A:$C,2,FALSE),""))</f>
        <v>20.099999999999994</v>
      </c>
      <c r="R342" s="8" t="str">
        <f ca="1">IF($D342="Claro","",IFERROR($J342-VLOOKUP($B342&amp;"|Claro",[1]AUX_CLARO!$A:$C,3,FALSE),""))</f>
        <v/>
      </c>
      <c r="S342" t="str">
        <f t="shared" ca="1" si="25"/>
        <v>Claro mais barata</v>
      </c>
      <c r="T342" t="str">
        <f t="shared" ca="1" si="26"/>
        <v/>
      </c>
      <c r="U342" s="9">
        <f t="shared" si="27"/>
        <v>46174</v>
      </c>
      <c r="V342" t="str">
        <f ca="1">IF(OR([1]Planilha1!$B342="",[1]Planilha1!$B342="NÃO MAPEADO"),"",TRIM([1]Planilha1!$B342))</f>
        <v>NOROESTE</v>
      </c>
      <c r="W342" t="str">
        <f ca="1">IF([1]Planilha1!$C342="","",TRIM([1]Planilha1!$C342))</f>
        <v>MD 2</v>
      </c>
      <c r="X342" t="str">
        <f ca="1">IFERROR(VLOOKUP($C342,[1]Planilha2!$B:$H,7,FALSE),"")</f>
        <v>15400-001</v>
      </c>
    </row>
    <row r="343" spans="1:24" x14ac:dyDescent="0.35">
      <c r="A343" t="str">
        <f ca="1">IF(LEFT(TEXT([1]Planilha1!$L343,"0000000"),1)="5","MS","SP")</f>
        <v>SP</v>
      </c>
      <c r="B343" t="str">
        <f ca="1">IF(RIGHT([1]Planilha1!$A343,5)=" - MS",LEFT([1]Planilha1!$A343,LEN([1]Planilha1!$A343)-5),TRIM([1]Planilha1!$A343))</f>
        <v>OLIMPIA</v>
      </c>
      <c r="C343" s="2">
        <f ca="1">[1]Planilha1!$L343</f>
        <v>3533908</v>
      </c>
      <c r="D343" t="str">
        <f>TRIM([1]Planilha1!$D343)</f>
        <v>Desktop</v>
      </c>
      <c r="E343" t="str">
        <f>IF(TRIM([1]Planilha1!$D343)="Claro","Claro","Concorrente")</f>
        <v>Concorrente</v>
      </c>
      <c r="F343" t="s">
        <v>29</v>
      </c>
      <c r="G343" t="str">
        <f t="shared" ca="1" si="23"/>
        <v>Banda Larga + Movel</v>
      </c>
      <c r="H343" t="str">
        <f ca="1">TRIM([1]Planilha1!$E343)</f>
        <v>600M+15GB=R$129,99 - 6 MESES, APÓS R$139,99</v>
      </c>
      <c r="I343" t="str">
        <f ca="1">IF([1]Planilha1!$F343="","",TRIM([1]Planilha1!$F343))</f>
        <v>Fibra</v>
      </c>
      <c r="J343" s="3">
        <f ca="1">IF([1]Planilha1!$G343="","",[1]Planilha1!$G343)</f>
        <v>600</v>
      </c>
      <c r="K343" s="4" cm="1">
        <f t="array" aca="1" ref="K343" ca="1">IFERROR(VALUE(_xlfn.REGEXEXTRACT([1]Planilha1!$E343,"\+\s*(\d+)GB",2)),"")</f>
        <v>15</v>
      </c>
      <c r="L343" s="5">
        <f ca="1">IF([1]Planilha1!$H343="","",[1]Planilha1!$H343)</f>
        <v>139.99</v>
      </c>
      <c r="M343" s="5">
        <f ca="1">IF([1]Planilha1!$I343="","",[1]Planilha1!$I343)</f>
        <v>129.99</v>
      </c>
      <c r="N343" s="2" cm="1">
        <f t="array" aca="1" ref="N343" ca="1">IFERROR(VALUE(_xlfn.REGEXEXTRACT([1]Planilha1!$E343,"(\d+)\s*MESES",2)),IFERROR(VALUE(_xlfn.REGEXEXTRACT([1]Planilha1!$E343,"por\s*(\d+)\s*M",2)),IF(_xlfn.REGEXTEST([1]Planilha1!$E343,"1[ºª]"),1,"")))</f>
        <v>6</v>
      </c>
      <c r="O343" s="6">
        <f t="shared" ca="1" si="24"/>
        <v>0.23331666666666667</v>
      </c>
      <c r="P343" t="str">
        <f ca="1">IF([1]Planilha1!$J343="","",TRIM([1]Planilha1!$J343))</f>
        <v>0</v>
      </c>
      <c r="Q343" s="7">
        <f ca="1">IF($D343="Claro","",IFERROR($L343-VLOOKUP($B343&amp;"|Claro",[1]AUX_CLARO!$A:$C,2,FALSE),""))</f>
        <v>9.0000000000003411E-2</v>
      </c>
      <c r="R343" s="8">
        <f ca="1">IF($D343="Claro","",IFERROR($J343-VLOOKUP($B343&amp;"|Claro",[1]AUX_CLARO!$A:$C,3,FALSE),""))</f>
        <v>0</v>
      </c>
      <c r="S343" t="str">
        <f t="shared" ca="1" si="25"/>
        <v>Claro mais barata</v>
      </c>
      <c r="T343" t="str">
        <f t="shared" ca="1" si="26"/>
        <v>Mesma velocidade</v>
      </c>
      <c r="U343" s="9">
        <f t="shared" si="27"/>
        <v>46174</v>
      </c>
      <c r="V343" t="str">
        <f ca="1">IF(OR([1]Planilha1!$B343="",[1]Planilha1!$B343="NÃO MAPEADO"),"",TRIM([1]Planilha1!$B343))</f>
        <v>NOROESTE</v>
      </c>
      <c r="W343" t="str">
        <f ca="1">IF([1]Planilha1!$C343="","",TRIM([1]Planilha1!$C343))</f>
        <v>MD 2</v>
      </c>
      <c r="X343" t="str">
        <f ca="1">IFERROR(VLOOKUP($C343,[1]Planilha2!$B:$H,7,FALSE),"")</f>
        <v>15400-001</v>
      </c>
    </row>
    <row r="344" spans="1:24" x14ac:dyDescent="0.35">
      <c r="A344" t="str">
        <f ca="1">IF(LEFT(TEXT([1]Planilha1!$L344,"0000000"),1)="5","MS","SP")</f>
        <v>SP</v>
      </c>
      <c r="B344" t="str">
        <f ca="1">IF(RIGHT([1]Planilha1!$A344,5)=" - MS",LEFT([1]Planilha1!$A344,LEN([1]Planilha1!$A344)-5),TRIM([1]Planilha1!$A344))</f>
        <v>OLIMPIA</v>
      </c>
      <c r="C344" s="2">
        <f ca="1">[1]Planilha1!$L344</f>
        <v>3533908</v>
      </c>
      <c r="D344" t="str">
        <f>TRIM([1]Planilha1!$D344)</f>
        <v>ISP LOCAL</v>
      </c>
      <c r="E344" t="str">
        <f>IF(TRIM([1]Planilha1!$D344)="Claro","Claro","Concorrente")</f>
        <v>Concorrente</v>
      </c>
      <c r="F344" t="s">
        <v>77</v>
      </c>
      <c r="G344" t="str">
        <f t="shared" ca="1" si="23"/>
        <v>Banda Larga + Conteudo</v>
      </c>
      <c r="H344" t="str">
        <f ca="1">TRIM([1]Planilha1!$E344)</f>
        <v>TURBO X - 500M R$89,90</v>
      </c>
      <c r="I344" t="str">
        <f ca="1">IF([1]Planilha1!$F344="","",TRIM([1]Planilha1!$F344))</f>
        <v>Fibra</v>
      </c>
      <c r="J344" s="3">
        <f ca="1">IF([1]Planilha1!$G344="","",[1]Planilha1!$G344)</f>
        <v>500</v>
      </c>
      <c r="K344" s="4" t="str" cm="1">
        <f t="array" aca="1" ref="K344" ca="1">IFERROR(VALUE(_xlfn.REGEXEXTRACT([1]Planilha1!$E344,"\+\s*(\d+)GB",2)),"")</f>
        <v/>
      </c>
      <c r="L344" s="5">
        <f ca="1">IF([1]Planilha1!$H344="","",[1]Planilha1!$H344)</f>
        <v>89.9</v>
      </c>
      <c r="M344" s="5" t="str">
        <f ca="1">IF([1]Planilha1!$I344="","",[1]Planilha1!$I344)</f>
        <v/>
      </c>
      <c r="N344" s="2" t="str" cm="1">
        <f t="array" aca="1" ref="N344" ca="1">IFERROR(VALUE(_xlfn.REGEXEXTRACT([1]Planilha1!$E344,"(\d+)\s*MESES",2)),IFERROR(VALUE(_xlfn.REGEXEXTRACT([1]Planilha1!$E344,"por\s*(\d+)\s*M",2)),IF(_xlfn.REGEXTEST([1]Planilha1!$E344,"1[ºª]"),1,"")))</f>
        <v/>
      </c>
      <c r="O344" s="6">
        <f t="shared" ca="1" si="24"/>
        <v>0.17980000000000002</v>
      </c>
      <c r="P344" t="str">
        <f ca="1">IF([1]Planilha1!$J344="","",TRIM([1]Planilha1!$J344))</f>
        <v>0</v>
      </c>
      <c r="Q344" s="7">
        <f ca="1">IF($D344="Claro","",IFERROR($L344-VLOOKUP($B344&amp;"|Claro",[1]AUX_CLARO!$A:$C,2,FALSE),""))</f>
        <v>-50</v>
      </c>
      <c r="R344" s="8">
        <f ca="1">IF($D344="Claro","",IFERROR($J344-VLOOKUP($B344&amp;"|Claro",[1]AUX_CLARO!$A:$C,3,FALSE),""))</f>
        <v>-100</v>
      </c>
      <c r="S344" t="str">
        <f t="shared" ca="1" si="25"/>
        <v>Claro mais cara</v>
      </c>
      <c r="T344" t="str">
        <f t="shared" ca="1" si="26"/>
        <v>Claro com maior velocidade</v>
      </c>
      <c r="U344" s="9">
        <f t="shared" si="27"/>
        <v>46174</v>
      </c>
      <c r="V344" t="str">
        <f ca="1">IF(OR([1]Planilha1!$B344="",[1]Planilha1!$B344="NÃO MAPEADO"),"",TRIM([1]Planilha1!$B344))</f>
        <v>NOROESTE</v>
      </c>
      <c r="W344" t="str">
        <f ca="1">IF([1]Planilha1!$C344="","",TRIM([1]Planilha1!$C344))</f>
        <v>MD 2</v>
      </c>
      <c r="X344" t="str">
        <f ca="1">IFERROR(VLOOKUP($C344,[1]Planilha2!$B:$H,7,FALSE),"")</f>
        <v>15400-001</v>
      </c>
    </row>
    <row r="345" spans="1:24" x14ac:dyDescent="0.35">
      <c r="A345" t="str">
        <f ca="1">IF(LEFT(TEXT([1]Planilha1!$L345,"0000000"),1)="5","MS","SP")</f>
        <v>SP</v>
      </c>
      <c r="B345" t="str">
        <f ca="1">IF(RIGHT([1]Planilha1!$A345,5)=" - MS",LEFT([1]Planilha1!$A345,LEN([1]Planilha1!$A345)-5),TRIM([1]Planilha1!$A345))</f>
        <v>ORLANDIA</v>
      </c>
      <c r="C345" s="2">
        <f ca="1">[1]Planilha1!$L345</f>
        <v>3534302</v>
      </c>
      <c r="D345" t="str">
        <f>TRIM([1]Planilha1!$D345)</f>
        <v>Claro</v>
      </c>
      <c r="E345" t="str">
        <f>IF(TRIM([1]Planilha1!$D345)="Claro","Claro","Concorrente")</f>
        <v>Claro</v>
      </c>
      <c r="F345" t="s">
        <v>24</v>
      </c>
      <c r="G345" t="str">
        <f t="shared" ca="1" si="23"/>
        <v>Banda Larga + Movel</v>
      </c>
      <c r="H345" t="str">
        <f ca="1">TRIM([1]Planilha1!$E345)</f>
        <v>600M+100GB=R$109,90 por 6M, após R$139,90</v>
      </c>
      <c r="I345" t="str">
        <f ca="1">IF([1]Planilha1!$F345="","",TRIM([1]Planilha1!$F345))</f>
        <v>Fibra</v>
      </c>
      <c r="J345" s="3">
        <f ca="1">IF([1]Planilha1!$G345="","",[1]Planilha1!$G345)</f>
        <v>600</v>
      </c>
      <c r="K345" s="4" cm="1">
        <f t="array" aca="1" ref="K345" ca="1">IFERROR(VALUE(_xlfn.REGEXEXTRACT([1]Planilha1!$E345,"\+\s*(\d+)GB",2)),"")</f>
        <v>100</v>
      </c>
      <c r="L345" s="5">
        <f ca="1">IF([1]Planilha1!$H345="","",[1]Planilha1!$H345)</f>
        <v>139.9</v>
      </c>
      <c r="M345" s="5">
        <f ca="1">IF([1]Planilha1!$I345="","",[1]Planilha1!$I345)</f>
        <v>109.9</v>
      </c>
      <c r="N345" s="2" cm="1">
        <f t="array" aca="1" ref="N345" ca="1">IFERROR(VALUE(_xlfn.REGEXEXTRACT([1]Planilha1!$E345,"(\d+)\s*MESES",2)),IFERROR(VALUE(_xlfn.REGEXEXTRACT([1]Planilha1!$E345,"por\s*(\d+)\s*M",2)),IF(_xlfn.REGEXTEST([1]Planilha1!$E345,"1[ºª]"),1,"")))</f>
        <v>6</v>
      </c>
      <c r="O345" s="6">
        <f t="shared" ca="1" si="24"/>
        <v>0.23316666666666669</v>
      </c>
      <c r="P345" t="str">
        <f ca="1">IF([1]Planilha1!$J345="","",TRIM([1]Planilha1!$J345))</f>
        <v>GLOBOPLAY</v>
      </c>
      <c r="Q345" s="7" t="str">
        <f>IF($D345="Claro","",IFERROR($L345-VLOOKUP($B345&amp;"|Claro",[1]AUX_CLARO!$A:$C,2,FALSE),""))</f>
        <v/>
      </c>
      <c r="R345" s="8" t="str">
        <f>IF($D345="Claro","",IFERROR($J345-VLOOKUP($B345&amp;"|Claro",[1]AUX_CLARO!$A:$C,3,FALSE),""))</f>
        <v/>
      </c>
      <c r="S345" t="str">
        <f t="shared" si="25"/>
        <v/>
      </c>
      <c r="T345" t="str">
        <f t="shared" si="26"/>
        <v/>
      </c>
      <c r="U345" s="9">
        <f t="shared" si="27"/>
        <v>46174</v>
      </c>
      <c r="V345" t="str">
        <f ca="1">IF(OR([1]Planilha1!$B345="",[1]Planilha1!$B345="NÃO MAPEADO"),"",TRIM([1]Planilha1!$B345))</f>
        <v>NOROESTE</v>
      </c>
      <c r="W345" t="str">
        <f ca="1">IF([1]Planilha1!$C345="","",TRIM([1]Planilha1!$C345))</f>
        <v>MD 2</v>
      </c>
      <c r="X345" t="str">
        <f ca="1">IFERROR(VLOOKUP($C345,[1]Planilha2!$B:$H,7,FALSE),"")</f>
        <v>14620-001</v>
      </c>
    </row>
    <row r="346" spans="1:24" x14ac:dyDescent="0.35">
      <c r="A346" t="str">
        <f ca="1">IF(LEFT(TEXT([1]Planilha1!$L346,"0000000"),1)="5","MS","SP")</f>
        <v>SP</v>
      </c>
      <c r="B346" t="str">
        <f ca="1">IF(RIGHT([1]Planilha1!$A346,5)=" - MS",LEFT([1]Planilha1!$A346,LEN([1]Planilha1!$A346)-5),TRIM([1]Planilha1!$A346))</f>
        <v>ORLANDIA</v>
      </c>
      <c r="C346" s="2">
        <f ca="1">[1]Planilha1!$L346</f>
        <v>3534302</v>
      </c>
      <c r="D346" t="str">
        <f>TRIM([1]Planilha1!$D346)</f>
        <v>Algar</v>
      </c>
      <c r="E346" t="str">
        <f>IF(TRIM([1]Planilha1!$D346)="Claro","Claro","Concorrente")</f>
        <v>Concorrente</v>
      </c>
      <c r="F346" t="s">
        <v>38</v>
      </c>
      <c r="G346" t="str">
        <f t="shared" ca="1" si="23"/>
        <v>Banda Larga + Conteudo</v>
      </c>
      <c r="H346" t="str">
        <f ca="1">TRIM([1]Planilha1!$E346)</f>
        <v>800M R$99,90</v>
      </c>
      <c r="I346" t="str">
        <f ca="1">IF([1]Planilha1!$F346="","",TRIM([1]Planilha1!$F346))</f>
        <v>Fibra</v>
      </c>
      <c r="J346" s="3">
        <f ca="1">IF([1]Planilha1!$G346="","",[1]Planilha1!$G346)</f>
        <v>800</v>
      </c>
      <c r="K346" s="4" t="str" cm="1">
        <f t="array" aca="1" ref="K346" ca="1">IFERROR(VALUE(_xlfn.REGEXEXTRACT([1]Planilha1!$E346,"\+\s*(\d+)GB",2)),"")</f>
        <v/>
      </c>
      <c r="L346" s="5">
        <f ca="1">IF([1]Planilha1!$H346="","",[1]Planilha1!$H346)</f>
        <v>99.9</v>
      </c>
      <c r="M346" s="5" t="str">
        <f ca="1">IF([1]Planilha1!$I346="","",[1]Planilha1!$I346)</f>
        <v/>
      </c>
      <c r="N346" s="2" t="str" cm="1">
        <f t="array" aca="1" ref="N346" ca="1">IFERROR(VALUE(_xlfn.REGEXEXTRACT([1]Planilha1!$E346,"(\d+)\s*MESES",2)),IFERROR(VALUE(_xlfn.REGEXEXTRACT([1]Planilha1!$E346,"por\s*(\d+)\s*M",2)),IF(_xlfn.REGEXTEST([1]Planilha1!$E346,"1[ºª]"),1,"")))</f>
        <v/>
      </c>
      <c r="O346" s="6">
        <f t="shared" ca="1" si="24"/>
        <v>0.12487500000000001</v>
      </c>
      <c r="P346" t="str">
        <f ca="1">IF([1]Planilha1!$J346="","",TRIM([1]Planilha1!$J346))</f>
        <v>0</v>
      </c>
      <c r="Q346" s="7">
        <f ca="1">IF($D346="Claro","",IFERROR($L346-VLOOKUP($B346&amp;"|Claro",[1]AUX_CLARO!$A:$C,2,FALSE),""))</f>
        <v>-40</v>
      </c>
      <c r="R346" s="8">
        <f ca="1">IF($D346="Claro","",IFERROR($J346-VLOOKUP($B346&amp;"|Claro",[1]AUX_CLARO!$A:$C,3,FALSE),""))</f>
        <v>200</v>
      </c>
      <c r="S346" t="str">
        <f t="shared" ca="1" si="25"/>
        <v>Claro mais cara</v>
      </c>
      <c r="T346" t="str">
        <f t="shared" ca="1" si="26"/>
        <v>Claro com menor velocidade</v>
      </c>
      <c r="U346" s="9">
        <f t="shared" si="27"/>
        <v>46174</v>
      </c>
      <c r="V346" t="str">
        <f ca="1">IF(OR([1]Planilha1!$B346="",[1]Planilha1!$B346="NÃO MAPEADO"),"",TRIM([1]Planilha1!$B346))</f>
        <v>NOROESTE</v>
      </c>
      <c r="W346" t="str">
        <f ca="1">IF([1]Planilha1!$C346="","",TRIM([1]Planilha1!$C346))</f>
        <v>MD 2</v>
      </c>
      <c r="X346" t="str">
        <f ca="1">IFERROR(VLOOKUP($C346,[1]Planilha2!$B:$H,7,FALSE),"")</f>
        <v>14620-001</v>
      </c>
    </row>
    <row r="347" spans="1:24" x14ac:dyDescent="0.35">
      <c r="A347" t="str">
        <f ca="1">IF(LEFT(TEXT([1]Planilha1!$L347,"0000000"),1)="5","MS","SP")</f>
        <v>SP</v>
      </c>
      <c r="B347" t="str">
        <f ca="1">IF(RIGHT([1]Planilha1!$A347,5)=" - MS",LEFT([1]Planilha1!$A347,LEN([1]Planilha1!$A347)-5),TRIM([1]Planilha1!$A347))</f>
        <v>ORLANDIA</v>
      </c>
      <c r="C347" s="2">
        <f ca="1">[1]Planilha1!$L347</f>
        <v>3534302</v>
      </c>
      <c r="D347" t="str">
        <f>TRIM([1]Planilha1!$D347)</f>
        <v>Weclix</v>
      </c>
      <c r="E347" t="str">
        <f>IF(TRIM([1]Planilha1!$D347)="Claro","Claro","Concorrente")</f>
        <v>Concorrente</v>
      </c>
      <c r="F347" t="s">
        <v>34</v>
      </c>
      <c r="G347" t="str">
        <f t="shared" ca="1" si="23"/>
        <v>Banda Larga + Conteudo</v>
      </c>
      <c r="H347" t="str">
        <f ca="1">TRIM([1]Planilha1!$E347)</f>
        <v>1GB R$59,90 - 1ª MENSALIDADE, APÓS R$99,90</v>
      </c>
      <c r="I347" t="str">
        <f ca="1">IF([1]Planilha1!$F347="","",TRIM([1]Planilha1!$F347))</f>
        <v>Fibra</v>
      </c>
      <c r="J347" s="3">
        <f ca="1">IF([1]Planilha1!$G347="","",[1]Planilha1!$G347)</f>
        <v>1000</v>
      </c>
      <c r="K347" s="4" t="str" cm="1">
        <f t="array" aca="1" ref="K347" ca="1">IFERROR(VALUE(_xlfn.REGEXEXTRACT([1]Planilha1!$E347,"\+\s*(\d+)GB",2)),"")</f>
        <v/>
      </c>
      <c r="L347" s="5">
        <f ca="1">IF([1]Planilha1!$H347="","",[1]Planilha1!$H347)</f>
        <v>99.9</v>
      </c>
      <c r="M347" s="5">
        <f ca="1">IF([1]Planilha1!$I347="","",[1]Planilha1!$I347)</f>
        <v>59.9</v>
      </c>
      <c r="N347" s="2" cm="1">
        <f t="array" aca="1" ref="N347" ca="1">IFERROR(VALUE(_xlfn.REGEXEXTRACT([1]Planilha1!$E347,"(\d+)\s*MESES",2)),IFERROR(VALUE(_xlfn.REGEXEXTRACT([1]Planilha1!$E347,"por\s*(\d+)\s*M",2)),IF(_xlfn.REGEXTEST([1]Planilha1!$E347,"1[ºª]"),1,"")))</f>
        <v>1</v>
      </c>
      <c r="O347" s="6">
        <f t="shared" ca="1" si="24"/>
        <v>9.9900000000000003E-2</v>
      </c>
      <c r="P347" t="str">
        <f ca="1">IF([1]Planilha1!$J347="","",TRIM([1]Planilha1!$J347))</f>
        <v>0</v>
      </c>
      <c r="Q347" s="7">
        <f ca="1">IF($D347="Claro","",IFERROR($L347-VLOOKUP($B347&amp;"|Claro",[1]AUX_CLARO!$A:$C,2,FALSE),""))</f>
        <v>-40</v>
      </c>
      <c r="R347" s="8">
        <f ca="1">IF($D347="Claro","",IFERROR($J347-VLOOKUP($B347&amp;"|Claro",[1]AUX_CLARO!$A:$C,3,FALSE),""))</f>
        <v>400</v>
      </c>
      <c r="S347" t="str">
        <f t="shared" ca="1" si="25"/>
        <v>Claro mais cara</v>
      </c>
      <c r="T347" t="str">
        <f t="shared" ca="1" si="26"/>
        <v>Claro com menor velocidade</v>
      </c>
      <c r="U347" s="9">
        <f t="shared" si="27"/>
        <v>46174</v>
      </c>
      <c r="V347" t="str">
        <f ca="1">IF(OR([1]Planilha1!$B347="",[1]Planilha1!$B347="NÃO MAPEADO"),"",TRIM([1]Planilha1!$B347))</f>
        <v>NOROESTE</v>
      </c>
      <c r="W347" t="str">
        <f ca="1">IF([1]Planilha1!$C347="","",TRIM([1]Planilha1!$C347))</f>
        <v>MD 2</v>
      </c>
      <c r="X347" t="str">
        <f ca="1">IFERROR(VLOOKUP($C347,[1]Planilha2!$B:$H,7,FALSE),"")</f>
        <v>14620-001</v>
      </c>
    </row>
    <row r="348" spans="1:24" x14ac:dyDescent="0.35">
      <c r="A348" t="str">
        <f ca="1">IF(LEFT(TEXT([1]Planilha1!$L348,"0000000"),1)="5","MS","SP")</f>
        <v>SP</v>
      </c>
      <c r="B348" t="str">
        <f ca="1">IF(RIGHT([1]Planilha1!$A348,5)=" - MS",LEFT([1]Planilha1!$A348,LEN([1]Planilha1!$A348)-5),TRIM([1]Planilha1!$A348))</f>
        <v>ORLANDIA</v>
      </c>
      <c r="C348" s="2">
        <f ca="1">[1]Planilha1!$L348</f>
        <v>3534302</v>
      </c>
      <c r="D348" t="str">
        <f>TRIM([1]Planilha1!$D348)</f>
        <v>ISP LOCAL</v>
      </c>
      <c r="E348" t="str">
        <f>IF(TRIM([1]Planilha1!$D348)="Claro","Claro","Concorrente")</f>
        <v>Concorrente</v>
      </c>
      <c r="F348" t="s">
        <v>47</v>
      </c>
      <c r="G348" t="str">
        <f t="shared" ca="1" si="23"/>
        <v>Banda Larga + Conteudo</v>
      </c>
      <c r="H348" t="str">
        <f ca="1">TRIM([1]Planilha1!$E348)</f>
        <v>ALLOHA - 600M + GLOBOPLAY R$109,99</v>
      </c>
      <c r="I348" t="str">
        <f ca="1">IF([1]Planilha1!$F348="","",TRIM([1]Planilha1!$F348))</f>
        <v>Fibra</v>
      </c>
      <c r="J348" s="3">
        <f ca="1">IF([1]Planilha1!$G348="","",[1]Planilha1!$G348)</f>
        <v>600</v>
      </c>
      <c r="K348" s="4" t="str" cm="1">
        <f t="array" aca="1" ref="K348" ca="1">IFERROR(VALUE(_xlfn.REGEXEXTRACT([1]Planilha1!$E348,"\+\s*(\d+)GB",2)),"")</f>
        <v/>
      </c>
      <c r="L348" s="5">
        <f ca="1">IF([1]Planilha1!$H348="","",[1]Planilha1!$H348)</f>
        <v>109.99</v>
      </c>
      <c r="M348" s="5" t="str">
        <f ca="1">IF([1]Planilha1!$I348="","",[1]Planilha1!$I348)</f>
        <v/>
      </c>
      <c r="N348" s="2" t="str" cm="1">
        <f t="array" aca="1" ref="N348" ca="1">IFERROR(VALUE(_xlfn.REGEXEXTRACT([1]Planilha1!$E348,"(\d+)\s*MESES",2)),IFERROR(VALUE(_xlfn.REGEXEXTRACT([1]Planilha1!$E348,"por\s*(\d+)\s*M",2)),IF(_xlfn.REGEXTEST([1]Planilha1!$E348,"1[ºª]"),1,"")))</f>
        <v/>
      </c>
      <c r="O348" s="6">
        <f t="shared" ca="1" si="24"/>
        <v>0.18331666666666666</v>
      </c>
      <c r="P348" t="str">
        <f ca="1">IF([1]Planilha1!$J348="","",TRIM([1]Planilha1!$J348))</f>
        <v>GLOBOPLAY</v>
      </c>
      <c r="Q348" s="7">
        <f ca="1">IF($D348="Claro","",IFERROR($L348-VLOOKUP($B348&amp;"|Claro",[1]AUX_CLARO!$A:$C,2,FALSE),""))</f>
        <v>-29.910000000000011</v>
      </c>
      <c r="R348" s="8">
        <f ca="1">IF($D348="Claro","",IFERROR($J348-VLOOKUP($B348&amp;"|Claro",[1]AUX_CLARO!$A:$C,3,FALSE),""))</f>
        <v>0</v>
      </c>
      <c r="S348" t="str">
        <f t="shared" ca="1" si="25"/>
        <v>Claro mais cara</v>
      </c>
      <c r="T348" t="str">
        <f t="shared" ca="1" si="26"/>
        <v>Mesma velocidade</v>
      </c>
      <c r="U348" s="9">
        <f t="shared" si="27"/>
        <v>46174</v>
      </c>
      <c r="V348" t="str">
        <f ca="1">IF(OR([1]Planilha1!$B348="",[1]Planilha1!$B348="NÃO MAPEADO"),"",TRIM([1]Planilha1!$B348))</f>
        <v>NOROESTE</v>
      </c>
      <c r="W348" t="str">
        <f ca="1">IF([1]Planilha1!$C348="","",TRIM([1]Planilha1!$C348))</f>
        <v>MD 2</v>
      </c>
      <c r="X348" t="str">
        <f ca="1">IFERROR(VLOOKUP($C348,[1]Planilha2!$B:$H,7,FALSE),"")</f>
        <v>14620-001</v>
      </c>
    </row>
    <row r="349" spans="1:24" x14ac:dyDescent="0.35">
      <c r="A349" t="str">
        <f ca="1">IF(LEFT(TEXT([1]Planilha1!$L349,"0000000"),1)="5","MS","SP")</f>
        <v>SP</v>
      </c>
      <c r="B349" t="str">
        <f ca="1">IF(RIGHT([1]Planilha1!$A349,5)=" - MS",LEFT([1]Planilha1!$A349,LEN([1]Planilha1!$A349)-5),TRIM([1]Planilha1!$A349))</f>
        <v>OURINHOS</v>
      </c>
      <c r="C349" s="2">
        <f ca="1">[1]Planilha1!$L349</f>
        <v>3534708</v>
      </c>
      <c r="D349" t="str">
        <f>TRIM([1]Planilha1!$D349)</f>
        <v>Claro</v>
      </c>
      <c r="E349" t="str">
        <f>IF(TRIM([1]Planilha1!$D349)="Claro","Claro","Concorrente")</f>
        <v>Claro</v>
      </c>
      <c r="F349" t="s">
        <v>24</v>
      </c>
      <c r="G349" t="str">
        <f t="shared" ca="1" si="23"/>
        <v>Banda Larga + Movel</v>
      </c>
      <c r="H349" t="str">
        <f ca="1">TRIM([1]Planilha1!$E349)</f>
        <v>600M+100GB=R$109,90 por 6M, após R$139,90</v>
      </c>
      <c r="I349" t="str">
        <f ca="1">IF([1]Planilha1!$F349="","",TRIM([1]Planilha1!$F349))</f>
        <v>Fibra</v>
      </c>
      <c r="J349" s="3">
        <f ca="1">IF([1]Planilha1!$G349="","",[1]Planilha1!$G349)</f>
        <v>600</v>
      </c>
      <c r="K349" s="4" cm="1">
        <f t="array" aca="1" ref="K349" ca="1">IFERROR(VALUE(_xlfn.REGEXEXTRACT([1]Planilha1!$E349,"\+\s*(\d+)GB",2)),"")</f>
        <v>100</v>
      </c>
      <c r="L349" s="5">
        <f ca="1">IF([1]Planilha1!$H349="","",[1]Planilha1!$H349)</f>
        <v>139.9</v>
      </c>
      <c r="M349" s="5">
        <f ca="1">IF([1]Planilha1!$I349="","",[1]Planilha1!$I349)</f>
        <v>109.9</v>
      </c>
      <c r="N349" s="2" cm="1">
        <f t="array" aca="1" ref="N349" ca="1">IFERROR(VALUE(_xlfn.REGEXEXTRACT([1]Planilha1!$E349,"(\d+)\s*MESES",2)),IFERROR(VALUE(_xlfn.REGEXEXTRACT([1]Planilha1!$E349,"por\s*(\d+)\s*M",2)),IF(_xlfn.REGEXTEST([1]Planilha1!$E349,"1[ºª]"),1,"")))</f>
        <v>6</v>
      </c>
      <c r="O349" s="6">
        <f t="shared" ca="1" si="24"/>
        <v>0.23316666666666669</v>
      </c>
      <c r="P349" t="str">
        <f ca="1">IF([1]Planilha1!$J349="","",TRIM([1]Planilha1!$J349))</f>
        <v>GLOBOPLAY</v>
      </c>
      <c r="Q349" s="7" t="str">
        <f>IF($D349="Claro","",IFERROR($L349-VLOOKUP($B349&amp;"|Claro",[1]AUX_CLARO!$A:$C,2,FALSE),""))</f>
        <v/>
      </c>
      <c r="R349" s="8" t="str">
        <f>IF($D349="Claro","",IFERROR($J349-VLOOKUP($B349&amp;"|Claro",[1]AUX_CLARO!$A:$C,3,FALSE),""))</f>
        <v/>
      </c>
      <c r="S349" t="str">
        <f t="shared" si="25"/>
        <v/>
      </c>
      <c r="T349" t="str">
        <f t="shared" si="26"/>
        <v/>
      </c>
      <c r="U349" s="9">
        <f t="shared" si="27"/>
        <v>46174</v>
      </c>
      <c r="V349" t="str">
        <f ca="1">IF(OR([1]Planilha1!$B349="",[1]Planilha1!$B349="NÃO MAPEADO"),"",TRIM([1]Planilha1!$B349))</f>
        <v>NOROESTE</v>
      </c>
      <c r="W349" t="str">
        <f ca="1">IF([1]Planilha1!$C349="","",TRIM([1]Planilha1!$C349))</f>
        <v>MD 2</v>
      </c>
      <c r="X349" t="str">
        <f ca="1">IFERROR(VLOOKUP($C349,[1]Planilha2!$B:$H,7,FALSE),"")</f>
        <v>19900-001</v>
      </c>
    </row>
    <row r="350" spans="1:24" x14ac:dyDescent="0.35">
      <c r="A350" t="str">
        <f ca="1">IF(LEFT(TEXT([1]Planilha1!$L350,"0000000"),1)="5","MS","SP")</f>
        <v>SP</v>
      </c>
      <c r="B350" t="str">
        <f ca="1">IF(RIGHT([1]Planilha1!$A350,5)=" - MS",LEFT([1]Planilha1!$A350,LEN([1]Planilha1!$A350)-5),TRIM([1]Planilha1!$A350))</f>
        <v>OURINHOS</v>
      </c>
      <c r="C350" s="2">
        <f ca="1">[1]Planilha1!$L350</f>
        <v>3534708</v>
      </c>
      <c r="D350" t="str">
        <f>TRIM([1]Planilha1!$D350)</f>
        <v>Vivo</v>
      </c>
      <c r="E350" t="str">
        <f>IF(TRIM([1]Planilha1!$D350)="Claro","Claro","Concorrente")</f>
        <v>Concorrente</v>
      </c>
      <c r="F350" t="s">
        <v>25</v>
      </c>
      <c r="G350" t="str">
        <f t="shared" ca="1" si="23"/>
        <v>Banda Larga + Movel</v>
      </c>
      <c r="H350" t="s">
        <v>26</v>
      </c>
      <c r="I350" t="str">
        <f ca="1">IF([1]Planilha1!$F350="","",TRIM([1]Planilha1!$F350))</f>
        <v>Fibra</v>
      </c>
      <c r="J350" s="11" t="s">
        <v>27</v>
      </c>
      <c r="K350" s="4" cm="1">
        <f t="array" aca="1" ref="K350" ca="1">IFERROR(VALUE(_xlfn.REGEXEXTRACT([1]Planilha1!$E350,"\+\s*(\d+)GB",2)),"")</f>
        <v>70</v>
      </c>
      <c r="L350" s="5">
        <v>160</v>
      </c>
      <c r="M350" s="5" t="str">
        <f ca="1">IF([1]Planilha1!$I350="","",[1]Planilha1!$I350)</f>
        <v/>
      </c>
      <c r="N350" s="2" t="str" cm="1">
        <f t="array" aca="1" ref="N350" ca="1">IFERROR(VALUE(_xlfn.REGEXEXTRACT([1]Planilha1!$E350,"(\d+)\s*MESES",2)),IFERROR(VALUE(_xlfn.REGEXEXTRACT([1]Planilha1!$E350,"por\s*(\d+)\s*M",2)),IF(_xlfn.REGEXTEST([1]Planilha1!$E350,"1[ºª]"),1,"")))</f>
        <v/>
      </c>
      <c r="O350" s="6" t="str">
        <f t="shared" si="24"/>
        <v/>
      </c>
      <c r="P350" t="str">
        <f ca="1">IF([1]Planilha1!$J350="","",TRIM([1]Planilha1!$J350))</f>
        <v>0</v>
      </c>
      <c r="Q350" s="7">
        <f ca="1">IF($D350="Claro","",IFERROR($L350-VLOOKUP($B350&amp;"|Claro",[1]AUX_CLARO!$A:$C,2,FALSE),""))</f>
        <v>20.099999999999994</v>
      </c>
      <c r="R350" s="8" t="str">
        <f ca="1">IF($D350="Claro","",IFERROR($J350-VLOOKUP($B350&amp;"|Claro",[1]AUX_CLARO!$A:$C,3,FALSE),""))</f>
        <v/>
      </c>
      <c r="S350" t="str">
        <f t="shared" ca="1" si="25"/>
        <v>Claro mais barata</v>
      </c>
      <c r="T350" t="str">
        <f t="shared" ca="1" si="26"/>
        <v/>
      </c>
      <c r="U350" s="9">
        <f t="shared" si="27"/>
        <v>46174</v>
      </c>
      <c r="V350" t="str">
        <f ca="1">IF(OR([1]Planilha1!$B350="",[1]Planilha1!$B350="NÃO MAPEADO"),"",TRIM([1]Planilha1!$B350))</f>
        <v>NOROESTE</v>
      </c>
      <c r="W350" t="str">
        <f ca="1">IF([1]Planilha1!$C350="","",TRIM([1]Planilha1!$C350))</f>
        <v>MD 2</v>
      </c>
      <c r="X350" t="str">
        <f ca="1">IFERROR(VLOOKUP($C350,[1]Planilha2!$B:$H,7,FALSE),"")</f>
        <v>19900-001</v>
      </c>
    </row>
    <row r="351" spans="1:24" x14ac:dyDescent="0.35">
      <c r="A351" t="str">
        <f ca="1">IF(LEFT(TEXT([1]Planilha1!$L351,"0000000"),1)="5","MS","SP")</f>
        <v>SP</v>
      </c>
      <c r="B351" t="str">
        <f ca="1">IF(RIGHT([1]Planilha1!$A351,5)=" - MS",LEFT([1]Planilha1!$A351,LEN([1]Planilha1!$A351)-5),TRIM([1]Planilha1!$A351))</f>
        <v>OURINHOS</v>
      </c>
      <c r="C351" s="2">
        <f ca="1">[1]Planilha1!$L351</f>
        <v>3534708</v>
      </c>
      <c r="D351" t="str">
        <f>TRIM([1]Planilha1!$D351)</f>
        <v>Alares</v>
      </c>
      <c r="E351" t="str">
        <f>IF(TRIM([1]Planilha1!$D351)="Claro","Claro","Concorrente")</f>
        <v>Concorrente</v>
      </c>
      <c r="F351" t="s">
        <v>32</v>
      </c>
      <c r="G351" t="str">
        <f t="shared" ca="1" si="23"/>
        <v>Banda Larga + Conteudo</v>
      </c>
      <c r="H351" t="str">
        <f ca="1">TRIM([1]Planilha1!$E351)</f>
        <v>1GB + GLOBOPLAY R$99,90</v>
      </c>
      <c r="I351" t="str">
        <f ca="1">IF([1]Planilha1!$F351="","",TRIM([1]Planilha1!$F351))</f>
        <v>Fibra</v>
      </c>
      <c r="J351" s="3">
        <f ca="1">IF([1]Planilha1!$G351="","",[1]Planilha1!$G351)</f>
        <v>1000</v>
      </c>
      <c r="K351" s="4" t="str" cm="1">
        <f t="array" aca="1" ref="K351" ca="1">IFERROR(VALUE(_xlfn.REGEXEXTRACT([1]Planilha1!$E351,"\+\s*(\d+)GB",2)),"")</f>
        <v/>
      </c>
      <c r="L351" s="5">
        <f ca="1">IF([1]Planilha1!$H351="","",[1]Planilha1!$H351)</f>
        <v>99.9</v>
      </c>
      <c r="M351" s="5" t="str">
        <f ca="1">IF([1]Planilha1!$I351="","",[1]Planilha1!$I351)</f>
        <v/>
      </c>
      <c r="N351" s="2" t="str" cm="1">
        <f t="array" aca="1" ref="N351" ca="1">IFERROR(VALUE(_xlfn.REGEXEXTRACT([1]Planilha1!$E351,"(\d+)\s*MESES",2)),IFERROR(VALUE(_xlfn.REGEXEXTRACT([1]Planilha1!$E351,"por\s*(\d+)\s*M",2)),IF(_xlfn.REGEXTEST([1]Planilha1!$E351,"1[ºª]"),1,"")))</f>
        <v/>
      </c>
      <c r="O351" s="6">
        <f t="shared" ca="1" si="24"/>
        <v>9.9900000000000003E-2</v>
      </c>
      <c r="P351" t="str">
        <f ca="1">IF([1]Planilha1!$J351="","",TRIM([1]Planilha1!$J351))</f>
        <v>GLOBOPLAY</v>
      </c>
      <c r="Q351" s="7">
        <f ca="1">IF($D351="Claro","",IFERROR($L351-VLOOKUP($B351&amp;"|Claro",[1]AUX_CLARO!$A:$C,2,FALSE),""))</f>
        <v>-40</v>
      </c>
      <c r="R351" s="8">
        <f ca="1">IF($D351="Claro","",IFERROR($J351-VLOOKUP($B351&amp;"|Claro",[1]AUX_CLARO!$A:$C,3,FALSE),""))</f>
        <v>400</v>
      </c>
      <c r="S351" t="str">
        <f t="shared" ca="1" si="25"/>
        <v>Claro mais cara</v>
      </c>
      <c r="T351" t="str">
        <f t="shared" ca="1" si="26"/>
        <v>Claro com menor velocidade</v>
      </c>
      <c r="U351" s="9">
        <f t="shared" si="27"/>
        <v>46174</v>
      </c>
      <c r="V351" t="str">
        <f ca="1">IF(OR([1]Planilha1!$B351="",[1]Planilha1!$B351="NÃO MAPEADO"),"",TRIM([1]Planilha1!$B351))</f>
        <v>NOROESTE</v>
      </c>
      <c r="W351" t="str">
        <f ca="1">IF([1]Planilha1!$C351="","",TRIM([1]Planilha1!$C351))</f>
        <v>MD 2</v>
      </c>
      <c r="X351" t="str">
        <f ca="1">IFERROR(VLOOKUP($C351,[1]Planilha2!$B:$H,7,FALSE),"")</f>
        <v>19900-001</v>
      </c>
    </row>
    <row r="352" spans="1:24" x14ac:dyDescent="0.35">
      <c r="A352" t="str">
        <f ca="1">IF(LEFT(TEXT([1]Planilha1!$L352,"0000000"),1)="5","MS","SP")</f>
        <v>SP</v>
      </c>
      <c r="B352" t="str">
        <f ca="1">IF(RIGHT([1]Planilha1!$A352,5)=" - MS",LEFT([1]Planilha1!$A352,LEN([1]Planilha1!$A352)-5),TRIM([1]Planilha1!$A352))</f>
        <v>OURINHOS</v>
      </c>
      <c r="C352" s="2">
        <f ca="1">[1]Planilha1!$L352</f>
        <v>3534708</v>
      </c>
      <c r="D352" t="str">
        <f>TRIM([1]Planilha1!$D352)</f>
        <v>ISP LOCAL</v>
      </c>
      <c r="E352" t="str">
        <f>IF(TRIM([1]Planilha1!$D352)="Claro","Claro","Concorrente")</f>
        <v>Concorrente</v>
      </c>
      <c r="F352" t="s">
        <v>28</v>
      </c>
      <c r="G352" t="str">
        <f t="shared" ca="1" si="23"/>
        <v>Banda Larga + Conteudo</v>
      </c>
      <c r="H352" t="str">
        <f ca="1">TRIM([1]Planilha1!$E352)</f>
        <v>CABONNET - 600M R$49,95 - 3 MESES, APÓS R$99,90</v>
      </c>
      <c r="I352" t="str">
        <f ca="1">IF([1]Planilha1!$F352="","",TRIM([1]Planilha1!$F352))</f>
        <v>Fibra</v>
      </c>
      <c r="J352" s="3">
        <f ca="1">IF([1]Planilha1!$G352="","",[1]Planilha1!$G352)</f>
        <v>600</v>
      </c>
      <c r="K352" s="4" t="str" cm="1">
        <f t="array" aca="1" ref="K352" ca="1">IFERROR(VALUE(_xlfn.REGEXEXTRACT([1]Planilha1!$E352,"\+\s*(\d+)GB",2)),"")</f>
        <v/>
      </c>
      <c r="L352" s="5">
        <f ca="1">IF([1]Planilha1!$H352="","",[1]Planilha1!$H352)</f>
        <v>99.9</v>
      </c>
      <c r="M352" s="5">
        <f ca="1">IF([1]Planilha1!$I352="","",[1]Planilha1!$I352)</f>
        <v>49.95</v>
      </c>
      <c r="N352" s="2" cm="1">
        <f t="array" aca="1" ref="N352" ca="1">IFERROR(VALUE(_xlfn.REGEXEXTRACT([1]Planilha1!$E352,"(\d+)\s*MESES",2)),IFERROR(VALUE(_xlfn.REGEXEXTRACT([1]Planilha1!$E352,"por\s*(\d+)\s*M",2)),IF(_xlfn.REGEXTEST([1]Planilha1!$E352,"1[ºª]"),1,"")))</f>
        <v>3</v>
      </c>
      <c r="O352" s="6">
        <f t="shared" ca="1" si="24"/>
        <v>0.16650000000000001</v>
      </c>
      <c r="P352" t="str">
        <f ca="1">IF([1]Planilha1!$J352="","",TRIM([1]Planilha1!$J352))</f>
        <v>0</v>
      </c>
      <c r="Q352" s="7">
        <f ca="1">IF($D352="Claro","",IFERROR($L352-VLOOKUP($B352&amp;"|Claro",[1]AUX_CLARO!$A:$C,2,FALSE),""))</f>
        <v>-40</v>
      </c>
      <c r="R352" s="8">
        <f ca="1">IF($D352="Claro","",IFERROR($J352-VLOOKUP($B352&amp;"|Claro",[1]AUX_CLARO!$A:$C,3,FALSE),""))</f>
        <v>0</v>
      </c>
      <c r="S352" t="str">
        <f t="shared" ca="1" si="25"/>
        <v>Claro mais cara</v>
      </c>
      <c r="T352" t="str">
        <f t="shared" ca="1" si="26"/>
        <v>Mesma velocidade</v>
      </c>
      <c r="U352" s="9">
        <f t="shared" si="27"/>
        <v>46174</v>
      </c>
      <c r="V352" t="str">
        <f ca="1">IF(OR([1]Planilha1!$B352="",[1]Planilha1!$B352="NÃO MAPEADO"),"",TRIM([1]Planilha1!$B352))</f>
        <v>NOROESTE</v>
      </c>
      <c r="W352" t="str">
        <f ca="1">IF([1]Planilha1!$C352="","",TRIM([1]Planilha1!$C352))</f>
        <v>MD 2</v>
      </c>
      <c r="X352" t="str">
        <f ca="1">IFERROR(VLOOKUP($C352,[1]Planilha2!$B:$H,7,FALSE),"")</f>
        <v>19900-001</v>
      </c>
    </row>
    <row r="353" spans="1:24" x14ac:dyDescent="0.35">
      <c r="A353" t="str">
        <f ca="1">IF(LEFT(TEXT([1]Planilha1!$L353,"0000000"),1)="5","MS","SP")</f>
        <v>SP</v>
      </c>
      <c r="B353" t="str">
        <f ca="1">IF(RIGHT([1]Planilha1!$A353,5)=" - MS",LEFT([1]Planilha1!$A353,LEN([1]Planilha1!$A353)-5),TRIM([1]Planilha1!$A353))</f>
        <v>PAULINIA</v>
      </c>
      <c r="C353" s="2">
        <f ca="1">[1]Planilha1!$L353</f>
        <v>3536505</v>
      </c>
      <c r="D353" t="str">
        <f>TRIM([1]Planilha1!$D353)</f>
        <v>Claro</v>
      </c>
      <c r="E353" t="str">
        <f>IF(TRIM([1]Planilha1!$D353)="Claro","Claro","Concorrente")</f>
        <v>Claro</v>
      </c>
      <c r="F353" t="s">
        <v>24</v>
      </c>
      <c r="G353" t="str">
        <f t="shared" ca="1" si="23"/>
        <v>Banda Larga + Movel</v>
      </c>
      <c r="H353" t="str">
        <f ca="1">TRIM([1]Planilha1!$E353)</f>
        <v>600M+100GB=R$159,90</v>
      </c>
      <c r="I353" t="str">
        <f ca="1">IF([1]Planilha1!$F353="","",TRIM([1]Planilha1!$F353))</f>
        <v>Fibra</v>
      </c>
      <c r="J353" s="3">
        <f ca="1">IF([1]Planilha1!$G353="","",[1]Planilha1!$G353)</f>
        <v>600</v>
      </c>
      <c r="K353" s="4" cm="1">
        <f t="array" aca="1" ref="K353" ca="1">IFERROR(VALUE(_xlfn.REGEXEXTRACT([1]Planilha1!$E353,"\+\s*(\d+)GB",2)),"")</f>
        <v>100</v>
      </c>
      <c r="L353" s="5">
        <f ca="1">IF([1]Planilha1!$H353="","",[1]Planilha1!$H353)</f>
        <v>159.9</v>
      </c>
      <c r="M353" s="5" t="str">
        <f ca="1">IF([1]Planilha1!$I353="","",[1]Planilha1!$I353)</f>
        <v/>
      </c>
      <c r="N353" s="2" t="str" cm="1">
        <f t="array" aca="1" ref="N353" ca="1">IFERROR(VALUE(_xlfn.REGEXEXTRACT([1]Planilha1!$E353,"(\d+)\s*MESES",2)),IFERROR(VALUE(_xlfn.REGEXEXTRACT([1]Planilha1!$E353,"por\s*(\d+)\s*M",2)),IF(_xlfn.REGEXTEST([1]Planilha1!$E353,"1[ºª]"),1,"")))</f>
        <v/>
      </c>
      <c r="O353" s="6">
        <f t="shared" ca="1" si="24"/>
        <v>0.26650000000000001</v>
      </c>
      <c r="P353" t="str">
        <f ca="1">IF([1]Planilha1!$J353="","",TRIM([1]Planilha1!$J353))</f>
        <v>GLOBOPLAY</v>
      </c>
      <c r="Q353" s="7" t="str">
        <f>IF($D353="Claro","",IFERROR($L353-VLOOKUP($B353&amp;"|Claro",[1]AUX_CLARO!$A:$C,2,FALSE),""))</f>
        <v/>
      </c>
      <c r="R353" s="8" t="str">
        <f>IF($D353="Claro","",IFERROR($J353-VLOOKUP($B353&amp;"|Claro",[1]AUX_CLARO!$A:$C,3,FALSE),""))</f>
        <v/>
      </c>
      <c r="S353" t="str">
        <f t="shared" si="25"/>
        <v/>
      </c>
      <c r="T353" t="str">
        <f t="shared" si="26"/>
        <v/>
      </c>
      <c r="U353" s="9">
        <f t="shared" si="27"/>
        <v>46174</v>
      </c>
      <c r="V353" t="str">
        <f ca="1">IF(OR([1]Planilha1!$B353="",[1]Planilha1!$B353="NÃO MAPEADO"),"",TRIM([1]Planilha1!$B353))</f>
        <v>CENTRAL</v>
      </c>
      <c r="W353" t="str">
        <f ca="1">IF([1]Planilha1!$C353="","",TRIM([1]Planilha1!$C353))</f>
        <v>PADRÃO</v>
      </c>
      <c r="X353" t="str">
        <f ca="1">IFERROR(VLOOKUP($C353,[1]Planilha2!$B:$H,7,FALSE),"")</f>
        <v>13140-001</v>
      </c>
    </row>
    <row r="354" spans="1:24" x14ac:dyDescent="0.35">
      <c r="A354" t="str">
        <f ca="1">IF(LEFT(TEXT([1]Planilha1!$L354,"0000000"),1)="5","MS","SP")</f>
        <v>SP</v>
      </c>
      <c r="B354" t="str">
        <f ca="1">IF(RIGHT([1]Planilha1!$A354,5)=" - MS",LEFT([1]Planilha1!$A354,LEN([1]Planilha1!$A354)-5),TRIM([1]Planilha1!$A354))</f>
        <v>PAULINIA</v>
      </c>
      <c r="C354" s="2">
        <f ca="1">[1]Planilha1!$L354</f>
        <v>3536505</v>
      </c>
      <c r="D354" t="str">
        <f>TRIM([1]Planilha1!$D354)</f>
        <v>Vivo</v>
      </c>
      <c r="E354" t="str">
        <f>IF(TRIM([1]Planilha1!$D354)="Claro","Claro","Concorrente")</f>
        <v>Concorrente</v>
      </c>
      <c r="F354" t="s">
        <v>25</v>
      </c>
      <c r="G354" t="str">
        <f t="shared" ca="1" si="23"/>
        <v>Banda Larga + Movel</v>
      </c>
      <c r="H354" t="s">
        <v>26</v>
      </c>
      <c r="I354" t="str">
        <f ca="1">IF([1]Planilha1!$F354="","",TRIM([1]Planilha1!$F354))</f>
        <v>Fibra</v>
      </c>
      <c r="J354" s="11" t="s">
        <v>27</v>
      </c>
      <c r="K354" s="4" cm="1">
        <f t="array" aca="1" ref="K354" ca="1">IFERROR(VALUE(_xlfn.REGEXEXTRACT([1]Planilha1!$E354,"\+\s*(\d+)GB",2)),"")</f>
        <v>70</v>
      </c>
      <c r="L354" s="5">
        <v>160</v>
      </c>
      <c r="M354" s="5" t="str">
        <f ca="1">IF([1]Planilha1!$I354="","",[1]Planilha1!$I354)</f>
        <v/>
      </c>
      <c r="N354" s="2" t="str" cm="1">
        <f t="array" aca="1" ref="N354" ca="1">IFERROR(VALUE(_xlfn.REGEXEXTRACT([1]Planilha1!$E354,"(\d+)\s*MESES",2)),IFERROR(VALUE(_xlfn.REGEXEXTRACT([1]Planilha1!$E354,"por\s*(\d+)\s*M",2)),IF(_xlfn.REGEXTEST([1]Planilha1!$E354,"1[ºª]"),1,"")))</f>
        <v/>
      </c>
      <c r="O354" s="6" t="str">
        <f t="shared" si="24"/>
        <v/>
      </c>
      <c r="P354" t="str">
        <f ca="1">IF([1]Planilha1!$J354="","",TRIM([1]Planilha1!$J354))</f>
        <v>0</v>
      </c>
      <c r="Q354" s="7">
        <f ca="1">IF($D354="Claro","",IFERROR($L354-VLOOKUP($B354&amp;"|Claro",[1]AUX_CLARO!$A:$C,2,FALSE),""))</f>
        <v>9.9999999999994316E-2</v>
      </c>
      <c r="R354" s="8" t="str">
        <f ca="1">IF($D354="Claro","",IFERROR($J354-VLOOKUP($B354&amp;"|Claro",[1]AUX_CLARO!$A:$C,3,FALSE),""))</f>
        <v/>
      </c>
      <c r="S354" t="str">
        <f t="shared" ca="1" si="25"/>
        <v>Claro mais barata</v>
      </c>
      <c r="T354" t="str">
        <f t="shared" ca="1" si="26"/>
        <v/>
      </c>
      <c r="U354" s="9">
        <f t="shared" si="27"/>
        <v>46174</v>
      </c>
      <c r="V354" t="str">
        <f ca="1">IF(OR([1]Planilha1!$B354="",[1]Planilha1!$B354="NÃO MAPEADO"),"",TRIM([1]Planilha1!$B354))</f>
        <v>CENTRAL</v>
      </c>
      <c r="W354" t="str">
        <f ca="1">IF([1]Planilha1!$C354="","",TRIM([1]Planilha1!$C354))</f>
        <v>PADRÃO</v>
      </c>
      <c r="X354" t="str">
        <f ca="1">IFERROR(VLOOKUP($C354,[1]Planilha2!$B:$H,7,FALSE),"")</f>
        <v>13140-001</v>
      </c>
    </row>
    <row r="355" spans="1:24" x14ac:dyDescent="0.35">
      <c r="A355" t="str">
        <f ca="1">IF(LEFT(TEXT([1]Planilha1!$L355,"0000000"),1)="5","MS","SP")</f>
        <v>SP</v>
      </c>
      <c r="B355" t="str">
        <f ca="1">IF(RIGHT([1]Planilha1!$A355,5)=" - MS",LEFT([1]Planilha1!$A355,LEN([1]Planilha1!$A355)-5),TRIM([1]Planilha1!$A355))</f>
        <v>PAULINIA</v>
      </c>
      <c r="C355" s="2">
        <f ca="1">[1]Planilha1!$L355</f>
        <v>3536505</v>
      </c>
      <c r="D355" t="str">
        <f>TRIM([1]Planilha1!$D355)</f>
        <v>Desktop</v>
      </c>
      <c r="E355" t="str">
        <f>IF(TRIM([1]Planilha1!$D355)="Claro","Claro","Concorrente")</f>
        <v>Concorrente</v>
      </c>
      <c r="F355" t="s">
        <v>29</v>
      </c>
      <c r="G355" t="str">
        <f t="shared" ca="1" si="23"/>
        <v>Banda Larga + Movel</v>
      </c>
      <c r="H355" t="str">
        <f ca="1">TRIM([1]Planilha1!$E355)</f>
        <v>600M+15GB=R$129,99 - 6 MESES, APÓS R$139,99</v>
      </c>
      <c r="I355" t="str">
        <f ca="1">IF([1]Planilha1!$F355="","",TRIM([1]Planilha1!$F355))</f>
        <v>Fibra</v>
      </c>
      <c r="J355" s="3">
        <f ca="1">IF([1]Planilha1!$G355="","",[1]Planilha1!$G355)</f>
        <v>600</v>
      </c>
      <c r="K355" s="4" cm="1">
        <f t="array" aca="1" ref="K355" ca="1">IFERROR(VALUE(_xlfn.REGEXEXTRACT([1]Planilha1!$E355,"\+\s*(\d+)GB",2)),"")</f>
        <v>15</v>
      </c>
      <c r="L355" s="5">
        <f ca="1">IF([1]Planilha1!$H355="","",[1]Planilha1!$H355)</f>
        <v>139.99</v>
      </c>
      <c r="M355" s="5">
        <f ca="1">IF([1]Planilha1!$I355="","",[1]Planilha1!$I355)</f>
        <v>129.99</v>
      </c>
      <c r="N355" s="2" cm="1">
        <f t="array" aca="1" ref="N355" ca="1">IFERROR(VALUE(_xlfn.REGEXEXTRACT([1]Planilha1!$E355,"(\d+)\s*MESES",2)),IFERROR(VALUE(_xlfn.REGEXEXTRACT([1]Planilha1!$E355,"por\s*(\d+)\s*M",2)),IF(_xlfn.REGEXTEST([1]Planilha1!$E355,"1[ºª]"),1,"")))</f>
        <v>6</v>
      </c>
      <c r="O355" s="6">
        <f t="shared" ca="1" si="24"/>
        <v>0.23331666666666667</v>
      </c>
      <c r="P355" t="str">
        <f ca="1">IF([1]Planilha1!$J355="","",TRIM([1]Planilha1!$J355))</f>
        <v>0</v>
      </c>
      <c r="Q355" s="7">
        <f ca="1">IF($D355="Claro","",IFERROR($L355-VLOOKUP($B355&amp;"|Claro",[1]AUX_CLARO!$A:$C,2,FALSE),""))</f>
        <v>-19.909999999999997</v>
      </c>
      <c r="R355" s="8">
        <f ca="1">IF($D355="Claro","",IFERROR($J355-VLOOKUP($B355&amp;"|Claro",[1]AUX_CLARO!$A:$C,3,FALSE),""))</f>
        <v>0</v>
      </c>
      <c r="S355" t="str">
        <f t="shared" ca="1" si="25"/>
        <v>Claro mais cara</v>
      </c>
      <c r="T355" t="str">
        <f t="shared" ca="1" si="26"/>
        <v>Mesma velocidade</v>
      </c>
      <c r="U355" s="9">
        <f t="shared" si="27"/>
        <v>46174</v>
      </c>
      <c r="V355" t="str">
        <f ca="1">IF(OR([1]Planilha1!$B355="",[1]Planilha1!$B355="NÃO MAPEADO"),"",TRIM([1]Planilha1!$B355))</f>
        <v>CENTRAL</v>
      </c>
      <c r="W355" t="str">
        <f ca="1">IF([1]Planilha1!$C355="","",TRIM([1]Planilha1!$C355))</f>
        <v>PADRÃO</v>
      </c>
      <c r="X355" t="str">
        <f ca="1">IFERROR(VLOOKUP($C355,[1]Planilha2!$B:$H,7,FALSE),"")</f>
        <v>13140-001</v>
      </c>
    </row>
    <row r="356" spans="1:24" x14ac:dyDescent="0.35">
      <c r="A356" t="str">
        <f ca="1">IF(LEFT(TEXT([1]Planilha1!$L356,"0000000"),1)="5","MS","SP")</f>
        <v>SP</v>
      </c>
      <c r="B356" t="str">
        <f ca="1">IF(RIGHT([1]Planilha1!$A356,5)=" - MS",LEFT([1]Planilha1!$A356,LEN([1]Planilha1!$A356)-5),TRIM([1]Planilha1!$A356))</f>
        <v>PAULINIA</v>
      </c>
      <c r="C356" s="2">
        <f ca="1">[1]Planilha1!$L356</f>
        <v>3536505</v>
      </c>
      <c r="D356" t="str">
        <f>TRIM([1]Planilha1!$D356)</f>
        <v>Algar</v>
      </c>
      <c r="E356" t="str">
        <f>IF(TRIM([1]Planilha1!$D356)="Claro","Claro","Concorrente")</f>
        <v>Concorrente</v>
      </c>
      <c r="F356" t="s">
        <v>38</v>
      </c>
      <c r="G356" t="str">
        <f t="shared" ca="1" si="23"/>
        <v>Banda Larga + Conteudo</v>
      </c>
      <c r="H356" t="str">
        <f ca="1">TRIM([1]Planilha1!$E356)</f>
        <v>800M R$99,90</v>
      </c>
      <c r="I356" t="str">
        <f ca="1">IF([1]Planilha1!$F356="","",TRIM([1]Planilha1!$F356))</f>
        <v>Fibra</v>
      </c>
      <c r="J356" s="3">
        <f ca="1">IF([1]Planilha1!$G356="","",[1]Planilha1!$G356)</f>
        <v>800</v>
      </c>
      <c r="K356" s="4" t="str" cm="1">
        <f t="array" aca="1" ref="K356" ca="1">IFERROR(VALUE(_xlfn.REGEXEXTRACT([1]Planilha1!$E356,"\+\s*(\d+)GB",2)),"")</f>
        <v/>
      </c>
      <c r="L356" s="5">
        <f ca="1">IF([1]Planilha1!$H356="","",[1]Planilha1!$H356)</f>
        <v>99.9</v>
      </c>
      <c r="M356" s="5" t="str">
        <f ca="1">IF([1]Planilha1!$I356="","",[1]Planilha1!$I356)</f>
        <v/>
      </c>
      <c r="N356" s="2" t="str" cm="1">
        <f t="array" aca="1" ref="N356" ca="1">IFERROR(VALUE(_xlfn.REGEXEXTRACT([1]Planilha1!$E356,"(\d+)\s*MESES",2)),IFERROR(VALUE(_xlfn.REGEXEXTRACT([1]Planilha1!$E356,"por\s*(\d+)\s*M",2)),IF(_xlfn.REGEXTEST([1]Planilha1!$E356,"1[ºª]"),1,"")))</f>
        <v/>
      </c>
      <c r="O356" s="6">
        <f t="shared" ca="1" si="24"/>
        <v>0.12487500000000001</v>
      </c>
      <c r="P356" t="str">
        <f ca="1">IF([1]Planilha1!$J356="","",TRIM([1]Planilha1!$J356))</f>
        <v>0</v>
      </c>
      <c r="Q356" s="7">
        <f ca="1">IF($D356="Claro","",IFERROR($L356-VLOOKUP($B356&amp;"|Claro",[1]AUX_CLARO!$A:$C,2,FALSE),""))</f>
        <v>-60</v>
      </c>
      <c r="R356" s="8">
        <f ca="1">IF($D356="Claro","",IFERROR($J356-VLOOKUP($B356&amp;"|Claro",[1]AUX_CLARO!$A:$C,3,FALSE),""))</f>
        <v>200</v>
      </c>
      <c r="S356" t="str">
        <f t="shared" ca="1" si="25"/>
        <v>Claro mais cara</v>
      </c>
      <c r="T356" t="str">
        <f t="shared" ca="1" si="26"/>
        <v>Claro com menor velocidade</v>
      </c>
      <c r="U356" s="9">
        <f t="shared" si="27"/>
        <v>46174</v>
      </c>
      <c r="V356" t="str">
        <f ca="1">IF(OR([1]Planilha1!$B356="",[1]Planilha1!$B356="NÃO MAPEADO"),"",TRIM([1]Planilha1!$B356))</f>
        <v>CENTRAL</v>
      </c>
      <c r="W356" t="str">
        <f ca="1">IF([1]Planilha1!$C356="","",TRIM([1]Planilha1!$C356))</f>
        <v>PADRÃO</v>
      </c>
      <c r="X356" t="str">
        <f ca="1">IFERROR(VLOOKUP($C356,[1]Planilha2!$B:$H,7,FALSE),"")</f>
        <v>13140-001</v>
      </c>
    </row>
    <row r="357" spans="1:24" x14ac:dyDescent="0.35">
      <c r="A357" t="str">
        <f ca="1">IF(LEFT(TEXT([1]Planilha1!$L357,"0000000"),1)="5","MS","SP")</f>
        <v>SP</v>
      </c>
      <c r="B357" t="str">
        <f ca="1">IF(RIGHT([1]Planilha1!$A357,5)=" - MS",LEFT([1]Planilha1!$A357,LEN([1]Planilha1!$A357)-5),TRIM([1]Planilha1!$A357))</f>
        <v>PAULINIA</v>
      </c>
      <c r="C357" s="2">
        <f ca="1">[1]Planilha1!$L357</f>
        <v>3536505</v>
      </c>
      <c r="D357" t="str">
        <f>TRIM([1]Planilha1!$D357)</f>
        <v>ISP LOCAL</v>
      </c>
      <c r="E357" t="str">
        <f>IF(TRIM([1]Planilha1!$D357)="Claro","Claro","Concorrente")</f>
        <v>Concorrente</v>
      </c>
      <c r="F357" t="s">
        <v>40</v>
      </c>
      <c r="G357" t="str">
        <f t="shared" ca="1" si="23"/>
        <v>Banda Larga + Conteudo</v>
      </c>
      <c r="H357" t="str">
        <f ca="1">TRIM([1]Planilha1!$E357)</f>
        <v>XTURBO - 600M R$99,90</v>
      </c>
      <c r="I357" t="str">
        <f ca="1">IF([1]Planilha1!$F357="","",TRIM([1]Planilha1!$F357))</f>
        <v>Fibra</v>
      </c>
      <c r="J357" s="3">
        <f ca="1">IF([1]Planilha1!$G357="","",[1]Planilha1!$G357)</f>
        <v>600</v>
      </c>
      <c r="K357" s="4" t="str" cm="1">
        <f t="array" aca="1" ref="K357" ca="1">IFERROR(VALUE(_xlfn.REGEXEXTRACT([1]Planilha1!$E357,"\+\s*(\d+)GB",2)),"")</f>
        <v/>
      </c>
      <c r="L357" s="5">
        <f ca="1">IF([1]Planilha1!$H357="","",[1]Planilha1!$H357)</f>
        <v>99.9</v>
      </c>
      <c r="M357" s="5" t="str">
        <f ca="1">IF([1]Planilha1!$I357="","",[1]Planilha1!$I357)</f>
        <v/>
      </c>
      <c r="N357" s="2" t="str" cm="1">
        <f t="array" aca="1" ref="N357" ca="1">IFERROR(VALUE(_xlfn.REGEXEXTRACT([1]Planilha1!$E357,"(\d+)\s*MESES",2)),IFERROR(VALUE(_xlfn.REGEXEXTRACT([1]Planilha1!$E357,"por\s*(\d+)\s*M",2)),IF(_xlfn.REGEXTEST([1]Planilha1!$E357,"1[ºª]"),1,"")))</f>
        <v/>
      </c>
      <c r="O357" s="6">
        <f t="shared" ca="1" si="24"/>
        <v>0.16650000000000001</v>
      </c>
      <c r="P357" t="str">
        <f ca="1">IF([1]Planilha1!$J357="","",TRIM([1]Planilha1!$J357))</f>
        <v>0</v>
      </c>
      <c r="Q357" s="7">
        <f ca="1">IF($D357="Claro","",IFERROR($L357-VLOOKUP($B357&amp;"|Claro",[1]AUX_CLARO!$A:$C,2,FALSE),""))</f>
        <v>-60</v>
      </c>
      <c r="R357" s="8">
        <f ca="1">IF($D357="Claro","",IFERROR($J357-VLOOKUP($B357&amp;"|Claro",[1]AUX_CLARO!$A:$C,3,FALSE),""))</f>
        <v>0</v>
      </c>
      <c r="S357" t="str">
        <f t="shared" ca="1" si="25"/>
        <v>Claro mais cara</v>
      </c>
      <c r="T357" t="str">
        <f t="shared" ca="1" si="26"/>
        <v>Mesma velocidade</v>
      </c>
      <c r="U357" s="9">
        <f t="shared" si="27"/>
        <v>46174</v>
      </c>
      <c r="V357" t="str">
        <f ca="1">IF(OR([1]Planilha1!$B357="",[1]Planilha1!$B357="NÃO MAPEADO"),"",TRIM([1]Planilha1!$B357))</f>
        <v>CENTRAL</v>
      </c>
      <c r="W357" t="str">
        <f ca="1">IF([1]Planilha1!$C357="","",TRIM([1]Planilha1!$C357))</f>
        <v>PADRÃO</v>
      </c>
      <c r="X357" t="str">
        <f ca="1">IFERROR(VLOOKUP($C357,[1]Planilha2!$B:$H,7,FALSE),"")</f>
        <v>13140-001</v>
      </c>
    </row>
    <row r="358" spans="1:24" x14ac:dyDescent="0.35">
      <c r="A358" t="str">
        <f ca="1">IF(LEFT(TEXT([1]Planilha1!$L358,"0000000"),1)="5","MS","SP")</f>
        <v>SP</v>
      </c>
      <c r="B358" t="str">
        <f ca="1">IF(RIGHT([1]Planilha1!$A358,5)=" - MS",LEFT([1]Planilha1!$A358,LEN([1]Planilha1!$A358)-5),TRIM([1]Planilha1!$A358))</f>
        <v>PEDREIRA</v>
      </c>
      <c r="C358" s="2">
        <f ca="1">[1]Planilha1!$L358</f>
        <v>3537107</v>
      </c>
      <c r="D358" t="str">
        <f>TRIM([1]Planilha1!$D358)</f>
        <v>Claro</v>
      </c>
      <c r="E358" t="str">
        <f>IF(TRIM([1]Planilha1!$D358)="Claro","Claro","Concorrente")</f>
        <v>Claro</v>
      </c>
      <c r="F358" t="s">
        <v>24</v>
      </c>
      <c r="G358" t="str">
        <f t="shared" ca="1" si="23"/>
        <v>Banda Larga + Movel</v>
      </c>
      <c r="H358" t="str">
        <f ca="1">TRIM([1]Planilha1!$E358)</f>
        <v>600M+100GB=R$109,90 por 6M, após R$139,90</v>
      </c>
      <c r="I358" t="str">
        <f ca="1">IF([1]Planilha1!$F358="","",TRIM([1]Planilha1!$F358))</f>
        <v>Fibra</v>
      </c>
      <c r="J358" s="3">
        <f ca="1">IF([1]Planilha1!$G358="","",[1]Planilha1!$G358)</f>
        <v>600</v>
      </c>
      <c r="K358" s="4" cm="1">
        <f t="array" aca="1" ref="K358" ca="1">IFERROR(VALUE(_xlfn.REGEXEXTRACT([1]Planilha1!$E358,"\+\s*(\d+)GB",2)),"")</f>
        <v>100</v>
      </c>
      <c r="L358" s="5">
        <f ca="1">IF([1]Planilha1!$H358="","",[1]Planilha1!$H358)</f>
        <v>139.9</v>
      </c>
      <c r="M358" s="5">
        <f ca="1">IF([1]Planilha1!$I358="","",[1]Planilha1!$I358)</f>
        <v>109.9</v>
      </c>
      <c r="N358" s="2" cm="1">
        <f t="array" aca="1" ref="N358" ca="1">IFERROR(VALUE(_xlfn.REGEXEXTRACT([1]Planilha1!$E358,"(\d+)\s*MESES",2)),IFERROR(VALUE(_xlfn.REGEXEXTRACT([1]Planilha1!$E358,"por\s*(\d+)\s*M",2)),IF(_xlfn.REGEXTEST([1]Planilha1!$E358,"1[ºª]"),1,"")))</f>
        <v>6</v>
      </c>
      <c r="O358" s="6">
        <f t="shared" ca="1" si="24"/>
        <v>0.23316666666666669</v>
      </c>
      <c r="P358" t="str">
        <f ca="1">IF([1]Planilha1!$J358="","",TRIM([1]Planilha1!$J358))</f>
        <v>GLOBOPLAY</v>
      </c>
      <c r="Q358" s="7" t="str">
        <f>IF($D358="Claro","",IFERROR($L358-VLOOKUP($B358&amp;"|Claro",[1]AUX_CLARO!$A:$C,2,FALSE),""))</f>
        <v/>
      </c>
      <c r="R358" s="8" t="str">
        <f>IF($D358="Claro","",IFERROR($J358-VLOOKUP($B358&amp;"|Claro",[1]AUX_CLARO!$A:$C,3,FALSE),""))</f>
        <v/>
      </c>
      <c r="S358" t="str">
        <f t="shared" si="25"/>
        <v/>
      </c>
      <c r="T358" t="str">
        <f t="shared" si="26"/>
        <v/>
      </c>
      <c r="U358" s="9">
        <f t="shared" si="27"/>
        <v>46174</v>
      </c>
      <c r="V358" t="str">
        <f ca="1">IF(OR([1]Planilha1!$B358="",[1]Planilha1!$B358="NÃO MAPEADO"),"",TRIM([1]Planilha1!$B358))</f>
        <v>SUDESTE</v>
      </c>
      <c r="W358" t="str">
        <f ca="1">IF([1]Planilha1!$C358="","",TRIM([1]Planilha1!$C358))</f>
        <v>MD 2</v>
      </c>
      <c r="X358" s="12" t="str">
        <f ca="1">IFERROR(VLOOKUP($C358,[1]Planilha2!$B:$H,7,FALSE),"")</f>
        <v>13920-001</v>
      </c>
    </row>
    <row r="359" spans="1:24" x14ac:dyDescent="0.35">
      <c r="A359" t="str">
        <f ca="1">IF(LEFT(TEXT([1]Planilha1!$L359,"0000000"),1)="5","MS","SP")</f>
        <v>SP</v>
      </c>
      <c r="B359" t="str">
        <f ca="1">IF(RIGHT([1]Planilha1!$A359,5)=" - MS",LEFT([1]Planilha1!$A359,LEN([1]Planilha1!$A359)-5),TRIM([1]Planilha1!$A359))</f>
        <v>PEDREIRA</v>
      </c>
      <c r="C359" s="2">
        <f ca="1">[1]Planilha1!$L359</f>
        <v>3537107</v>
      </c>
      <c r="D359" t="str">
        <f>TRIM([1]Planilha1!$D359)</f>
        <v>Vivo</v>
      </c>
      <c r="E359" t="str">
        <f>IF(TRIM([1]Planilha1!$D359)="Claro","Claro","Concorrente")</f>
        <v>Concorrente</v>
      </c>
      <c r="F359" t="s">
        <v>25</v>
      </c>
      <c r="G359" t="str">
        <f t="shared" ca="1" si="23"/>
        <v>Banda Larga + Movel</v>
      </c>
      <c r="H359" t="s">
        <v>26</v>
      </c>
      <c r="I359" t="str">
        <f ca="1">IF([1]Planilha1!$F359="","",TRIM([1]Planilha1!$F359))</f>
        <v>Fibra</v>
      </c>
      <c r="J359" s="11" t="s">
        <v>27</v>
      </c>
      <c r="K359" s="4" cm="1">
        <f t="array" aca="1" ref="K359" ca="1">IFERROR(VALUE(_xlfn.REGEXEXTRACT([1]Planilha1!$E359,"\+\s*(\d+)GB",2)),"")</f>
        <v>70</v>
      </c>
      <c r="L359" s="5">
        <v>160</v>
      </c>
      <c r="M359" s="5" t="str">
        <f ca="1">IF([1]Planilha1!$I359="","",[1]Planilha1!$I359)</f>
        <v/>
      </c>
      <c r="N359" s="2" t="str" cm="1">
        <f t="array" aca="1" ref="N359" ca="1">IFERROR(VALUE(_xlfn.REGEXEXTRACT([1]Planilha1!$E359,"(\d+)\s*MESES",2)),IFERROR(VALUE(_xlfn.REGEXEXTRACT([1]Planilha1!$E359,"por\s*(\d+)\s*M",2)),IF(_xlfn.REGEXTEST([1]Planilha1!$E359,"1[ºª]"),1,"")))</f>
        <v/>
      </c>
      <c r="O359" s="6" t="str">
        <f t="shared" si="24"/>
        <v/>
      </c>
      <c r="P359" t="str">
        <f ca="1">IF([1]Planilha1!$J359="","",TRIM([1]Planilha1!$J359))</f>
        <v>0</v>
      </c>
      <c r="Q359" s="7">
        <f ca="1">IF($D359="Claro","",IFERROR($L359-VLOOKUP($B359&amp;"|Claro",[1]AUX_CLARO!$A:$C,2,FALSE),""))</f>
        <v>20.099999999999994</v>
      </c>
      <c r="R359" s="8" t="str">
        <f ca="1">IF($D359="Claro","",IFERROR($J359-VLOOKUP($B359&amp;"|Claro",[1]AUX_CLARO!$A:$C,3,FALSE),""))</f>
        <v/>
      </c>
      <c r="S359" t="str">
        <f t="shared" ca="1" si="25"/>
        <v>Claro mais barata</v>
      </c>
      <c r="T359" t="str">
        <f t="shared" ca="1" si="26"/>
        <v/>
      </c>
      <c r="U359" s="9">
        <f t="shared" si="27"/>
        <v>46174</v>
      </c>
      <c r="V359" t="str">
        <f ca="1">IF(OR([1]Planilha1!$B359="",[1]Planilha1!$B359="NÃO MAPEADO"),"",TRIM([1]Planilha1!$B359))</f>
        <v>SUDESTE</v>
      </c>
      <c r="W359" t="str">
        <f ca="1">IF([1]Planilha1!$C359="","",TRIM([1]Planilha1!$C359))</f>
        <v>MD 2</v>
      </c>
      <c r="X359" s="12" t="str">
        <f ca="1">IFERROR(VLOOKUP($C359,[1]Planilha2!$B:$H,7,FALSE),"")</f>
        <v>13920-001</v>
      </c>
    </row>
    <row r="360" spans="1:24" x14ac:dyDescent="0.35">
      <c r="A360" t="str">
        <f ca="1">IF(LEFT(TEXT([1]Planilha1!$L360,"0000000"),1)="5","MS","SP")</f>
        <v>SP</v>
      </c>
      <c r="B360" t="str">
        <f ca="1">IF(RIGHT([1]Planilha1!$A360,5)=" - MS",LEFT([1]Planilha1!$A360,LEN([1]Planilha1!$A360)-5),TRIM([1]Planilha1!$A360))</f>
        <v>PEDREIRA</v>
      </c>
      <c r="C360" s="2">
        <f ca="1">[1]Planilha1!$L360</f>
        <v>3537107</v>
      </c>
      <c r="D360" t="str">
        <f>TRIM([1]Planilha1!$D360)</f>
        <v>Desktop</v>
      </c>
      <c r="E360" t="str">
        <f>IF(TRIM([1]Planilha1!$D360)="Claro","Claro","Concorrente")</f>
        <v>Concorrente</v>
      </c>
      <c r="F360" t="s">
        <v>29</v>
      </c>
      <c r="G360" t="str">
        <f t="shared" ca="1" si="23"/>
        <v>Banda Larga + Movel</v>
      </c>
      <c r="H360" t="str">
        <f ca="1">TRIM([1]Planilha1!$E360)</f>
        <v>600M+15GB=R$129,99 - 6 MESES, APÓS R$139,99</v>
      </c>
      <c r="I360" t="str">
        <f ca="1">IF([1]Planilha1!$F360="","",TRIM([1]Planilha1!$F360))</f>
        <v>Fibra</v>
      </c>
      <c r="J360" s="3">
        <f ca="1">IF([1]Planilha1!$G360="","",[1]Planilha1!$G360)</f>
        <v>600</v>
      </c>
      <c r="K360" s="4" cm="1">
        <f t="array" aca="1" ref="K360" ca="1">IFERROR(VALUE(_xlfn.REGEXEXTRACT([1]Planilha1!$E360,"\+\s*(\d+)GB",2)),"")</f>
        <v>15</v>
      </c>
      <c r="L360" s="5">
        <f ca="1">IF([1]Planilha1!$H360="","",[1]Planilha1!$H360)</f>
        <v>139.99</v>
      </c>
      <c r="M360" s="5">
        <f ca="1">IF([1]Planilha1!$I360="","",[1]Planilha1!$I360)</f>
        <v>129.99</v>
      </c>
      <c r="N360" s="2" cm="1">
        <f t="array" aca="1" ref="N360" ca="1">IFERROR(VALUE(_xlfn.REGEXEXTRACT([1]Planilha1!$E360,"(\d+)\s*MESES",2)),IFERROR(VALUE(_xlfn.REGEXEXTRACT([1]Planilha1!$E360,"por\s*(\d+)\s*M",2)),IF(_xlfn.REGEXTEST([1]Planilha1!$E360,"1[ºª]"),1,"")))</f>
        <v>6</v>
      </c>
      <c r="O360" s="6">
        <f t="shared" ca="1" si="24"/>
        <v>0.23331666666666667</v>
      </c>
      <c r="P360" t="str">
        <f ca="1">IF([1]Planilha1!$J360="","",TRIM([1]Planilha1!$J360))</f>
        <v>0</v>
      </c>
      <c r="Q360" s="7">
        <f ca="1">IF($D360="Claro","",IFERROR($L360-VLOOKUP($B360&amp;"|Claro",[1]AUX_CLARO!$A:$C,2,FALSE),""))</f>
        <v>9.0000000000003411E-2</v>
      </c>
      <c r="R360" s="8">
        <f ca="1">IF($D360="Claro","",IFERROR($J360-VLOOKUP($B360&amp;"|Claro",[1]AUX_CLARO!$A:$C,3,FALSE),""))</f>
        <v>0</v>
      </c>
      <c r="S360" t="str">
        <f t="shared" ca="1" si="25"/>
        <v>Claro mais barata</v>
      </c>
      <c r="T360" t="str">
        <f t="shared" ca="1" si="26"/>
        <v>Mesma velocidade</v>
      </c>
      <c r="U360" s="9">
        <f t="shared" si="27"/>
        <v>46174</v>
      </c>
      <c r="V360" t="str">
        <f ca="1">IF(OR([1]Planilha1!$B360="",[1]Planilha1!$B360="NÃO MAPEADO"),"",TRIM([1]Planilha1!$B360))</f>
        <v>SUDESTE</v>
      </c>
      <c r="W360" t="str">
        <f ca="1">IF([1]Planilha1!$C360="","",TRIM([1]Planilha1!$C360))</f>
        <v>MD 2</v>
      </c>
      <c r="X360" s="12" t="str">
        <f ca="1">IFERROR(VLOOKUP($C360,[1]Planilha2!$B:$H,7,FALSE),"")</f>
        <v>13920-001</v>
      </c>
    </row>
    <row r="361" spans="1:24" x14ac:dyDescent="0.35">
      <c r="A361" t="str">
        <f ca="1">IF(LEFT(TEXT([1]Planilha1!$L361,"0000000"),1)="5","MS","SP")</f>
        <v>SP</v>
      </c>
      <c r="B361" t="str">
        <f ca="1">IF(RIGHT([1]Planilha1!$A361,5)=" - MS",LEFT([1]Planilha1!$A361,LEN([1]Planilha1!$A361)-5),TRIM([1]Planilha1!$A361))</f>
        <v>PEDREIRA</v>
      </c>
      <c r="C361" s="2">
        <f ca="1">[1]Planilha1!$L361</f>
        <v>3537107</v>
      </c>
      <c r="D361" t="str">
        <f>TRIM([1]Planilha1!$D361)</f>
        <v>ISP LOCAL</v>
      </c>
      <c r="E361" t="str">
        <f>IF(TRIM([1]Planilha1!$D361)="Claro","Claro","Concorrente")</f>
        <v>Concorrente</v>
      </c>
      <c r="F361" t="s">
        <v>35</v>
      </c>
      <c r="G361" t="str">
        <f t="shared" ca="1" si="23"/>
        <v>Banda Larga + Conteudo</v>
      </c>
      <c r="H361" t="str">
        <f ca="1">TRIM([1]Planilha1!$E361)</f>
        <v>TELESON - 500M R$159,90</v>
      </c>
      <c r="I361" t="str">
        <f ca="1">IF([1]Planilha1!$F361="","",TRIM([1]Planilha1!$F361))</f>
        <v>Fibra</v>
      </c>
      <c r="J361" s="3">
        <f ca="1">IF([1]Planilha1!$G361="","",[1]Planilha1!$G361)</f>
        <v>500</v>
      </c>
      <c r="K361" s="4" t="str" cm="1">
        <f t="array" aca="1" ref="K361" ca="1">IFERROR(VALUE(_xlfn.REGEXEXTRACT([1]Planilha1!$E361,"\+\s*(\d+)GB",2)),"")</f>
        <v/>
      </c>
      <c r="L361" s="5">
        <f ca="1">IF([1]Planilha1!$H361="","",[1]Planilha1!$H361)</f>
        <v>159.9</v>
      </c>
      <c r="M361" s="5" t="str">
        <f ca="1">IF([1]Planilha1!$I361="","",[1]Planilha1!$I361)</f>
        <v/>
      </c>
      <c r="N361" s="2" t="str" cm="1">
        <f t="array" aca="1" ref="N361" ca="1">IFERROR(VALUE(_xlfn.REGEXEXTRACT([1]Planilha1!$E361,"(\d+)\s*MESES",2)),IFERROR(VALUE(_xlfn.REGEXEXTRACT([1]Planilha1!$E361,"por\s*(\d+)\s*M",2)),IF(_xlfn.REGEXTEST([1]Planilha1!$E361,"1[ºª]"),1,"")))</f>
        <v/>
      </c>
      <c r="O361" s="6">
        <f t="shared" ca="1" si="24"/>
        <v>0.31980000000000003</v>
      </c>
      <c r="P361" t="str">
        <f ca="1">IF([1]Planilha1!$J361="","",TRIM([1]Planilha1!$J361))</f>
        <v>0</v>
      </c>
      <c r="Q361" s="7">
        <f ca="1">IF($D361="Claro","",IFERROR($L361-VLOOKUP($B361&amp;"|Claro",[1]AUX_CLARO!$A:$C,2,FALSE),""))</f>
        <v>20</v>
      </c>
      <c r="R361" s="8">
        <f ca="1">IF($D361="Claro","",IFERROR($J361-VLOOKUP($B361&amp;"|Claro",[1]AUX_CLARO!$A:$C,3,FALSE),""))</f>
        <v>-100</v>
      </c>
      <c r="S361" t="str">
        <f t="shared" ca="1" si="25"/>
        <v>Claro mais barata</v>
      </c>
      <c r="T361" t="str">
        <f t="shared" ca="1" si="26"/>
        <v>Claro com maior velocidade</v>
      </c>
      <c r="U361" s="9">
        <f t="shared" si="27"/>
        <v>46174</v>
      </c>
      <c r="V361" t="str">
        <f ca="1">IF(OR([1]Planilha1!$B361="",[1]Planilha1!$B361="NÃO MAPEADO"),"",TRIM([1]Planilha1!$B361))</f>
        <v>SUDESTE</v>
      </c>
      <c r="W361" t="str">
        <f ca="1">IF([1]Planilha1!$C361="","",TRIM([1]Planilha1!$C361))</f>
        <v>MD 2</v>
      </c>
      <c r="X361" s="12" t="str">
        <f ca="1">IFERROR(VLOOKUP($C361,[1]Planilha2!$B:$H,7,FALSE),"")</f>
        <v>13920-001</v>
      </c>
    </row>
    <row r="362" spans="1:24" x14ac:dyDescent="0.35">
      <c r="A362" t="str">
        <f ca="1">IF(LEFT(TEXT([1]Planilha1!$L362,"0000000"),1)="5","MS","SP")</f>
        <v>SP</v>
      </c>
      <c r="B362" t="str">
        <f ca="1">IF(RIGHT([1]Planilha1!$A362,5)=" - MS",LEFT([1]Planilha1!$A362,LEN([1]Planilha1!$A362)-5),TRIM([1]Planilha1!$A362))</f>
        <v>PENAPOLIS</v>
      </c>
      <c r="C362" s="2">
        <f ca="1">[1]Planilha1!$L362</f>
        <v>3537305</v>
      </c>
      <c r="D362" t="str">
        <f>TRIM([1]Planilha1!$D362)</f>
        <v>Claro</v>
      </c>
      <c r="E362" t="str">
        <f>IF(TRIM([1]Planilha1!$D362)="Claro","Claro","Concorrente")</f>
        <v>Claro</v>
      </c>
      <c r="F362" t="s">
        <v>24</v>
      </c>
      <c r="G362" t="str">
        <f t="shared" ca="1" si="23"/>
        <v>Banda Larga + Movel</v>
      </c>
      <c r="H362" t="str">
        <f ca="1">TRIM([1]Planilha1!$E362)</f>
        <v>600M+100GB=R$109,90 por 6M, após R$139,90</v>
      </c>
      <c r="I362" t="str">
        <f ca="1">IF([1]Planilha1!$F362="","",TRIM([1]Planilha1!$F362))</f>
        <v>Fibra</v>
      </c>
      <c r="J362" s="3">
        <f ca="1">IF([1]Planilha1!$G362="","",[1]Planilha1!$G362)</f>
        <v>600</v>
      </c>
      <c r="K362" s="4" cm="1">
        <f t="array" aca="1" ref="K362" ca="1">IFERROR(VALUE(_xlfn.REGEXEXTRACT([1]Planilha1!$E362,"\+\s*(\d+)GB",2)),"")</f>
        <v>100</v>
      </c>
      <c r="L362" s="5">
        <f ca="1">IF([1]Planilha1!$H362="","",[1]Planilha1!$H362)</f>
        <v>139.9</v>
      </c>
      <c r="M362" s="5">
        <f ca="1">IF([1]Planilha1!$I362="","",[1]Planilha1!$I362)</f>
        <v>109.9</v>
      </c>
      <c r="N362" s="2" cm="1">
        <f t="array" aca="1" ref="N362" ca="1">IFERROR(VALUE(_xlfn.REGEXEXTRACT([1]Planilha1!$E362,"(\d+)\s*MESES",2)),IFERROR(VALUE(_xlfn.REGEXEXTRACT([1]Planilha1!$E362,"por\s*(\d+)\s*M",2)),IF(_xlfn.REGEXTEST([1]Planilha1!$E362,"1[ºª]"),1,"")))</f>
        <v>6</v>
      </c>
      <c r="O362" s="6">
        <f t="shared" ca="1" si="24"/>
        <v>0.23316666666666669</v>
      </c>
      <c r="P362" t="str">
        <f ca="1">IF([1]Planilha1!$J362="","",TRIM([1]Planilha1!$J362))</f>
        <v>GLOBOPLAY</v>
      </c>
      <c r="Q362" s="7" t="str">
        <f>IF($D362="Claro","",IFERROR($L362-VLOOKUP($B362&amp;"|Claro",[1]AUX_CLARO!$A:$C,2,FALSE),""))</f>
        <v/>
      </c>
      <c r="R362" s="8" t="str">
        <f>IF($D362="Claro","",IFERROR($J362-VLOOKUP($B362&amp;"|Claro",[1]AUX_CLARO!$A:$C,3,FALSE),""))</f>
        <v/>
      </c>
      <c r="S362" t="str">
        <f t="shared" si="25"/>
        <v/>
      </c>
      <c r="T362" t="str">
        <f t="shared" si="26"/>
        <v/>
      </c>
      <c r="U362" s="9">
        <f t="shared" si="27"/>
        <v>46174</v>
      </c>
      <c r="V362" t="str">
        <f ca="1">IF(OR([1]Planilha1!$B362="",[1]Planilha1!$B362="NÃO MAPEADO"),"",TRIM([1]Planilha1!$B362))</f>
        <v>NOROESTE</v>
      </c>
      <c r="W362" t="str">
        <f ca="1">IF([1]Planilha1!$C362="","",TRIM([1]Planilha1!$C362))</f>
        <v>MD 2</v>
      </c>
      <c r="X362" t="str">
        <f ca="1">IFERROR(VLOOKUP($C362,[1]Planilha2!$B:$H,7,FALSE),"")</f>
        <v>16300-001</v>
      </c>
    </row>
    <row r="363" spans="1:24" x14ac:dyDescent="0.35">
      <c r="A363" t="str">
        <f ca="1">IF(LEFT(TEXT([1]Planilha1!$L363,"0000000"),1)="5","MS","SP")</f>
        <v>SP</v>
      </c>
      <c r="B363" t="str">
        <f ca="1">IF(RIGHT([1]Planilha1!$A363,5)=" - MS",LEFT([1]Planilha1!$A363,LEN([1]Planilha1!$A363)-5),TRIM([1]Planilha1!$A363))</f>
        <v>PENAPOLIS</v>
      </c>
      <c r="C363" s="2">
        <f ca="1">[1]Planilha1!$L363</f>
        <v>3537305</v>
      </c>
      <c r="D363" t="str">
        <f>TRIM([1]Planilha1!$D363)</f>
        <v>Vivo</v>
      </c>
      <c r="E363" t="str">
        <f>IF(TRIM([1]Planilha1!$D363)="Claro","Claro","Concorrente")</f>
        <v>Concorrente</v>
      </c>
      <c r="F363" t="s">
        <v>25</v>
      </c>
      <c r="G363" t="str">
        <f t="shared" ca="1" si="23"/>
        <v>Banda Larga + Movel</v>
      </c>
      <c r="H363" t="s">
        <v>26</v>
      </c>
      <c r="I363" t="str">
        <f ca="1">IF([1]Planilha1!$F363="","",TRIM([1]Planilha1!$F363))</f>
        <v>Fibra</v>
      </c>
      <c r="J363" s="11" t="s">
        <v>27</v>
      </c>
      <c r="K363" s="4" cm="1">
        <f t="array" aca="1" ref="K363" ca="1">IFERROR(VALUE(_xlfn.REGEXEXTRACT([1]Planilha1!$E363,"\+\s*(\d+)GB",2)),"")</f>
        <v>70</v>
      </c>
      <c r="L363" s="5">
        <v>160</v>
      </c>
      <c r="M363" s="5" t="str">
        <f ca="1">IF([1]Planilha1!$I363="","",[1]Planilha1!$I363)</f>
        <v/>
      </c>
      <c r="N363" s="2" t="str" cm="1">
        <f t="array" aca="1" ref="N363" ca="1">IFERROR(VALUE(_xlfn.REGEXEXTRACT([1]Planilha1!$E363,"(\d+)\s*MESES",2)),IFERROR(VALUE(_xlfn.REGEXEXTRACT([1]Planilha1!$E363,"por\s*(\d+)\s*M",2)),IF(_xlfn.REGEXTEST([1]Planilha1!$E363,"1[ºª]"),1,"")))</f>
        <v/>
      </c>
      <c r="O363" s="6" t="str">
        <f t="shared" si="24"/>
        <v/>
      </c>
      <c r="P363" t="str">
        <f ca="1">IF([1]Planilha1!$J363="","",TRIM([1]Planilha1!$J363))</f>
        <v>0</v>
      </c>
      <c r="Q363" s="7">
        <f ca="1">IF($D363="Claro","",IFERROR($L363-VLOOKUP($B363&amp;"|Claro",[1]AUX_CLARO!$A:$C,2,FALSE),""))</f>
        <v>20.099999999999994</v>
      </c>
      <c r="R363" s="8" t="str">
        <f ca="1">IF($D363="Claro","",IFERROR($J363-VLOOKUP($B363&amp;"|Claro",[1]AUX_CLARO!$A:$C,3,FALSE),""))</f>
        <v/>
      </c>
      <c r="S363" t="str">
        <f t="shared" ca="1" si="25"/>
        <v>Claro mais barata</v>
      </c>
      <c r="T363" t="str">
        <f t="shared" ca="1" si="26"/>
        <v/>
      </c>
      <c r="U363" s="9">
        <f t="shared" si="27"/>
        <v>46174</v>
      </c>
      <c r="V363" t="str">
        <f ca="1">IF(OR([1]Planilha1!$B363="",[1]Planilha1!$B363="NÃO MAPEADO"),"",TRIM([1]Planilha1!$B363))</f>
        <v>NOROESTE</v>
      </c>
      <c r="W363" t="str">
        <f ca="1">IF([1]Planilha1!$C363="","",TRIM([1]Planilha1!$C363))</f>
        <v>MD 2</v>
      </c>
      <c r="X363" t="str">
        <f ca="1">IFERROR(VLOOKUP($C363,[1]Planilha2!$B:$H,7,FALSE),"")</f>
        <v>16300-001</v>
      </c>
    </row>
    <row r="364" spans="1:24" x14ac:dyDescent="0.35">
      <c r="A364" t="str">
        <f ca="1">IF(LEFT(TEXT([1]Planilha1!$L364,"0000000"),1)="5","MS","SP")</f>
        <v>SP</v>
      </c>
      <c r="B364" t="str">
        <f ca="1">IF(RIGHT([1]Planilha1!$A364,5)=" - MS",LEFT([1]Planilha1!$A364,LEN([1]Planilha1!$A364)-5),TRIM([1]Planilha1!$A364))</f>
        <v>PENAPOLIS</v>
      </c>
      <c r="C364" s="2">
        <f ca="1">[1]Planilha1!$L364</f>
        <v>3537305</v>
      </c>
      <c r="D364" t="str">
        <f>TRIM([1]Planilha1!$D364)</f>
        <v>ISP LOCAL</v>
      </c>
      <c r="E364" t="str">
        <f>IF(TRIM([1]Planilha1!$D364)="Claro","Claro","Concorrente")</f>
        <v>Concorrente</v>
      </c>
      <c r="F364" t="s">
        <v>28</v>
      </c>
      <c r="G364" t="str">
        <f t="shared" ca="1" si="23"/>
        <v>Banda Larga + Conteudo</v>
      </c>
      <c r="H364" t="str">
        <f ca="1">TRIM([1]Planilha1!$E364)</f>
        <v>CABONNET - 600M R$49,95 - 3 MESES, APÓS R$99,90</v>
      </c>
      <c r="I364" t="str">
        <f ca="1">IF([1]Planilha1!$F364="","",TRIM([1]Planilha1!$F364))</f>
        <v>Fibra</v>
      </c>
      <c r="J364" s="3">
        <f ca="1">IF([1]Planilha1!$G364="","",[1]Planilha1!$G364)</f>
        <v>600</v>
      </c>
      <c r="K364" s="4" t="str" cm="1">
        <f t="array" aca="1" ref="K364" ca="1">IFERROR(VALUE(_xlfn.REGEXEXTRACT([1]Planilha1!$E364,"\+\s*(\d+)GB",2)),"")</f>
        <v/>
      </c>
      <c r="L364" s="5">
        <f ca="1">IF([1]Planilha1!$H364="","",[1]Planilha1!$H364)</f>
        <v>99.9</v>
      </c>
      <c r="M364" s="5">
        <f ca="1">IF([1]Planilha1!$I364="","",[1]Planilha1!$I364)</f>
        <v>49.95</v>
      </c>
      <c r="N364" s="2" cm="1">
        <f t="array" aca="1" ref="N364" ca="1">IFERROR(VALUE(_xlfn.REGEXEXTRACT([1]Planilha1!$E364,"(\d+)\s*MESES",2)),IFERROR(VALUE(_xlfn.REGEXEXTRACT([1]Planilha1!$E364,"por\s*(\d+)\s*M",2)),IF(_xlfn.REGEXTEST([1]Planilha1!$E364,"1[ºª]"),1,"")))</f>
        <v>3</v>
      </c>
      <c r="O364" s="6">
        <f t="shared" ca="1" si="24"/>
        <v>0.16650000000000001</v>
      </c>
      <c r="P364" t="str">
        <f ca="1">IF([1]Planilha1!$J364="","",TRIM([1]Planilha1!$J364))</f>
        <v>0</v>
      </c>
      <c r="Q364" s="7">
        <f ca="1">IF($D364="Claro","",IFERROR($L364-VLOOKUP($B364&amp;"|Claro",[1]AUX_CLARO!$A:$C,2,FALSE),""))</f>
        <v>-40</v>
      </c>
      <c r="R364" s="8">
        <f ca="1">IF($D364="Claro","",IFERROR($J364-VLOOKUP($B364&amp;"|Claro",[1]AUX_CLARO!$A:$C,3,FALSE),""))</f>
        <v>0</v>
      </c>
      <c r="S364" t="str">
        <f t="shared" ca="1" si="25"/>
        <v>Claro mais cara</v>
      </c>
      <c r="T364" t="str">
        <f t="shared" ca="1" si="26"/>
        <v>Mesma velocidade</v>
      </c>
      <c r="U364" s="9">
        <f t="shared" si="27"/>
        <v>46174</v>
      </c>
      <c r="V364" t="str">
        <f ca="1">IF(OR([1]Planilha1!$B364="",[1]Planilha1!$B364="NÃO MAPEADO"),"",TRIM([1]Planilha1!$B364))</f>
        <v>NOROESTE</v>
      </c>
      <c r="W364" t="str">
        <f ca="1">IF([1]Planilha1!$C364="","",TRIM([1]Planilha1!$C364))</f>
        <v>MD 2</v>
      </c>
      <c r="X364" t="str">
        <f ca="1">IFERROR(VLOOKUP($C364,[1]Planilha2!$B:$H,7,FALSE),"")</f>
        <v>16300-001</v>
      </c>
    </row>
    <row r="365" spans="1:24" x14ac:dyDescent="0.35">
      <c r="A365" t="str">
        <f ca="1">IF(LEFT(TEXT([1]Planilha1!$L365,"0000000"),1)="5","MS","SP")</f>
        <v>SP</v>
      </c>
      <c r="B365" t="str">
        <f ca="1">IF(RIGHT([1]Planilha1!$A365,5)=" - MS",LEFT([1]Planilha1!$A365,LEN([1]Planilha1!$A365)-5),TRIM([1]Planilha1!$A365))</f>
        <v>PERUIBE</v>
      </c>
      <c r="C365" s="2">
        <f ca="1">[1]Planilha1!$L365</f>
        <v>3537602</v>
      </c>
      <c r="D365" t="str">
        <f>TRIM([1]Planilha1!$D365)</f>
        <v>Claro</v>
      </c>
      <c r="E365" t="str">
        <f>IF(TRIM([1]Planilha1!$D365)="Claro","Claro","Concorrente")</f>
        <v>Claro</v>
      </c>
      <c r="F365" t="s">
        <v>24</v>
      </c>
      <c r="G365" t="str">
        <f t="shared" ca="1" si="23"/>
        <v>Banda Larga + Movel</v>
      </c>
      <c r="H365" t="str">
        <f ca="1">TRIM([1]Planilha1!$E365)</f>
        <v>600M+100GB=R$159,90</v>
      </c>
      <c r="I365" t="str">
        <f ca="1">IF([1]Planilha1!$F365="","",TRIM([1]Planilha1!$F365))</f>
        <v>Fibra</v>
      </c>
      <c r="J365" s="3">
        <f ca="1">IF([1]Planilha1!$G365="","",[1]Planilha1!$G365)</f>
        <v>600</v>
      </c>
      <c r="K365" s="4" cm="1">
        <f t="array" aca="1" ref="K365" ca="1">IFERROR(VALUE(_xlfn.REGEXEXTRACT([1]Planilha1!$E365,"\+\s*(\d+)GB",2)),"")</f>
        <v>100</v>
      </c>
      <c r="L365" s="5">
        <f ca="1">IF([1]Planilha1!$H365="","",[1]Planilha1!$H365)</f>
        <v>159.9</v>
      </c>
      <c r="M365" s="5" t="str">
        <f ca="1">IF([1]Planilha1!$I365="","",[1]Planilha1!$I365)</f>
        <v/>
      </c>
      <c r="N365" s="2" t="str" cm="1">
        <f t="array" aca="1" ref="N365" ca="1">IFERROR(VALUE(_xlfn.REGEXEXTRACT([1]Planilha1!$E365,"(\d+)\s*MESES",2)),IFERROR(VALUE(_xlfn.REGEXEXTRACT([1]Planilha1!$E365,"por\s*(\d+)\s*M",2)),IF(_xlfn.REGEXTEST([1]Planilha1!$E365,"1[ºª]"),1,"")))</f>
        <v/>
      </c>
      <c r="O365" s="6">
        <f t="shared" ca="1" si="24"/>
        <v>0.26650000000000001</v>
      </c>
      <c r="P365" t="str">
        <f ca="1">IF([1]Planilha1!$J365="","",TRIM([1]Planilha1!$J365))</f>
        <v>GLOBOPLAY</v>
      </c>
      <c r="Q365" s="7" t="str">
        <f>IF($D365="Claro","",IFERROR($L365-VLOOKUP($B365&amp;"|Claro",[1]AUX_CLARO!$A:$C,2,FALSE),""))</f>
        <v/>
      </c>
      <c r="R365" s="8" t="str">
        <f>IF($D365="Claro","",IFERROR($J365-VLOOKUP($B365&amp;"|Claro",[1]AUX_CLARO!$A:$C,3,FALSE),""))</f>
        <v/>
      </c>
      <c r="S365" t="str">
        <f t="shared" si="25"/>
        <v/>
      </c>
      <c r="T365" t="str">
        <f t="shared" si="26"/>
        <v/>
      </c>
      <c r="U365" s="9">
        <f t="shared" si="27"/>
        <v>46174</v>
      </c>
      <c r="V365" t="str">
        <f ca="1">IF(OR([1]Planilha1!$B365="",[1]Planilha1!$B365="NÃO MAPEADO"),"",TRIM([1]Planilha1!$B365))</f>
        <v>LITORAL</v>
      </c>
      <c r="W365" t="str">
        <f ca="1">IF([1]Planilha1!$C365="","",TRIM([1]Planilha1!$C365))</f>
        <v>PADRÃO</v>
      </c>
      <c r="X365" t="str">
        <f ca="1">IFERROR(VLOOKUP($C365,[1]Planilha2!$B:$H,7,FALSE),"")</f>
        <v>11750-001</v>
      </c>
    </row>
    <row r="366" spans="1:24" x14ac:dyDescent="0.35">
      <c r="A366" t="str">
        <f ca="1">IF(LEFT(TEXT([1]Planilha1!$L366,"0000000"),1)="5","MS","SP")</f>
        <v>SP</v>
      </c>
      <c r="B366" t="str">
        <f ca="1">IF(RIGHT([1]Planilha1!$A366,5)=" - MS",LEFT([1]Planilha1!$A366,LEN([1]Planilha1!$A366)-5),TRIM([1]Planilha1!$A366))</f>
        <v>PERUIBE</v>
      </c>
      <c r="C366" s="2">
        <f ca="1">[1]Planilha1!$L366</f>
        <v>3537602</v>
      </c>
      <c r="D366" t="str">
        <f>TRIM([1]Planilha1!$D366)</f>
        <v>Vivo</v>
      </c>
      <c r="E366" t="str">
        <f>IF(TRIM([1]Planilha1!$D366)="Claro","Claro","Concorrente")</f>
        <v>Concorrente</v>
      </c>
      <c r="F366" t="s">
        <v>25</v>
      </c>
      <c r="G366" t="str">
        <f t="shared" ca="1" si="23"/>
        <v>Banda Larga + Movel</v>
      </c>
      <c r="H366" t="s">
        <v>26</v>
      </c>
      <c r="I366" t="str">
        <f ca="1">IF([1]Planilha1!$F366="","",TRIM([1]Planilha1!$F366))</f>
        <v>Fibra</v>
      </c>
      <c r="J366" s="11" t="s">
        <v>27</v>
      </c>
      <c r="K366" s="4" cm="1">
        <f t="array" aca="1" ref="K366" ca="1">IFERROR(VALUE(_xlfn.REGEXEXTRACT([1]Planilha1!$E366,"\+\s*(\d+)GB",2)),"")</f>
        <v>70</v>
      </c>
      <c r="L366" s="5">
        <v>160</v>
      </c>
      <c r="M366" s="5" t="str">
        <f ca="1">IF([1]Planilha1!$I366="","",[1]Planilha1!$I366)</f>
        <v/>
      </c>
      <c r="N366" s="2" t="str" cm="1">
        <f t="array" aca="1" ref="N366" ca="1">IFERROR(VALUE(_xlfn.REGEXEXTRACT([1]Planilha1!$E366,"(\d+)\s*MESES",2)),IFERROR(VALUE(_xlfn.REGEXEXTRACT([1]Planilha1!$E366,"por\s*(\d+)\s*M",2)),IF(_xlfn.REGEXTEST([1]Planilha1!$E366,"1[ºª]"),1,"")))</f>
        <v/>
      </c>
      <c r="O366" s="6" t="str">
        <f t="shared" si="24"/>
        <v/>
      </c>
      <c r="P366" t="str">
        <f ca="1">IF([1]Planilha1!$J366="","",TRIM([1]Planilha1!$J366))</f>
        <v>0</v>
      </c>
      <c r="Q366" s="7">
        <f ca="1">IF($D366="Claro","",IFERROR($L366-VLOOKUP($B366&amp;"|Claro",[1]AUX_CLARO!$A:$C,2,FALSE),""))</f>
        <v>9.9999999999994316E-2</v>
      </c>
      <c r="R366" s="8" t="str">
        <f ca="1">IF($D366="Claro","",IFERROR($J366-VLOOKUP($B366&amp;"|Claro",[1]AUX_CLARO!$A:$C,3,FALSE),""))</f>
        <v/>
      </c>
      <c r="S366" t="str">
        <f t="shared" ca="1" si="25"/>
        <v>Claro mais barata</v>
      </c>
      <c r="T366" t="str">
        <f t="shared" ca="1" si="26"/>
        <v/>
      </c>
      <c r="U366" s="9">
        <f t="shared" si="27"/>
        <v>46174</v>
      </c>
      <c r="V366" t="str">
        <f ca="1">IF(OR([1]Planilha1!$B366="",[1]Planilha1!$B366="NÃO MAPEADO"),"",TRIM([1]Planilha1!$B366))</f>
        <v>LITORAL</v>
      </c>
      <c r="W366" t="str">
        <f ca="1">IF([1]Planilha1!$C366="","",TRIM([1]Planilha1!$C366))</f>
        <v>PADRÃO</v>
      </c>
      <c r="X366" t="str">
        <f ca="1">IFERROR(VLOOKUP($C366,[1]Planilha2!$B:$H,7,FALSE),"")</f>
        <v>11750-001</v>
      </c>
    </row>
    <row r="367" spans="1:24" x14ac:dyDescent="0.35">
      <c r="A367" t="str">
        <f ca="1">IF(LEFT(TEXT([1]Planilha1!$L367,"0000000"),1)="5","MS","SP")</f>
        <v>SP</v>
      </c>
      <c r="B367" t="str">
        <f ca="1">IF(RIGHT([1]Planilha1!$A367,5)=" - MS",LEFT([1]Planilha1!$A367,LEN([1]Planilha1!$A367)-5),TRIM([1]Planilha1!$A367))</f>
        <v>PERUIBE</v>
      </c>
      <c r="C367" s="2">
        <f ca="1">[1]Planilha1!$L367</f>
        <v>3537602</v>
      </c>
      <c r="D367" t="str">
        <f>TRIM([1]Planilha1!$D367)</f>
        <v>Desktop</v>
      </c>
      <c r="E367" t="str">
        <f>IF(TRIM([1]Planilha1!$D367)="Claro","Claro","Concorrente")</f>
        <v>Concorrente</v>
      </c>
      <c r="F367" t="s">
        <v>29</v>
      </c>
      <c r="G367" t="str">
        <f t="shared" ca="1" si="23"/>
        <v>Banda Larga + Conteudo</v>
      </c>
      <c r="H367" t="str">
        <f ca="1">TRIM([1]Planilha1!$E367)</f>
        <v>600M=R$49,99 por 2M, após R$89,99</v>
      </c>
      <c r="I367" t="str">
        <f ca="1">IF([1]Planilha1!$F367="","",TRIM([1]Planilha1!$F367))</f>
        <v>Fibra</v>
      </c>
      <c r="J367" s="3">
        <f ca="1">IF([1]Planilha1!$G367="","",[1]Planilha1!$G367)</f>
        <v>600</v>
      </c>
      <c r="K367" s="4" t="str" cm="1">
        <f t="array" aca="1" ref="K367" ca="1">IFERROR(VALUE(_xlfn.REGEXEXTRACT([1]Planilha1!$E367,"\+\s*(\d+)GB",2)),"")</f>
        <v/>
      </c>
      <c r="L367" s="5">
        <f ca="1">IF([1]Planilha1!$H367="","",[1]Planilha1!$H367)</f>
        <v>89.99</v>
      </c>
      <c r="M367" s="5">
        <f ca="1">IF([1]Planilha1!$I367="","",[1]Planilha1!$I367)</f>
        <v>49.99</v>
      </c>
      <c r="N367" s="2" cm="1">
        <f t="array" aca="1" ref="N367" ca="1">IFERROR(VALUE(_xlfn.REGEXEXTRACT([1]Planilha1!$E367,"(\d+)\s*MESES",2)),IFERROR(VALUE(_xlfn.REGEXEXTRACT([1]Planilha1!$E367,"por\s*(\d+)\s*M",2)),IF(_xlfn.REGEXTEST([1]Planilha1!$E367,"1[ºª]"),1,"")))</f>
        <v>2</v>
      </c>
      <c r="O367" s="6">
        <f t="shared" ca="1" si="24"/>
        <v>0.14998333333333333</v>
      </c>
      <c r="P367" t="str">
        <f ca="1">IF([1]Planilha1!$J367="","",TRIM([1]Planilha1!$J367))</f>
        <v>0</v>
      </c>
      <c r="Q367" s="7">
        <f ca="1">IF($D367="Claro","",IFERROR($L367-VLOOKUP($B367&amp;"|Claro",[1]AUX_CLARO!$A:$C,2,FALSE),""))</f>
        <v>-69.910000000000011</v>
      </c>
      <c r="R367" s="8">
        <f ca="1">IF($D367="Claro","",IFERROR($J367-VLOOKUP($B367&amp;"|Claro",[1]AUX_CLARO!$A:$C,3,FALSE),""))</f>
        <v>0</v>
      </c>
      <c r="S367" t="str">
        <f t="shared" ca="1" si="25"/>
        <v>Claro mais cara</v>
      </c>
      <c r="T367" t="str">
        <f t="shared" ca="1" si="26"/>
        <v>Mesma velocidade</v>
      </c>
      <c r="U367" s="9">
        <f t="shared" si="27"/>
        <v>46174</v>
      </c>
      <c r="V367" t="str">
        <f ca="1">IF(OR([1]Planilha1!$B367="",[1]Planilha1!$B367="NÃO MAPEADO"),"",TRIM([1]Planilha1!$B367))</f>
        <v>LITORAL</v>
      </c>
      <c r="W367" t="str">
        <f ca="1">IF([1]Planilha1!$C367="","",TRIM([1]Planilha1!$C367))</f>
        <v>PADRÃO</v>
      </c>
      <c r="X367" t="str">
        <f ca="1">IFERROR(VLOOKUP($C367,[1]Planilha2!$B:$H,7,FALSE),"")</f>
        <v>11750-001</v>
      </c>
    </row>
    <row r="368" spans="1:24" x14ac:dyDescent="0.35">
      <c r="A368" t="str">
        <f ca="1">IF(LEFT(TEXT([1]Planilha1!$L368,"0000000"),1)="5","MS","SP")</f>
        <v>SP</v>
      </c>
      <c r="B368" t="str">
        <f ca="1">IF(RIGHT([1]Planilha1!$A368,5)=" - MS",LEFT([1]Planilha1!$A368,LEN([1]Planilha1!$A368)-5),TRIM([1]Planilha1!$A368))</f>
        <v>PERUIBE</v>
      </c>
      <c r="C368" s="2">
        <f ca="1">[1]Planilha1!$L368</f>
        <v>3537602</v>
      </c>
      <c r="D368" t="str">
        <f>TRIM([1]Planilha1!$D368)</f>
        <v>ISP LOCAL</v>
      </c>
      <c r="E368" t="str">
        <f>IF(TRIM([1]Planilha1!$D368)="Claro","Claro","Concorrente")</f>
        <v>Concorrente</v>
      </c>
      <c r="F368" t="s">
        <v>65</v>
      </c>
      <c r="G368" t="str">
        <f t="shared" ca="1" si="23"/>
        <v>Banda Larga + Conteudo</v>
      </c>
      <c r="H368" t="str">
        <f ca="1">TRIM([1]Planilha1!$E368)</f>
        <v>ETECCNET - 600M R$109,90</v>
      </c>
      <c r="I368" t="str">
        <f ca="1">IF([1]Planilha1!$F368="","",TRIM([1]Planilha1!$F368))</f>
        <v>Fibra</v>
      </c>
      <c r="J368" s="3">
        <f ca="1">IF([1]Planilha1!$G368="","",[1]Planilha1!$G368)</f>
        <v>600</v>
      </c>
      <c r="K368" s="4" t="str" cm="1">
        <f t="array" aca="1" ref="K368" ca="1">IFERROR(VALUE(_xlfn.REGEXEXTRACT([1]Planilha1!$E368,"\+\s*(\d+)GB",2)),"")</f>
        <v/>
      </c>
      <c r="L368" s="5">
        <f ca="1">IF([1]Planilha1!$H368="","",[1]Planilha1!$H368)</f>
        <v>109.9</v>
      </c>
      <c r="M368" s="5" t="str">
        <f ca="1">IF([1]Planilha1!$I368="","",[1]Planilha1!$I368)</f>
        <v/>
      </c>
      <c r="N368" s="2" t="str" cm="1">
        <f t="array" aca="1" ref="N368" ca="1">IFERROR(VALUE(_xlfn.REGEXEXTRACT([1]Planilha1!$E368,"(\d+)\s*MESES",2)),IFERROR(VALUE(_xlfn.REGEXEXTRACT([1]Planilha1!$E368,"por\s*(\d+)\s*M",2)),IF(_xlfn.REGEXTEST([1]Planilha1!$E368,"1[ºª]"),1,"")))</f>
        <v/>
      </c>
      <c r="O368" s="6">
        <f t="shared" ca="1" si="24"/>
        <v>0.18316666666666667</v>
      </c>
      <c r="P368" t="str">
        <f ca="1">IF([1]Planilha1!$J368="","",TRIM([1]Planilha1!$J368))</f>
        <v>0</v>
      </c>
      <c r="Q368" s="7">
        <f ca="1">IF($D368="Claro","",IFERROR($L368-VLOOKUP($B368&amp;"|Claro",[1]AUX_CLARO!$A:$C,2,FALSE),""))</f>
        <v>-50</v>
      </c>
      <c r="R368" s="8">
        <f ca="1">IF($D368="Claro","",IFERROR($J368-VLOOKUP($B368&amp;"|Claro",[1]AUX_CLARO!$A:$C,3,FALSE),""))</f>
        <v>0</v>
      </c>
      <c r="S368" t="str">
        <f t="shared" ca="1" si="25"/>
        <v>Claro mais cara</v>
      </c>
      <c r="T368" t="str">
        <f t="shared" ca="1" si="26"/>
        <v>Mesma velocidade</v>
      </c>
      <c r="U368" s="9">
        <f t="shared" si="27"/>
        <v>46174</v>
      </c>
      <c r="V368" t="str">
        <f ca="1">IF(OR([1]Planilha1!$B368="",[1]Planilha1!$B368="NÃO MAPEADO"),"",TRIM([1]Planilha1!$B368))</f>
        <v>LITORAL</v>
      </c>
      <c r="W368" t="str">
        <f ca="1">IF([1]Planilha1!$C368="","",TRIM([1]Planilha1!$C368))</f>
        <v>PADRÃO</v>
      </c>
      <c r="X368" t="str">
        <f ca="1">IFERROR(VLOOKUP($C368,[1]Planilha2!$B:$H,7,FALSE),"")</f>
        <v>11750-001</v>
      </c>
    </row>
    <row r="369" spans="1:24" x14ac:dyDescent="0.35">
      <c r="A369" t="str">
        <f ca="1">IF(LEFT(TEXT([1]Planilha1!$L369,"0000000"),1)="5","MS","SP")</f>
        <v>SP</v>
      </c>
      <c r="B369" t="str">
        <f ca="1">IF(RIGHT([1]Planilha1!$A369,5)=" - MS",LEFT([1]Planilha1!$A369,LEN([1]Planilha1!$A369)-5),TRIM([1]Planilha1!$A369))</f>
        <v>PIEDADE</v>
      </c>
      <c r="C369" s="2">
        <f ca="1">[1]Planilha1!$L369</f>
        <v>3537800</v>
      </c>
      <c r="D369" t="str">
        <f>TRIM([1]Planilha1!$D369)</f>
        <v>Claro</v>
      </c>
      <c r="E369" t="str">
        <f>IF(TRIM([1]Planilha1!$D369)="Claro","Claro","Concorrente")</f>
        <v>Claro</v>
      </c>
      <c r="F369" t="s">
        <v>24</v>
      </c>
      <c r="G369" t="str">
        <f t="shared" ca="1" si="23"/>
        <v>Banda Larga + Movel</v>
      </c>
      <c r="H369" t="str">
        <f ca="1">TRIM([1]Planilha1!$E369)</f>
        <v>600M+100GB=R$119,90 por 6M, após R$139,90</v>
      </c>
      <c r="I369" t="str">
        <f ca="1">IF([1]Planilha1!$F369="","",TRIM([1]Planilha1!$F369))</f>
        <v>Fibra</v>
      </c>
      <c r="J369" s="3">
        <f ca="1">IF([1]Planilha1!$G369="","",[1]Planilha1!$G369)</f>
        <v>600</v>
      </c>
      <c r="K369" s="4" cm="1">
        <f t="array" aca="1" ref="K369" ca="1">IFERROR(VALUE(_xlfn.REGEXEXTRACT([1]Planilha1!$E369,"\+\s*(\d+)GB",2)),"")</f>
        <v>100</v>
      </c>
      <c r="L369" s="5">
        <f ca="1">IF([1]Planilha1!$H369="","",[1]Planilha1!$H369)</f>
        <v>139.9</v>
      </c>
      <c r="M369" s="5">
        <f ca="1">IF([1]Planilha1!$I369="","",[1]Planilha1!$I369)</f>
        <v>119.9</v>
      </c>
      <c r="N369" s="2" cm="1">
        <f t="array" aca="1" ref="N369" ca="1">IFERROR(VALUE(_xlfn.REGEXEXTRACT([1]Planilha1!$E369,"(\d+)\s*MESES",2)),IFERROR(VALUE(_xlfn.REGEXEXTRACT([1]Planilha1!$E369,"por\s*(\d+)\s*M",2)),IF(_xlfn.REGEXTEST([1]Planilha1!$E369,"1[ºª]"),1,"")))</f>
        <v>6</v>
      </c>
      <c r="O369" s="6">
        <f t="shared" ca="1" si="24"/>
        <v>0.23316666666666669</v>
      </c>
      <c r="P369" t="str">
        <f ca="1">IF([1]Planilha1!$J369="","",TRIM([1]Planilha1!$J369))</f>
        <v>GLOBOPLAY</v>
      </c>
      <c r="Q369" s="7" t="str">
        <f>IF($D369="Claro","",IFERROR($L369-VLOOKUP($B369&amp;"|Claro",[1]AUX_CLARO!$A:$C,2,FALSE),""))</f>
        <v/>
      </c>
      <c r="R369" s="8" t="str">
        <f>IF($D369="Claro","",IFERROR($J369-VLOOKUP($B369&amp;"|Claro",[1]AUX_CLARO!$A:$C,3,FALSE),""))</f>
        <v/>
      </c>
      <c r="S369" t="str">
        <f t="shared" si="25"/>
        <v/>
      </c>
      <c r="T369" t="str">
        <f t="shared" si="26"/>
        <v/>
      </c>
      <c r="U369" s="9">
        <f t="shared" si="27"/>
        <v>46174</v>
      </c>
      <c r="V369" t="str">
        <f ca="1">IF(OR([1]Planilha1!$B369="",[1]Planilha1!$B369="NÃO MAPEADO"),"",TRIM([1]Planilha1!$B369))</f>
        <v>SUDESTE</v>
      </c>
      <c r="W369" t="str">
        <f ca="1">IF([1]Planilha1!$C369="","",TRIM([1]Planilha1!$C369))</f>
        <v>MD 1</v>
      </c>
      <c r="X369" s="12" t="str">
        <f ca="1">IFERROR(VLOOKUP($C369,[1]Planilha2!$B:$H,7,FALSE),"")</f>
        <v>18170-001</v>
      </c>
    </row>
    <row r="370" spans="1:24" x14ac:dyDescent="0.35">
      <c r="A370" t="str">
        <f ca="1">IF(LEFT(TEXT([1]Planilha1!$L370,"0000000"),1)="5","MS","SP")</f>
        <v>SP</v>
      </c>
      <c r="B370" t="str">
        <f ca="1">IF(RIGHT([1]Planilha1!$A370,5)=" - MS",LEFT([1]Planilha1!$A370,LEN([1]Planilha1!$A370)-5),TRIM([1]Planilha1!$A370))</f>
        <v>PIEDADE</v>
      </c>
      <c r="C370" s="2">
        <f ca="1">[1]Planilha1!$L370</f>
        <v>3537800</v>
      </c>
      <c r="D370" t="str">
        <f>TRIM([1]Planilha1!$D370)</f>
        <v>Alares</v>
      </c>
      <c r="E370" t="str">
        <f>IF(TRIM([1]Planilha1!$D370)="Claro","Claro","Concorrente")</f>
        <v>Concorrente</v>
      </c>
      <c r="F370" t="s">
        <v>32</v>
      </c>
      <c r="G370" t="str">
        <f t="shared" ca="1" si="23"/>
        <v>Banda Larga + Conteudo</v>
      </c>
      <c r="H370" t="str">
        <f ca="1">TRIM([1]Planilha1!$E370)</f>
        <v>1GB + GLOBOPLAY R$99,90</v>
      </c>
      <c r="I370" t="str">
        <f ca="1">IF([1]Planilha1!$F370="","",TRIM([1]Planilha1!$F370))</f>
        <v>Fibra</v>
      </c>
      <c r="J370" s="3">
        <f ca="1">IF([1]Planilha1!$G370="","",[1]Planilha1!$G370)</f>
        <v>1000</v>
      </c>
      <c r="K370" s="4" t="str" cm="1">
        <f t="array" aca="1" ref="K370" ca="1">IFERROR(VALUE(_xlfn.REGEXEXTRACT([1]Planilha1!$E370,"\+\s*(\d+)GB",2)),"")</f>
        <v/>
      </c>
      <c r="L370" s="5">
        <f ca="1">IF([1]Planilha1!$H370="","",[1]Planilha1!$H370)</f>
        <v>99.9</v>
      </c>
      <c r="M370" s="5" t="str">
        <f ca="1">IF([1]Planilha1!$I370="","",[1]Planilha1!$I370)</f>
        <v/>
      </c>
      <c r="N370" s="2" t="str" cm="1">
        <f t="array" aca="1" ref="N370" ca="1">IFERROR(VALUE(_xlfn.REGEXEXTRACT([1]Planilha1!$E370,"(\d+)\s*MESES",2)),IFERROR(VALUE(_xlfn.REGEXEXTRACT([1]Planilha1!$E370,"por\s*(\d+)\s*M",2)),IF(_xlfn.REGEXTEST([1]Planilha1!$E370,"1[ºª]"),1,"")))</f>
        <v/>
      </c>
      <c r="O370" s="6">
        <f t="shared" ca="1" si="24"/>
        <v>9.9900000000000003E-2</v>
      </c>
      <c r="P370" t="str">
        <f ca="1">IF([1]Planilha1!$J370="","",TRIM([1]Planilha1!$J370))</f>
        <v>GLOBOPLAY</v>
      </c>
      <c r="Q370" s="7">
        <f ca="1">IF($D370="Claro","",IFERROR($L370-VLOOKUP($B370&amp;"|Claro",[1]AUX_CLARO!$A:$C,2,FALSE),""))</f>
        <v>-40</v>
      </c>
      <c r="R370" s="8">
        <f ca="1">IF($D370="Claro","",IFERROR($J370-VLOOKUP($B370&amp;"|Claro",[1]AUX_CLARO!$A:$C,3,FALSE),""))</f>
        <v>400</v>
      </c>
      <c r="S370" t="str">
        <f t="shared" ca="1" si="25"/>
        <v>Claro mais cara</v>
      </c>
      <c r="T370" t="str">
        <f t="shared" ca="1" si="26"/>
        <v>Claro com menor velocidade</v>
      </c>
      <c r="U370" s="9">
        <f t="shared" si="27"/>
        <v>46174</v>
      </c>
      <c r="V370" t="str">
        <f ca="1">IF(OR([1]Planilha1!$B370="",[1]Planilha1!$B370="NÃO MAPEADO"),"",TRIM([1]Planilha1!$B370))</f>
        <v>SUDESTE</v>
      </c>
      <c r="W370" t="str">
        <f ca="1">IF([1]Planilha1!$C370="","",TRIM([1]Planilha1!$C370))</f>
        <v>MD 1</v>
      </c>
      <c r="X370" s="12" t="str">
        <f ca="1">IFERROR(VLOOKUP($C370,[1]Planilha2!$B:$H,7,FALSE),"")</f>
        <v>18170-001</v>
      </c>
    </row>
    <row r="371" spans="1:24" x14ac:dyDescent="0.35">
      <c r="A371" t="str">
        <f ca="1">IF(LEFT(TEXT([1]Planilha1!$L371,"0000000"),1)="5","MS","SP")</f>
        <v>SP</v>
      </c>
      <c r="B371" t="str">
        <f ca="1">IF(RIGHT([1]Planilha1!$A371,5)=" - MS",LEFT([1]Planilha1!$A371,LEN([1]Planilha1!$A371)-5),TRIM([1]Planilha1!$A371))</f>
        <v>PIEDADE</v>
      </c>
      <c r="C371" s="2">
        <f ca="1">[1]Planilha1!$L371</f>
        <v>3537800</v>
      </c>
      <c r="D371" t="str">
        <f>TRIM([1]Planilha1!$D371)</f>
        <v>Vero</v>
      </c>
      <c r="E371" t="str">
        <f>IF(TRIM([1]Planilha1!$D371)="Claro","Claro","Concorrente")</f>
        <v>Concorrente</v>
      </c>
      <c r="F371" t="s">
        <v>30</v>
      </c>
      <c r="G371" t="str">
        <f t="shared" ca="1" si="23"/>
        <v>Banda Larga + Movel</v>
      </c>
      <c r="H371" t="str">
        <f ca="1">TRIM([1]Planilha1!$E371)</f>
        <v>850M+60GB=R$149,99 (C/ GLOBOPLAY, HBO, DISNEY+)</v>
      </c>
      <c r="I371" t="str">
        <f ca="1">IF([1]Planilha1!$F371="","",TRIM([1]Planilha1!$F371))</f>
        <v>Fibra</v>
      </c>
      <c r="J371" s="3">
        <f ca="1">IF([1]Planilha1!$G371="","",[1]Planilha1!$G371)</f>
        <v>850</v>
      </c>
      <c r="K371" s="4" cm="1">
        <f t="array" aca="1" ref="K371" ca="1">IFERROR(VALUE(_xlfn.REGEXEXTRACT([1]Planilha1!$E371,"\+\s*(\d+)GB",2)),"")</f>
        <v>60</v>
      </c>
      <c r="L371" s="5">
        <f ca="1">IF([1]Planilha1!$H371="","",[1]Planilha1!$H371)</f>
        <v>149.99</v>
      </c>
      <c r="M371" s="5" t="str">
        <f ca="1">IF([1]Planilha1!$I371="","",[1]Planilha1!$I371)</f>
        <v/>
      </c>
      <c r="N371" s="2" t="str" cm="1">
        <f t="array" aca="1" ref="N371" ca="1">IFERROR(VALUE(_xlfn.REGEXEXTRACT([1]Planilha1!$E371,"(\d+)\s*MESES",2)),IFERROR(VALUE(_xlfn.REGEXEXTRACT([1]Planilha1!$E371,"por\s*(\d+)\s*M",2)),IF(_xlfn.REGEXTEST([1]Planilha1!$E371,"1[ºª]"),1,"")))</f>
        <v/>
      </c>
      <c r="O371" s="6">
        <f t="shared" ca="1" si="24"/>
        <v>0.17645882352941178</v>
      </c>
      <c r="P371" t="str">
        <f ca="1">IF([1]Planilha1!$J371="","",TRIM([1]Planilha1!$J371))</f>
        <v>GLOBOPLAY, HBO, DISNEY+</v>
      </c>
      <c r="Q371" s="7">
        <f ca="1">IF($D371="Claro","",IFERROR($L371-VLOOKUP($B371&amp;"|Claro",[1]AUX_CLARO!$A:$C,2,FALSE),""))</f>
        <v>10.090000000000003</v>
      </c>
      <c r="R371" s="8">
        <f ca="1">IF($D371="Claro","",IFERROR($J371-VLOOKUP($B371&amp;"|Claro",[1]AUX_CLARO!$A:$C,3,FALSE),""))</f>
        <v>250</v>
      </c>
      <c r="S371" t="str">
        <f t="shared" ca="1" si="25"/>
        <v>Claro mais barata</v>
      </c>
      <c r="T371" t="str">
        <f t="shared" ca="1" si="26"/>
        <v>Claro com menor velocidade</v>
      </c>
      <c r="U371" s="9">
        <f t="shared" si="27"/>
        <v>46174</v>
      </c>
      <c r="V371" t="str">
        <f ca="1">IF(OR([1]Planilha1!$B371="",[1]Planilha1!$B371="NÃO MAPEADO"),"",TRIM([1]Planilha1!$B371))</f>
        <v>SUDESTE</v>
      </c>
      <c r="W371" t="str">
        <f ca="1">IF([1]Planilha1!$C371="","",TRIM([1]Planilha1!$C371))</f>
        <v>MD 1</v>
      </c>
      <c r="X371" s="12" t="str">
        <f ca="1">IFERROR(VLOOKUP($C371,[1]Planilha2!$B:$H,7,FALSE),"")</f>
        <v>18170-001</v>
      </c>
    </row>
    <row r="372" spans="1:24" x14ac:dyDescent="0.35">
      <c r="A372" t="str">
        <f ca="1">IF(LEFT(TEXT([1]Planilha1!$L372,"0000000"),1)="5","MS","SP")</f>
        <v>SP</v>
      </c>
      <c r="B372" t="str">
        <f ca="1">IF(RIGHT([1]Planilha1!$A372,5)=" - MS",LEFT([1]Planilha1!$A372,LEN([1]Planilha1!$A372)-5),TRIM([1]Planilha1!$A372))</f>
        <v>PIEDADE</v>
      </c>
      <c r="C372" s="2">
        <f ca="1">[1]Planilha1!$L372</f>
        <v>3537800</v>
      </c>
      <c r="D372" t="str">
        <f>TRIM([1]Planilha1!$D372)</f>
        <v>ISP LOCAL</v>
      </c>
      <c r="E372" t="str">
        <f>IF(TRIM([1]Planilha1!$D372)="Claro","Claro","Concorrente")</f>
        <v>Concorrente</v>
      </c>
      <c r="F372" t="s">
        <v>78</v>
      </c>
      <c r="G372" t="str">
        <f t="shared" ca="1" si="23"/>
        <v>Banda Larga + Conteudo</v>
      </c>
      <c r="H372" t="str">
        <f ca="1">TRIM([1]Planilha1!$E372)</f>
        <v>IBIÚNET - 700M R$49,90 - 3 MESES, APÓS R$129,90</v>
      </c>
      <c r="I372" t="str">
        <f ca="1">IF([1]Planilha1!$F372="","",TRIM([1]Planilha1!$F372))</f>
        <v>Fibra</v>
      </c>
      <c r="J372" s="3">
        <f ca="1">IF([1]Planilha1!$G372="","",[1]Planilha1!$G372)</f>
        <v>700</v>
      </c>
      <c r="K372" s="4" t="str" cm="1">
        <f t="array" aca="1" ref="K372" ca="1">IFERROR(VALUE(_xlfn.REGEXEXTRACT([1]Planilha1!$E372,"\+\s*(\d+)GB",2)),"")</f>
        <v/>
      </c>
      <c r="L372" s="5">
        <f ca="1">IF([1]Planilha1!$H372="","",[1]Planilha1!$H372)</f>
        <v>129.9</v>
      </c>
      <c r="M372" s="5">
        <f ca="1">IF([1]Planilha1!$I372="","",[1]Planilha1!$I372)</f>
        <v>49.9</v>
      </c>
      <c r="N372" s="2" cm="1">
        <f t="array" aca="1" ref="N372" ca="1">IFERROR(VALUE(_xlfn.REGEXEXTRACT([1]Planilha1!$E372,"(\d+)\s*MESES",2)),IFERROR(VALUE(_xlfn.REGEXEXTRACT([1]Planilha1!$E372,"por\s*(\d+)\s*M",2)),IF(_xlfn.REGEXTEST([1]Planilha1!$E372,"1[ºª]"),1,"")))</f>
        <v>3</v>
      </c>
      <c r="O372" s="6">
        <f t="shared" ca="1" si="24"/>
        <v>0.18557142857142858</v>
      </c>
      <c r="P372" t="str">
        <f ca="1">IF([1]Planilha1!$J372="","",TRIM([1]Planilha1!$J372))</f>
        <v>0</v>
      </c>
      <c r="Q372" s="7">
        <f ca="1">IF($D372="Claro","",IFERROR($L372-VLOOKUP($B372&amp;"|Claro",[1]AUX_CLARO!$A:$C,2,FALSE),""))</f>
        <v>-10</v>
      </c>
      <c r="R372" s="8">
        <f ca="1">IF($D372="Claro","",IFERROR($J372-VLOOKUP($B372&amp;"|Claro",[1]AUX_CLARO!$A:$C,3,FALSE),""))</f>
        <v>100</v>
      </c>
      <c r="S372" t="str">
        <f t="shared" ca="1" si="25"/>
        <v>Claro mais cara</v>
      </c>
      <c r="T372" t="str">
        <f t="shared" ca="1" si="26"/>
        <v>Claro com menor velocidade</v>
      </c>
      <c r="U372" s="9">
        <f t="shared" si="27"/>
        <v>46174</v>
      </c>
      <c r="V372" t="str">
        <f ca="1">IF(OR([1]Planilha1!$B372="",[1]Planilha1!$B372="NÃO MAPEADO"),"",TRIM([1]Planilha1!$B372))</f>
        <v>SUDESTE</v>
      </c>
      <c r="W372" t="str">
        <f ca="1">IF([1]Planilha1!$C372="","",TRIM([1]Planilha1!$C372))</f>
        <v>MD 1</v>
      </c>
      <c r="X372" s="12" t="str">
        <f ca="1">IFERROR(VLOOKUP($C372,[1]Planilha2!$B:$H,7,FALSE),"")</f>
        <v>18170-001</v>
      </c>
    </row>
    <row r="373" spans="1:24" x14ac:dyDescent="0.35">
      <c r="A373" t="str">
        <f ca="1">IF(LEFT(TEXT([1]Planilha1!$L373,"0000000"),1)="5","MS","SP")</f>
        <v>SP</v>
      </c>
      <c r="B373" t="str">
        <f ca="1">IF(RIGHT([1]Planilha1!$A373,5)=" - MS",LEFT([1]Planilha1!$A373,LEN([1]Planilha1!$A373)-5),TRIM([1]Planilha1!$A373))</f>
        <v>PINDAMONHANGABA</v>
      </c>
      <c r="C373" s="2">
        <f ca="1">[1]Planilha1!$L373</f>
        <v>3538006</v>
      </c>
      <c r="D373" t="str">
        <f>TRIM([1]Planilha1!$D373)</f>
        <v>Claro</v>
      </c>
      <c r="E373" t="str">
        <f>IF(TRIM([1]Planilha1!$D373)="Claro","Claro","Concorrente")</f>
        <v>Claro</v>
      </c>
      <c r="F373" t="s">
        <v>24</v>
      </c>
      <c r="G373" t="str">
        <f t="shared" ca="1" si="23"/>
        <v>Banda Larga + Movel</v>
      </c>
      <c r="H373" t="str">
        <f ca="1">TRIM([1]Planilha1!$E373)</f>
        <v>600M+100GB=R$109,90 por 6M, após R$139,90</v>
      </c>
      <c r="I373" t="str">
        <f ca="1">IF([1]Planilha1!$F373="","",TRIM([1]Planilha1!$F373))</f>
        <v>Fibra</v>
      </c>
      <c r="J373" s="3">
        <f ca="1">IF([1]Planilha1!$G373="","",[1]Planilha1!$G373)</f>
        <v>600</v>
      </c>
      <c r="K373" s="4" cm="1">
        <f t="array" aca="1" ref="K373" ca="1">IFERROR(VALUE(_xlfn.REGEXEXTRACT([1]Planilha1!$E373,"\+\s*(\d+)GB",2)),"")</f>
        <v>100</v>
      </c>
      <c r="L373" s="5">
        <f ca="1">IF([1]Planilha1!$H373="","",[1]Planilha1!$H373)</f>
        <v>139.9</v>
      </c>
      <c r="M373" s="5">
        <f ca="1">IF([1]Planilha1!$I373="","",[1]Planilha1!$I373)</f>
        <v>109.9</v>
      </c>
      <c r="N373" s="2" cm="1">
        <f t="array" aca="1" ref="N373" ca="1">IFERROR(VALUE(_xlfn.REGEXEXTRACT([1]Planilha1!$E373,"(\d+)\s*MESES",2)),IFERROR(VALUE(_xlfn.REGEXEXTRACT([1]Planilha1!$E373,"por\s*(\d+)\s*M",2)),IF(_xlfn.REGEXTEST([1]Planilha1!$E373,"1[ºª]"),1,"")))</f>
        <v>6</v>
      </c>
      <c r="O373" s="6">
        <f t="shared" ca="1" si="24"/>
        <v>0.23316666666666669</v>
      </c>
      <c r="P373" t="str">
        <f ca="1">IF([1]Planilha1!$J373="","",TRIM([1]Planilha1!$J373))</f>
        <v>GLOBOPLAY</v>
      </c>
      <c r="Q373" s="7" t="str">
        <f>IF($D373="Claro","",IFERROR($L373-VLOOKUP($B373&amp;"|Claro",[1]AUX_CLARO!$A:$C,2,FALSE),""))</f>
        <v/>
      </c>
      <c r="R373" s="8" t="str">
        <f>IF($D373="Claro","",IFERROR($J373-VLOOKUP($B373&amp;"|Claro",[1]AUX_CLARO!$A:$C,3,FALSE),""))</f>
        <v/>
      </c>
      <c r="S373" t="str">
        <f t="shared" si="25"/>
        <v/>
      </c>
      <c r="T373" t="str">
        <f t="shared" si="26"/>
        <v/>
      </c>
      <c r="U373" s="9">
        <f t="shared" si="27"/>
        <v>46174</v>
      </c>
      <c r="V373" t="str">
        <f ca="1">IF(OR([1]Planilha1!$B373="",[1]Planilha1!$B373="NÃO MAPEADO"),"",TRIM([1]Planilha1!$B373))</f>
        <v>SUDESTE</v>
      </c>
      <c r="W373" t="str">
        <f ca="1">IF([1]Planilha1!$C373="","",TRIM([1]Planilha1!$C373))</f>
        <v>MD 2</v>
      </c>
      <c r="X373" s="12" t="str">
        <f ca="1">IFERROR(VLOOKUP($C373,[1]Planilha2!$B:$H,7,FALSE),"")</f>
        <v>12400-001</v>
      </c>
    </row>
    <row r="374" spans="1:24" x14ac:dyDescent="0.35">
      <c r="A374" t="str">
        <f ca="1">IF(LEFT(TEXT([1]Planilha1!$L374,"0000000"),1)="5","MS","SP")</f>
        <v>SP</v>
      </c>
      <c r="B374" t="str">
        <f ca="1">IF(RIGHT([1]Planilha1!$A374,5)=" - MS",LEFT([1]Planilha1!$A374,LEN([1]Planilha1!$A374)-5),TRIM([1]Planilha1!$A374))</f>
        <v>PINDAMONHANGABA</v>
      </c>
      <c r="C374" s="2">
        <f ca="1">[1]Planilha1!$L374</f>
        <v>3538006</v>
      </c>
      <c r="D374" t="str">
        <f>TRIM([1]Planilha1!$D374)</f>
        <v>Vivo</v>
      </c>
      <c r="E374" t="str">
        <f>IF(TRIM([1]Planilha1!$D374)="Claro","Claro","Concorrente")</f>
        <v>Concorrente</v>
      </c>
      <c r="F374" t="s">
        <v>25</v>
      </c>
      <c r="G374" t="str">
        <f t="shared" ca="1" si="23"/>
        <v>Banda Larga + Movel</v>
      </c>
      <c r="H374" t="s">
        <v>26</v>
      </c>
      <c r="I374" t="str">
        <f ca="1">IF([1]Planilha1!$F374="","",TRIM([1]Planilha1!$F374))</f>
        <v>Fibra</v>
      </c>
      <c r="J374" s="11" t="s">
        <v>27</v>
      </c>
      <c r="K374" s="4" cm="1">
        <f t="array" aca="1" ref="K374" ca="1">IFERROR(VALUE(_xlfn.REGEXEXTRACT([1]Planilha1!$E374,"\+\s*(\d+)GB",2)),"")</f>
        <v>70</v>
      </c>
      <c r="L374" s="5">
        <v>160</v>
      </c>
      <c r="M374" s="5" t="str">
        <f ca="1">IF([1]Planilha1!$I374="","",[1]Planilha1!$I374)</f>
        <v/>
      </c>
      <c r="N374" s="2" t="str" cm="1">
        <f t="array" aca="1" ref="N374" ca="1">IFERROR(VALUE(_xlfn.REGEXEXTRACT([1]Planilha1!$E374,"(\d+)\s*MESES",2)),IFERROR(VALUE(_xlfn.REGEXEXTRACT([1]Planilha1!$E374,"por\s*(\d+)\s*M",2)),IF(_xlfn.REGEXTEST([1]Planilha1!$E374,"1[ºª]"),1,"")))</f>
        <v/>
      </c>
      <c r="O374" s="6" t="str">
        <f t="shared" si="24"/>
        <v/>
      </c>
      <c r="P374" t="str">
        <f ca="1">IF([1]Planilha1!$J374="","",TRIM([1]Planilha1!$J374))</f>
        <v>0</v>
      </c>
      <c r="Q374" s="7">
        <f ca="1">IF($D374="Claro","",IFERROR($L374-VLOOKUP($B374&amp;"|Claro",[1]AUX_CLARO!$A:$C,2,FALSE),""))</f>
        <v>20.099999999999994</v>
      </c>
      <c r="R374" s="8" t="str">
        <f ca="1">IF($D374="Claro","",IFERROR($J374-VLOOKUP($B374&amp;"|Claro",[1]AUX_CLARO!$A:$C,3,FALSE),""))</f>
        <v/>
      </c>
      <c r="S374" t="str">
        <f t="shared" ca="1" si="25"/>
        <v>Claro mais barata</v>
      </c>
      <c r="T374" t="str">
        <f t="shared" ca="1" si="26"/>
        <v/>
      </c>
      <c r="U374" s="9">
        <f t="shared" si="27"/>
        <v>46174</v>
      </c>
      <c r="V374" t="str">
        <f ca="1">IF(OR([1]Planilha1!$B374="",[1]Planilha1!$B374="NÃO MAPEADO"),"",TRIM([1]Planilha1!$B374))</f>
        <v>SUDESTE</v>
      </c>
      <c r="W374" t="str">
        <f ca="1">IF([1]Planilha1!$C374="","",TRIM([1]Planilha1!$C374))</f>
        <v>MD 2</v>
      </c>
      <c r="X374" s="12" t="str">
        <f ca="1">IFERROR(VLOOKUP($C374,[1]Planilha2!$B:$H,7,FALSE),"")</f>
        <v>12400-001</v>
      </c>
    </row>
    <row r="375" spans="1:24" x14ac:dyDescent="0.35">
      <c r="A375" t="str">
        <f ca="1">IF(LEFT(TEXT([1]Planilha1!$L375,"0000000"),1)="5","MS","SP")</f>
        <v>SP</v>
      </c>
      <c r="B375" t="str">
        <f ca="1">IF(RIGHT([1]Planilha1!$A375,5)=" - MS",LEFT([1]Planilha1!$A375,LEN([1]Planilha1!$A375)-5),TRIM([1]Planilha1!$A375))</f>
        <v>PINDAMONHANGABA</v>
      </c>
      <c r="C375" s="2">
        <f ca="1">[1]Planilha1!$L375</f>
        <v>3538006</v>
      </c>
      <c r="D375" t="str">
        <f>TRIM([1]Planilha1!$D375)</f>
        <v>Vero</v>
      </c>
      <c r="E375" t="str">
        <f>IF(TRIM([1]Planilha1!$D375)="Claro","Claro","Concorrente")</f>
        <v>Concorrente</v>
      </c>
      <c r="F375" t="s">
        <v>30</v>
      </c>
      <c r="G375" t="str">
        <f t="shared" ca="1" si="23"/>
        <v>Banda Larga + Movel</v>
      </c>
      <c r="H375" t="str">
        <f ca="1">TRIM([1]Planilha1!$E375)</f>
        <v>850M+60GB=R$149,99 (C/ GLOBOPLAY, HBO, DISNEY+)</v>
      </c>
      <c r="I375" t="str">
        <f ca="1">IF([1]Planilha1!$F375="","",TRIM([1]Planilha1!$F375))</f>
        <v>Fibra</v>
      </c>
      <c r="J375" s="3">
        <f ca="1">IF([1]Planilha1!$G375="","",[1]Planilha1!$G375)</f>
        <v>850</v>
      </c>
      <c r="K375" s="4" cm="1">
        <f t="array" aca="1" ref="K375" ca="1">IFERROR(VALUE(_xlfn.REGEXEXTRACT([1]Planilha1!$E375,"\+\s*(\d+)GB",2)),"")</f>
        <v>60</v>
      </c>
      <c r="L375" s="5">
        <f ca="1">IF([1]Planilha1!$H375="","",[1]Planilha1!$H375)</f>
        <v>149.99</v>
      </c>
      <c r="M375" s="5" t="str">
        <f ca="1">IF([1]Planilha1!$I375="","",[1]Planilha1!$I375)</f>
        <v/>
      </c>
      <c r="N375" s="2" t="str" cm="1">
        <f t="array" aca="1" ref="N375" ca="1">IFERROR(VALUE(_xlfn.REGEXEXTRACT([1]Planilha1!$E375,"(\d+)\s*MESES",2)),IFERROR(VALUE(_xlfn.REGEXEXTRACT([1]Planilha1!$E375,"por\s*(\d+)\s*M",2)),IF(_xlfn.REGEXTEST([1]Planilha1!$E375,"1[ºª]"),1,"")))</f>
        <v/>
      </c>
      <c r="O375" s="6">
        <f t="shared" ca="1" si="24"/>
        <v>0.17645882352941178</v>
      </c>
      <c r="P375" t="str">
        <f ca="1">IF([1]Planilha1!$J375="","",TRIM([1]Planilha1!$J375))</f>
        <v>GLOBOPLAY, HBO, DISNEY+</v>
      </c>
      <c r="Q375" s="7">
        <f ca="1">IF($D375="Claro","",IFERROR($L375-VLOOKUP($B375&amp;"|Claro",[1]AUX_CLARO!$A:$C,2,FALSE),""))</f>
        <v>10.090000000000003</v>
      </c>
      <c r="R375" s="8">
        <f ca="1">IF($D375="Claro","",IFERROR($J375-VLOOKUP($B375&amp;"|Claro",[1]AUX_CLARO!$A:$C,3,FALSE),""))</f>
        <v>250</v>
      </c>
      <c r="S375" t="str">
        <f t="shared" ca="1" si="25"/>
        <v>Claro mais barata</v>
      </c>
      <c r="T375" t="str">
        <f t="shared" ca="1" si="26"/>
        <v>Claro com menor velocidade</v>
      </c>
      <c r="U375" s="9">
        <f t="shared" si="27"/>
        <v>46174</v>
      </c>
      <c r="V375" t="str">
        <f ca="1">IF(OR([1]Planilha1!$B375="",[1]Planilha1!$B375="NÃO MAPEADO"),"",TRIM([1]Planilha1!$B375))</f>
        <v>SUDESTE</v>
      </c>
      <c r="W375" t="str">
        <f ca="1">IF([1]Planilha1!$C375="","",TRIM([1]Planilha1!$C375))</f>
        <v>MD 2</v>
      </c>
      <c r="X375" s="12" t="str">
        <f ca="1">IFERROR(VLOOKUP($C375,[1]Planilha2!$B:$H,7,FALSE),"")</f>
        <v>12400-001</v>
      </c>
    </row>
    <row r="376" spans="1:24" x14ac:dyDescent="0.35">
      <c r="A376" t="str">
        <f ca="1">IF(LEFT(TEXT([1]Planilha1!$L376,"0000000"),1)="5","MS","SP")</f>
        <v>SP</v>
      </c>
      <c r="B376" t="str">
        <f ca="1">IF(RIGHT([1]Planilha1!$A376,5)=" - MS",LEFT([1]Planilha1!$A376,LEN([1]Planilha1!$A376)-5),TRIM([1]Planilha1!$A376))</f>
        <v>PINDAMONHANGABA</v>
      </c>
      <c r="C376" s="2">
        <f ca="1">[1]Planilha1!$L376</f>
        <v>3538006</v>
      </c>
      <c r="D376" t="str">
        <f>TRIM([1]Planilha1!$D376)</f>
        <v>ISP LOCAL</v>
      </c>
      <c r="E376" t="str">
        <f>IF(TRIM([1]Planilha1!$D376)="Claro","Claro","Concorrente")</f>
        <v>Concorrente</v>
      </c>
      <c r="F376" t="s">
        <v>28</v>
      </c>
      <c r="G376" t="str">
        <f t="shared" ca="1" si="23"/>
        <v>Banda Larga + Conteudo</v>
      </c>
      <c r="H376" t="str">
        <f ca="1">TRIM([1]Planilha1!$E376)</f>
        <v>CABONNET - 600M R$49,95 - 3 MESES, APÓS R$99,90</v>
      </c>
      <c r="I376" t="str">
        <f ca="1">IF([1]Planilha1!$F376="","",TRIM([1]Planilha1!$F376))</f>
        <v>Fibra</v>
      </c>
      <c r="J376" s="3">
        <f ca="1">IF([1]Planilha1!$G376="","",[1]Planilha1!$G376)</f>
        <v>600</v>
      </c>
      <c r="K376" s="4" t="str" cm="1">
        <f t="array" aca="1" ref="K376" ca="1">IFERROR(VALUE(_xlfn.REGEXEXTRACT([1]Planilha1!$E376,"\+\s*(\d+)GB",2)),"")</f>
        <v/>
      </c>
      <c r="L376" s="5">
        <f ca="1">IF([1]Planilha1!$H376="","",[1]Planilha1!$H376)</f>
        <v>99.9</v>
      </c>
      <c r="M376" s="5">
        <f ca="1">IF([1]Planilha1!$I376="","",[1]Planilha1!$I376)</f>
        <v>49.95</v>
      </c>
      <c r="N376" s="2" cm="1">
        <f t="array" aca="1" ref="N376" ca="1">IFERROR(VALUE(_xlfn.REGEXEXTRACT([1]Planilha1!$E376,"(\d+)\s*MESES",2)),IFERROR(VALUE(_xlfn.REGEXEXTRACT([1]Planilha1!$E376,"por\s*(\d+)\s*M",2)),IF(_xlfn.REGEXTEST([1]Planilha1!$E376,"1[ºª]"),1,"")))</f>
        <v>3</v>
      </c>
      <c r="O376" s="6">
        <f t="shared" ca="1" si="24"/>
        <v>0.16650000000000001</v>
      </c>
      <c r="P376" t="str">
        <f ca="1">IF([1]Planilha1!$J376="","",TRIM([1]Planilha1!$J376))</f>
        <v>0</v>
      </c>
      <c r="Q376" s="7">
        <f ca="1">IF($D376="Claro","",IFERROR($L376-VLOOKUP($B376&amp;"|Claro",[1]AUX_CLARO!$A:$C,2,FALSE),""))</f>
        <v>-40</v>
      </c>
      <c r="R376" s="8">
        <f ca="1">IF($D376="Claro","",IFERROR($J376-VLOOKUP($B376&amp;"|Claro",[1]AUX_CLARO!$A:$C,3,FALSE),""))</f>
        <v>0</v>
      </c>
      <c r="S376" t="str">
        <f t="shared" ca="1" si="25"/>
        <v>Claro mais cara</v>
      </c>
      <c r="T376" t="str">
        <f t="shared" ca="1" si="26"/>
        <v>Mesma velocidade</v>
      </c>
      <c r="U376" s="9">
        <f t="shared" si="27"/>
        <v>46174</v>
      </c>
      <c r="V376" t="str">
        <f ca="1">IF(OR([1]Planilha1!$B376="",[1]Planilha1!$B376="NÃO MAPEADO"),"",TRIM([1]Planilha1!$B376))</f>
        <v>SUDESTE</v>
      </c>
      <c r="W376" t="str">
        <f ca="1">IF([1]Planilha1!$C376="","",TRIM([1]Planilha1!$C376))</f>
        <v>MD 2</v>
      </c>
      <c r="X376" s="12" t="str">
        <f ca="1">IFERROR(VLOOKUP($C376,[1]Planilha2!$B:$H,7,FALSE),"")</f>
        <v>12400-001</v>
      </c>
    </row>
    <row r="377" spans="1:24" x14ac:dyDescent="0.35">
      <c r="A377" t="str">
        <f ca="1">IF(LEFT(TEXT([1]Planilha1!$L377,"0000000"),1)="5","MS","SP")</f>
        <v>SP</v>
      </c>
      <c r="B377" t="str">
        <f ca="1">IF(RIGHT([1]Planilha1!$A377,5)=" - MS",LEFT([1]Planilha1!$A377,LEN([1]Planilha1!$A377)-5),TRIM([1]Planilha1!$A377))</f>
        <v>PIRACICABA</v>
      </c>
      <c r="C377" s="2">
        <f ca="1">[1]Planilha1!$L377</f>
        <v>3538709</v>
      </c>
      <c r="D377" t="str">
        <f>TRIM([1]Planilha1!$D377)</f>
        <v>Claro</v>
      </c>
      <c r="E377" t="str">
        <f>IF(TRIM([1]Planilha1!$D377)="Claro","Claro","Concorrente")</f>
        <v>Claro</v>
      </c>
      <c r="F377" t="s">
        <v>24</v>
      </c>
      <c r="G377" t="str">
        <f t="shared" ca="1" si="23"/>
        <v>Banda Larga + Movel</v>
      </c>
      <c r="H377" t="str">
        <f ca="1">TRIM([1]Planilha1!$E377)</f>
        <v>600M+100GB=R$159,90</v>
      </c>
      <c r="I377" t="str">
        <f ca="1">IF([1]Planilha1!$F377="","",TRIM([1]Planilha1!$F377))</f>
        <v>Fibra</v>
      </c>
      <c r="J377" s="3">
        <f ca="1">IF([1]Planilha1!$G377="","",[1]Planilha1!$G377)</f>
        <v>600</v>
      </c>
      <c r="K377" s="4" cm="1">
        <f t="array" aca="1" ref="K377" ca="1">IFERROR(VALUE(_xlfn.REGEXEXTRACT([1]Planilha1!$E377,"\+\s*(\d+)GB",2)),"")</f>
        <v>100</v>
      </c>
      <c r="L377" s="5">
        <f ca="1">IF([1]Planilha1!$H377="","",[1]Planilha1!$H377)</f>
        <v>159.9</v>
      </c>
      <c r="M377" s="5" t="str">
        <f ca="1">IF([1]Planilha1!$I377="","",[1]Planilha1!$I377)</f>
        <v/>
      </c>
      <c r="N377" s="2" t="str" cm="1">
        <f t="array" aca="1" ref="N377" ca="1">IFERROR(VALUE(_xlfn.REGEXEXTRACT([1]Planilha1!$E377,"(\d+)\s*MESES",2)),IFERROR(VALUE(_xlfn.REGEXEXTRACT([1]Planilha1!$E377,"por\s*(\d+)\s*M",2)),IF(_xlfn.REGEXTEST([1]Planilha1!$E377,"1[ºª]"),1,"")))</f>
        <v/>
      </c>
      <c r="O377" s="6">
        <f t="shared" ca="1" si="24"/>
        <v>0.26650000000000001</v>
      </c>
      <c r="P377" t="str">
        <f ca="1">IF([1]Planilha1!$J377="","",TRIM([1]Planilha1!$J377))</f>
        <v>GLOBOPLAY</v>
      </c>
      <c r="Q377" s="7" t="str">
        <f>IF($D377="Claro","",IFERROR($L377-VLOOKUP($B377&amp;"|Claro",[1]AUX_CLARO!$A:$C,2,FALSE),""))</f>
        <v/>
      </c>
      <c r="R377" s="8" t="str">
        <f>IF($D377="Claro","",IFERROR($J377-VLOOKUP($B377&amp;"|Claro",[1]AUX_CLARO!$A:$C,3,FALSE),""))</f>
        <v/>
      </c>
      <c r="S377" t="str">
        <f t="shared" si="25"/>
        <v/>
      </c>
      <c r="T377" t="str">
        <f t="shared" si="26"/>
        <v/>
      </c>
      <c r="U377" s="9">
        <f t="shared" si="27"/>
        <v>46174</v>
      </c>
      <c r="V377" t="str">
        <f ca="1">IF(OR([1]Planilha1!$B377="",[1]Planilha1!$B377="NÃO MAPEADO"),"",TRIM([1]Planilha1!$B377))</f>
        <v>CENTRAL</v>
      </c>
      <c r="W377" t="str">
        <f ca="1">IF([1]Planilha1!$C377="","",TRIM([1]Planilha1!$C377))</f>
        <v>PADRÃO</v>
      </c>
      <c r="X377" t="str">
        <f ca="1">IFERROR(VLOOKUP($C377,[1]Planilha2!$B:$H,7,FALSE),"")</f>
        <v>13400-001</v>
      </c>
    </row>
    <row r="378" spans="1:24" x14ac:dyDescent="0.35">
      <c r="A378" t="str">
        <f ca="1">IF(LEFT(TEXT([1]Planilha1!$L378,"0000000"),1)="5","MS","SP")</f>
        <v>SP</v>
      </c>
      <c r="B378" t="str">
        <f ca="1">IF(RIGHT([1]Planilha1!$A378,5)=" - MS",LEFT([1]Planilha1!$A378,LEN([1]Planilha1!$A378)-5),TRIM([1]Planilha1!$A378))</f>
        <v>PIRACICABA</v>
      </c>
      <c r="C378" s="2">
        <f ca="1">[1]Planilha1!$L378</f>
        <v>3538709</v>
      </c>
      <c r="D378" t="str">
        <f>TRIM([1]Planilha1!$D378)</f>
        <v>Vivo</v>
      </c>
      <c r="E378" t="str">
        <f>IF(TRIM([1]Planilha1!$D378)="Claro","Claro","Concorrente")</f>
        <v>Concorrente</v>
      </c>
      <c r="F378" t="s">
        <v>25</v>
      </c>
      <c r="G378" t="str">
        <f t="shared" ca="1" si="23"/>
        <v>Banda Larga + Movel</v>
      </c>
      <c r="H378" t="s">
        <v>26</v>
      </c>
      <c r="I378" t="str">
        <f ca="1">IF([1]Planilha1!$F378="","",TRIM([1]Planilha1!$F378))</f>
        <v>Fibra</v>
      </c>
      <c r="J378" s="11" t="s">
        <v>27</v>
      </c>
      <c r="K378" s="4" cm="1">
        <f t="array" aca="1" ref="K378" ca="1">IFERROR(VALUE(_xlfn.REGEXEXTRACT([1]Planilha1!$E378,"\+\s*(\d+)GB",2)),"")</f>
        <v>70</v>
      </c>
      <c r="L378" s="5">
        <v>160</v>
      </c>
      <c r="M378" s="5" t="str">
        <f ca="1">IF([1]Planilha1!$I378="","",[1]Planilha1!$I378)</f>
        <v/>
      </c>
      <c r="N378" s="2" t="str" cm="1">
        <f t="array" aca="1" ref="N378" ca="1">IFERROR(VALUE(_xlfn.REGEXEXTRACT([1]Planilha1!$E378,"(\d+)\s*MESES",2)),IFERROR(VALUE(_xlfn.REGEXEXTRACT([1]Planilha1!$E378,"por\s*(\d+)\s*M",2)),IF(_xlfn.REGEXTEST([1]Planilha1!$E378,"1[ºª]"),1,"")))</f>
        <v/>
      </c>
      <c r="O378" s="6" t="str">
        <f t="shared" si="24"/>
        <v/>
      </c>
      <c r="P378" t="str">
        <f ca="1">IF([1]Planilha1!$J378="","",TRIM([1]Planilha1!$J378))</f>
        <v>0</v>
      </c>
      <c r="Q378" s="7">
        <f ca="1">IF($D378="Claro","",IFERROR($L378-VLOOKUP($B378&amp;"|Claro",[1]AUX_CLARO!$A:$C,2,FALSE),""))</f>
        <v>9.9999999999994316E-2</v>
      </c>
      <c r="R378" s="8" t="str">
        <f ca="1">IF($D378="Claro","",IFERROR($J378-VLOOKUP($B378&amp;"|Claro",[1]AUX_CLARO!$A:$C,3,FALSE),""))</f>
        <v/>
      </c>
      <c r="S378" t="str">
        <f t="shared" ca="1" si="25"/>
        <v>Claro mais barata</v>
      </c>
      <c r="T378" t="str">
        <f t="shared" ca="1" si="26"/>
        <v/>
      </c>
      <c r="U378" s="9">
        <f t="shared" si="27"/>
        <v>46174</v>
      </c>
      <c r="V378" t="str">
        <f ca="1">IF(OR([1]Planilha1!$B378="",[1]Planilha1!$B378="NÃO MAPEADO"),"",TRIM([1]Planilha1!$B378))</f>
        <v>CENTRAL</v>
      </c>
      <c r="W378" t="str">
        <f ca="1">IF([1]Planilha1!$C378="","",TRIM([1]Planilha1!$C378))</f>
        <v>PADRÃO</v>
      </c>
      <c r="X378" t="str">
        <f ca="1">IFERROR(VLOOKUP($C378,[1]Planilha2!$B:$H,7,FALSE),"")</f>
        <v>13400-001</v>
      </c>
    </row>
    <row r="379" spans="1:24" x14ac:dyDescent="0.35">
      <c r="A379" t="str">
        <f ca="1">IF(LEFT(TEXT([1]Planilha1!$L379,"0000000"),1)="5","MS","SP")</f>
        <v>SP</v>
      </c>
      <c r="B379" t="str">
        <f ca="1">IF(RIGHT([1]Planilha1!$A379,5)=" - MS",LEFT([1]Planilha1!$A379,LEN([1]Planilha1!$A379)-5),TRIM([1]Planilha1!$A379))</f>
        <v>PIRACICABA</v>
      </c>
      <c r="C379" s="2">
        <f ca="1">[1]Planilha1!$L379</f>
        <v>3538709</v>
      </c>
      <c r="D379" t="str">
        <f>TRIM([1]Planilha1!$D379)</f>
        <v>Desktop</v>
      </c>
      <c r="E379" t="str">
        <f>IF(TRIM([1]Planilha1!$D379)="Claro","Claro","Concorrente")</f>
        <v>Concorrente</v>
      </c>
      <c r="F379" t="s">
        <v>29</v>
      </c>
      <c r="G379" t="str">
        <f t="shared" ca="1" si="23"/>
        <v>Banda Larga + Movel</v>
      </c>
      <c r="H379" t="str">
        <f ca="1">TRIM([1]Planilha1!$E379)</f>
        <v>600M+15GB=R$129,99 - 6 MESES, APÓS R$139,99</v>
      </c>
      <c r="I379" t="str">
        <f ca="1">IF([1]Planilha1!$F379="","",TRIM([1]Planilha1!$F379))</f>
        <v>Fibra</v>
      </c>
      <c r="J379" s="3">
        <f ca="1">IF([1]Planilha1!$G379="","",[1]Planilha1!$G379)</f>
        <v>600</v>
      </c>
      <c r="K379" s="4" cm="1">
        <f t="array" aca="1" ref="K379" ca="1">IFERROR(VALUE(_xlfn.REGEXEXTRACT([1]Planilha1!$E379,"\+\s*(\d+)GB",2)),"")</f>
        <v>15</v>
      </c>
      <c r="L379" s="5">
        <f ca="1">IF([1]Planilha1!$H379="","",[1]Planilha1!$H379)</f>
        <v>139.99</v>
      </c>
      <c r="M379" s="5">
        <f ca="1">IF([1]Planilha1!$I379="","",[1]Planilha1!$I379)</f>
        <v>129.99</v>
      </c>
      <c r="N379" s="2" cm="1">
        <f t="array" aca="1" ref="N379" ca="1">IFERROR(VALUE(_xlfn.REGEXEXTRACT([1]Planilha1!$E379,"(\d+)\s*MESES",2)),IFERROR(VALUE(_xlfn.REGEXEXTRACT([1]Planilha1!$E379,"por\s*(\d+)\s*M",2)),IF(_xlfn.REGEXTEST([1]Planilha1!$E379,"1[ºª]"),1,"")))</f>
        <v>6</v>
      </c>
      <c r="O379" s="6">
        <f t="shared" ca="1" si="24"/>
        <v>0.23331666666666667</v>
      </c>
      <c r="P379" t="str">
        <f ca="1">IF([1]Planilha1!$J379="","",TRIM([1]Planilha1!$J379))</f>
        <v>0</v>
      </c>
      <c r="Q379" s="7">
        <f ca="1">IF($D379="Claro","",IFERROR($L379-VLOOKUP($B379&amp;"|Claro",[1]AUX_CLARO!$A:$C,2,FALSE),""))</f>
        <v>-19.909999999999997</v>
      </c>
      <c r="R379" s="8">
        <f ca="1">IF($D379="Claro","",IFERROR($J379-VLOOKUP($B379&amp;"|Claro",[1]AUX_CLARO!$A:$C,3,FALSE),""))</f>
        <v>0</v>
      </c>
      <c r="S379" t="str">
        <f t="shared" ca="1" si="25"/>
        <v>Claro mais cara</v>
      </c>
      <c r="T379" t="str">
        <f t="shared" ca="1" si="26"/>
        <v>Mesma velocidade</v>
      </c>
      <c r="U379" s="9">
        <f t="shared" si="27"/>
        <v>46174</v>
      </c>
      <c r="V379" t="str">
        <f ca="1">IF(OR([1]Planilha1!$B379="",[1]Planilha1!$B379="NÃO MAPEADO"),"",TRIM([1]Planilha1!$B379))</f>
        <v>CENTRAL</v>
      </c>
      <c r="W379" t="str">
        <f ca="1">IF([1]Planilha1!$C379="","",TRIM([1]Planilha1!$C379))</f>
        <v>PADRÃO</v>
      </c>
      <c r="X379" t="str">
        <f ca="1">IFERROR(VLOOKUP($C379,[1]Planilha2!$B:$H,7,FALSE),"")</f>
        <v>13400-001</v>
      </c>
    </row>
    <row r="380" spans="1:24" x14ac:dyDescent="0.35">
      <c r="A380" t="str">
        <f ca="1">IF(LEFT(TEXT([1]Planilha1!$L380,"0000000"),1)="5","MS","SP")</f>
        <v>SP</v>
      </c>
      <c r="B380" t="str">
        <f ca="1">IF(RIGHT([1]Planilha1!$A380,5)=" - MS",LEFT([1]Planilha1!$A380,LEN([1]Planilha1!$A380)-5),TRIM([1]Planilha1!$A380))</f>
        <v>PIRACICABA</v>
      </c>
      <c r="C380" s="2">
        <f ca="1">[1]Planilha1!$L380</f>
        <v>3538709</v>
      </c>
      <c r="D380" t="str">
        <f>TRIM([1]Planilha1!$D380)</f>
        <v>Vero</v>
      </c>
      <c r="E380" t="str">
        <f>IF(TRIM([1]Planilha1!$D380)="Claro","Claro","Concorrente")</f>
        <v>Concorrente</v>
      </c>
      <c r="F380" t="s">
        <v>30</v>
      </c>
      <c r="G380" t="str">
        <f t="shared" ca="1" si="23"/>
        <v>Banda Larga + Movel</v>
      </c>
      <c r="H380" t="str">
        <f ca="1">TRIM([1]Planilha1!$E380)</f>
        <v>850M+60GB=R$149,99 (C/ GLOBOPLAY, HBO, DISNEY+)</v>
      </c>
      <c r="I380" t="str">
        <f ca="1">IF([1]Planilha1!$F380="","",TRIM([1]Planilha1!$F380))</f>
        <v>Fibra</v>
      </c>
      <c r="J380" s="3">
        <f ca="1">IF([1]Planilha1!$G380="","",[1]Planilha1!$G380)</f>
        <v>850</v>
      </c>
      <c r="K380" s="4" cm="1">
        <f t="array" aca="1" ref="K380" ca="1">IFERROR(VALUE(_xlfn.REGEXEXTRACT([1]Planilha1!$E380,"\+\s*(\d+)GB",2)),"")</f>
        <v>60</v>
      </c>
      <c r="L380" s="5">
        <f ca="1">IF([1]Planilha1!$H380="","",[1]Planilha1!$H380)</f>
        <v>149.99</v>
      </c>
      <c r="M380" s="5" t="str">
        <f ca="1">IF([1]Planilha1!$I380="","",[1]Planilha1!$I380)</f>
        <v/>
      </c>
      <c r="N380" s="2" t="str" cm="1">
        <f t="array" aca="1" ref="N380" ca="1">IFERROR(VALUE(_xlfn.REGEXEXTRACT([1]Planilha1!$E380,"(\d+)\s*MESES",2)),IFERROR(VALUE(_xlfn.REGEXEXTRACT([1]Planilha1!$E380,"por\s*(\d+)\s*M",2)),IF(_xlfn.REGEXTEST([1]Planilha1!$E380,"1[ºª]"),1,"")))</f>
        <v/>
      </c>
      <c r="O380" s="6">
        <f t="shared" ca="1" si="24"/>
        <v>0.17645882352941178</v>
      </c>
      <c r="P380" t="str">
        <f ca="1">IF([1]Planilha1!$J380="","",TRIM([1]Planilha1!$J380))</f>
        <v>GLOBOPLAY, HBO, DISNEY+</v>
      </c>
      <c r="Q380" s="7">
        <f ca="1">IF($D380="Claro","",IFERROR($L380-VLOOKUP($B380&amp;"|Claro",[1]AUX_CLARO!$A:$C,2,FALSE),""))</f>
        <v>-9.9099999999999966</v>
      </c>
      <c r="R380" s="8">
        <f ca="1">IF($D380="Claro","",IFERROR($J380-VLOOKUP($B380&amp;"|Claro",[1]AUX_CLARO!$A:$C,3,FALSE),""))</f>
        <v>250</v>
      </c>
      <c r="S380" t="str">
        <f t="shared" ca="1" si="25"/>
        <v>Claro mais cara</v>
      </c>
      <c r="T380" t="str">
        <f t="shared" ca="1" si="26"/>
        <v>Claro com menor velocidade</v>
      </c>
      <c r="U380" s="9">
        <f t="shared" si="27"/>
        <v>46174</v>
      </c>
      <c r="V380" t="str">
        <f ca="1">IF(OR([1]Planilha1!$B380="",[1]Planilha1!$B380="NÃO MAPEADO"),"",TRIM([1]Planilha1!$B380))</f>
        <v>CENTRAL</v>
      </c>
      <c r="W380" t="str">
        <f ca="1">IF([1]Planilha1!$C380="","",TRIM([1]Planilha1!$C380))</f>
        <v>PADRÃO</v>
      </c>
      <c r="X380" t="str">
        <f ca="1">IFERROR(VLOOKUP($C380,[1]Planilha2!$B:$H,7,FALSE),"")</f>
        <v>13400-001</v>
      </c>
    </row>
    <row r="381" spans="1:24" x14ac:dyDescent="0.35">
      <c r="A381" t="str">
        <f ca="1">IF(LEFT(TEXT([1]Planilha1!$L381,"0000000"),1)="5","MS","SP")</f>
        <v>SP</v>
      </c>
      <c r="B381" t="str">
        <f ca="1">IF(RIGHT([1]Planilha1!$A381,5)=" - MS",LEFT([1]Planilha1!$A381,LEN([1]Planilha1!$A381)-5),TRIM([1]Planilha1!$A381))</f>
        <v>PIRACICABA</v>
      </c>
      <c r="C381" s="2">
        <f ca="1">[1]Planilha1!$L381</f>
        <v>3538709</v>
      </c>
      <c r="D381" t="str">
        <f>TRIM([1]Planilha1!$D381)</f>
        <v>ISP LOCAL</v>
      </c>
      <c r="E381" t="str">
        <f>IF(TRIM([1]Planilha1!$D381)="Claro","Claro","Concorrente")</f>
        <v>Concorrente</v>
      </c>
      <c r="F381" t="s">
        <v>79</v>
      </c>
      <c r="G381" t="str">
        <f t="shared" ca="1" si="23"/>
        <v>Banda Larga + Conteudo</v>
      </c>
      <c r="H381" t="str">
        <f ca="1">TRIM([1]Planilha1!$E381)</f>
        <v>RVA - 500M R$119,90</v>
      </c>
      <c r="I381" t="str">
        <f ca="1">IF([1]Planilha1!$F381="","",TRIM([1]Planilha1!$F381))</f>
        <v>Fibra</v>
      </c>
      <c r="J381" s="3">
        <f ca="1">IF([1]Planilha1!$G381="","",[1]Planilha1!$G381)</f>
        <v>500</v>
      </c>
      <c r="K381" s="4" t="str" cm="1">
        <f t="array" aca="1" ref="K381" ca="1">IFERROR(VALUE(_xlfn.REGEXEXTRACT([1]Planilha1!$E381,"\+\s*(\d+)GB",2)),"")</f>
        <v/>
      </c>
      <c r="L381" s="5">
        <f ca="1">IF([1]Planilha1!$H381="","",[1]Planilha1!$H381)</f>
        <v>119.9</v>
      </c>
      <c r="M381" s="5" t="str">
        <f ca="1">IF([1]Planilha1!$I381="","",[1]Planilha1!$I381)</f>
        <v/>
      </c>
      <c r="N381" s="2" t="str" cm="1">
        <f t="array" aca="1" ref="N381" ca="1">IFERROR(VALUE(_xlfn.REGEXEXTRACT([1]Planilha1!$E381,"(\d+)\s*MESES",2)),IFERROR(VALUE(_xlfn.REGEXEXTRACT([1]Planilha1!$E381,"por\s*(\d+)\s*M",2)),IF(_xlfn.REGEXTEST([1]Planilha1!$E381,"1[ºª]"),1,"")))</f>
        <v/>
      </c>
      <c r="O381" s="6">
        <f t="shared" ca="1" si="24"/>
        <v>0.23980000000000001</v>
      </c>
      <c r="P381" t="str">
        <f ca="1">IF([1]Planilha1!$J381="","",TRIM([1]Planilha1!$J381))</f>
        <v>0</v>
      </c>
      <c r="Q381" s="7">
        <f ca="1">IF($D381="Claro","",IFERROR($L381-VLOOKUP($B381&amp;"|Claro",[1]AUX_CLARO!$A:$C,2,FALSE),""))</f>
        <v>-40</v>
      </c>
      <c r="R381" s="8">
        <f ca="1">IF($D381="Claro","",IFERROR($J381-VLOOKUP($B381&amp;"|Claro",[1]AUX_CLARO!$A:$C,3,FALSE),""))</f>
        <v>-100</v>
      </c>
      <c r="S381" t="str">
        <f t="shared" ca="1" si="25"/>
        <v>Claro mais cara</v>
      </c>
      <c r="T381" t="str">
        <f t="shared" ca="1" si="26"/>
        <v>Claro com maior velocidade</v>
      </c>
      <c r="U381" s="9">
        <f t="shared" si="27"/>
        <v>46174</v>
      </c>
      <c r="V381" t="str">
        <f ca="1">IF(OR([1]Planilha1!$B381="",[1]Planilha1!$B381="NÃO MAPEADO"),"",TRIM([1]Planilha1!$B381))</f>
        <v>CENTRAL</v>
      </c>
      <c r="W381" t="str">
        <f ca="1">IF([1]Planilha1!$C381="","",TRIM([1]Planilha1!$C381))</f>
        <v>PADRÃO</v>
      </c>
      <c r="X381" t="str">
        <f ca="1">IFERROR(VLOOKUP($C381,[1]Planilha2!$B:$H,7,FALSE),"")</f>
        <v>13400-001</v>
      </c>
    </row>
    <row r="382" spans="1:24" x14ac:dyDescent="0.35">
      <c r="A382" t="str">
        <f ca="1">IF(LEFT(TEXT([1]Planilha1!$L382,"0000000"),1)="5","MS","SP")</f>
        <v>SP</v>
      </c>
      <c r="B382" t="str">
        <f ca="1">IF(RIGHT([1]Planilha1!$A382,5)=" - MS",LEFT([1]Planilha1!$A382,LEN([1]Planilha1!$A382)-5),TRIM([1]Planilha1!$A382))</f>
        <v>PIRASSUNUNGA</v>
      </c>
      <c r="C382" s="2">
        <f ca="1">[1]Planilha1!$L382</f>
        <v>3539301</v>
      </c>
      <c r="D382" t="str">
        <f>TRIM([1]Planilha1!$D382)</f>
        <v>Claro</v>
      </c>
      <c r="E382" t="str">
        <f>IF(TRIM([1]Planilha1!$D382)="Claro","Claro","Concorrente")</f>
        <v>Claro</v>
      </c>
      <c r="F382" t="s">
        <v>24</v>
      </c>
      <c r="G382" t="str">
        <f t="shared" ca="1" si="23"/>
        <v>Banda Larga + Movel</v>
      </c>
      <c r="H382" t="str">
        <f ca="1">TRIM([1]Planilha1!$E382)</f>
        <v>600M+100GB=R$109,90 por 6M, após R$139,90</v>
      </c>
      <c r="I382" t="str">
        <f ca="1">IF([1]Planilha1!$F382="","",TRIM([1]Planilha1!$F382))</f>
        <v>Fibra</v>
      </c>
      <c r="J382" s="3">
        <f ca="1">IF([1]Planilha1!$G382="","",[1]Planilha1!$G382)</f>
        <v>600</v>
      </c>
      <c r="K382" s="4" cm="1">
        <f t="array" aca="1" ref="K382" ca="1">IFERROR(VALUE(_xlfn.REGEXEXTRACT([1]Planilha1!$E382,"\+\s*(\d+)GB",2)),"")</f>
        <v>100</v>
      </c>
      <c r="L382" s="5">
        <f ca="1">IF([1]Planilha1!$H382="","",[1]Planilha1!$H382)</f>
        <v>139.9</v>
      </c>
      <c r="M382" s="5">
        <f ca="1">IF([1]Planilha1!$I382="","",[1]Planilha1!$I382)</f>
        <v>109.9</v>
      </c>
      <c r="N382" s="2" cm="1">
        <f t="array" aca="1" ref="N382" ca="1">IFERROR(VALUE(_xlfn.REGEXEXTRACT([1]Planilha1!$E382,"(\d+)\s*MESES",2)),IFERROR(VALUE(_xlfn.REGEXEXTRACT([1]Planilha1!$E382,"por\s*(\d+)\s*M",2)),IF(_xlfn.REGEXTEST([1]Planilha1!$E382,"1[ºª]"),1,"")))</f>
        <v>6</v>
      </c>
      <c r="O382" s="6">
        <f t="shared" ca="1" si="24"/>
        <v>0.23316666666666669</v>
      </c>
      <c r="P382" t="str">
        <f ca="1">IF([1]Planilha1!$J382="","",TRIM([1]Planilha1!$J382))</f>
        <v>GLOBOPLAY</v>
      </c>
      <c r="Q382" s="7" t="str">
        <f>IF($D382="Claro","",IFERROR($L382-VLOOKUP($B382&amp;"|Claro",[1]AUX_CLARO!$A:$C,2,FALSE),""))</f>
        <v/>
      </c>
      <c r="R382" s="8" t="str">
        <f>IF($D382="Claro","",IFERROR($J382-VLOOKUP($B382&amp;"|Claro",[1]AUX_CLARO!$A:$C,3,FALSE),""))</f>
        <v/>
      </c>
      <c r="S382" t="str">
        <f t="shared" si="25"/>
        <v/>
      </c>
      <c r="T382" t="str">
        <f t="shared" si="26"/>
        <v/>
      </c>
      <c r="U382" s="9">
        <f t="shared" si="27"/>
        <v>46174</v>
      </c>
      <c r="V382" t="str">
        <f ca="1">IF(OR([1]Planilha1!$B382="",[1]Planilha1!$B382="NÃO MAPEADO"),"",TRIM([1]Planilha1!$B382))</f>
        <v>SUDESTE</v>
      </c>
      <c r="W382" t="str">
        <f ca="1">IF([1]Planilha1!$C382="","",TRIM([1]Planilha1!$C382))</f>
        <v>MD 2</v>
      </c>
      <c r="X382" s="12" t="str">
        <f ca="1">IFERROR(VLOOKUP($C382,[1]Planilha2!$B:$H,7,FALSE),"")</f>
        <v>13630-001</v>
      </c>
    </row>
    <row r="383" spans="1:24" x14ac:dyDescent="0.35">
      <c r="A383" t="str">
        <f ca="1">IF(LEFT(TEXT([1]Planilha1!$L383,"0000000"),1)="5","MS","SP")</f>
        <v>SP</v>
      </c>
      <c r="B383" t="str">
        <f ca="1">IF(RIGHT([1]Planilha1!$A383,5)=" - MS",LEFT([1]Planilha1!$A383,LEN([1]Planilha1!$A383)-5),TRIM([1]Planilha1!$A383))</f>
        <v>PIRASSUNUNGA</v>
      </c>
      <c r="C383" s="2">
        <f ca="1">[1]Planilha1!$L383</f>
        <v>3539301</v>
      </c>
      <c r="D383" t="str">
        <f>TRIM([1]Planilha1!$D383)</f>
        <v>Vivo</v>
      </c>
      <c r="E383" t="str">
        <f>IF(TRIM([1]Planilha1!$D383)="Claro","Claro","Concorrente")</f>
        <v>Concorrente</v>
      </c>
      <c r="F383" t="s">
        <v>25</v>
      </c>
      <c r="G383" t="str">
        <f t="shared" ca="1" si="23"/>
        <v>Banda Larga + Movel</v>
      </c>
      <c r="H383" t="s">
        <v>26</v>
      </c>
      <c r="I383" t="str">
        <f ca="1">IF([1]Planilha1!$F383="","",TRIM([1]Planilha1!$F383))</f>
        <v>Fibra</v>
      </c>
      <c r="J383" s="11" t="s">
        <v>27</v>
      </c>
      <c r="K383" s="4" cm="1">
        <f t="array" aca="1" ref="K383" ca="1">IFERROR(VALUE(_xlfn.REGEXEXTRACT([1]Planilha1!$E383,"\+\s*(\d+)GB",2)),"")</f>
        <v>70</v>
      </c>
      <c r="L383" s="5">
        <v>160</v>
      </c>
      <c r="M383" s="5" t="str">
        <f ca="1">IF([1]Planilha1!$I383="","",[1]Planilha1!$I383)</f>
        <v/>
      </c>
      <c r="N383" s="2" t="str" cm="1">
        <f t="array" aca="1" ref="N383" ca="1">IFERROR(VALUE(_xlfn.REGEXEXTRACT([1]Planilha1!$E383,"(\d+)\s*MESES",2)),IFERROR(VALUE(_xlfn.REGEXEXTRACT([1]Planilha1!$E383,"por\s*(\d+)\s*M",2)),IF(_xlfn.REGEXTEST([1]Planilha1!$E383,"1[ºª]"),1,"")))</f>
        <v/>
      </c>
      <c r="O383" s="6" t="str">
        <f t="shared" si="24"/>
        <v/>
      </c>
      <c r="P383" t="str">
        <f ca="1">IF([1]Planilha1!$J383="","",TRIM([1]Planilha1!$J383))</f>
        <v>0</v>
      </c>
      <c r="Q383" s="7">
        <f ca="1">IF($D383="Claro","",IFERROR($L383-VLOOKUP($B383&amp;"|Claro",[1]AUX_CLARO!$A:$C,2,FALSE),""))</f>
        <v>20.099999999999994</v>
      </c>
      <c r="R383" s="8" t="str">
        <f ca="1">IF($D383="Claro","",IFERROR($J383-VLOOKUP($B383&amp;"|Claro",[1]AUX_CLARO!$A:$C,3,FALSE),""))</f>
        <v/>
      </c>
      <c r="S383" t="str">
        <f t="shared" ca="1" si="25"/>
        <v>Claro mais barata</v>
      </c>
      <c r="T383" t="str">
        <f t="shared" ca="1" si="26"/>
        <v/>
      </c>
      <c r="U383" s="9">
        <f t="shared" si="27"/>
        <v>46174</v>
      </c>
      <c r="V383" t="str">
        <f ca="1">IF(OR([1]Planilha1!$B383="",[1]Planilha1!$B383="NÃO MAPEADO"),"",TRIM([1]Planilha1!$B383))</f>
        <v>SUDESTE</v>
      </c>
      <c r="W383" t="str">
        <f ca="1">IF([1]Planilha1!$C383="","",TRIM([1]Planilha1!$C383))</f>
        <v>MD 2</v>
      </c>
      <c r="X383" s="12" t="str">
        <f ca="1">IFERROR(VLOOKUP($C383,[1]Planilha2!$B:$H,7,FALSE),"")</f>
        <v>13630-001</v>
      </c>
    </row>
    <row r="384" spans="1:24" x14ac:dyDescent="0.35">
      <c r="A384" t="str">
        <f ca="1">IF(LEFT(TEXT([1]Planilha1!$L384,"0000000"),1)="5","MS","SP")</f>
        <v>SP</v>
      </c>
      <c r="B384" t="str">
        <f ca="1">IF(RIGHT([1]Planilha1!$A384,5)=" - MS",LEFT([1]Planilha1!$A384,LEN([1]Planilha1!$A384)-5),TRIM([1]Planilha1!$A384))</f>
        <v>PIRASSUNUNGA</v>
      </c>
      <c r="C384" s="2">
        <f ca="1">[1]Planilha1!$L384</f>
        <v>3539301</v>
      </c>
      <c r="D384" t="str">
        <f>TRIM([1]Planilha1!$D384)</f>
        <v>Desktop</v>
      </c>
      <c r="E384" t="str">
        <f>IF(TRIM([1]Planilha1!$D384)="Claro","Claro","Concorrente")</f>
        <v>Concorrente</v>
      </c>
      <c r="F384" t="s">
        <v>29</v>
      </c>
      <c r="G384" t="str">
        <f t="shared" ca="1" si="23"/>
        <v>Banda Larga + Conteudo</v>
      </c>
      <c r="H384" t="str">
        <f ca="1">TRIM([1]Planilha1!$E384)</f>
        <v>600M=R$49,99 por 2M, após R$89,99</v>
      </c>
      <c r="I384" t="str">
        <f ca="1">IF([1]Planilha1!$F384="","",TRIM([1]Planilha1!$F384))</f>
        <v>Fibra</v>
      </c>
      <c r="J384" s="3">
        <f ca="1">IF([1]Planilha1!$G384="","",[1]Planilha1!$G384)</f>
        <v>600</v>
      </c>
      <c r="K384" s="4" t="str" cm="1">
        <f t="array" aca="1" ref="K384" ca="1">IFERROR(VALUE(_xlfn.REGEXEXTRACT([1]Planilha1!$E384,"\+\s*(\d+)GB",2)),"")</f>
        <v/>
      </c>
      <c r="L384" s="5">
        <f ca="1">IF([1]Planilha1!$H384="","",[1]Planilha1!$H384)</f>
        <v>89.99</v>
      </c>
      <c r="M384" s="5">
        <f ca="1">IF([1]Planilha1!$I384="","",[1]Planilha1!$I384)</f>
        <v>49.99</v>
      </c>
      <c r="N384" s="2" cm="1">
        <f t="array" aca="1" ref="N384" ca="1">IFERROR(VALUE(_xlfn.REGEXEXTRACT([1]Planilha1!$E384,"(\d+)\s*MESES",2)),IFERROR(VALUE(_xlfn.REGEXEXTRACT([1]Planilha1!$E384,"por\s*(\d+)\s*M",2)),IF(_xlfn.REGEXTEST([1]Planilha1!$E384,"1[ºª]"),1,"")))</f>
        <v>2</v>
      </c>
      <c r="O384" s="6">
        <f t="shared" ca="1" si="24"/>
        <v>0.14998333333333333</v>
      </c>
      <c r="P384" t="str">
        <f ca="1">IF([1]Planilha1!$J384="","",TRIM([1]Planilha1!$J384))</f>
        <v>0</v>
      </c>
      <c r="Q384" s="7">
        <f ca="1">IF($D384="Claro","",IFERROR($L384-VLOOKUP($B384&amp;"|Claro",[1]AUX_CLARO!$A:$C,2,FALSE),""))</f>
        <v>-49.910000000000011</v>
      </c>
      <c r="R384" s="8">
        <f ca="1">IF($D384="Claro","",IFERROR($J384-VLOOKUP($B384&amp;"|Claro",[1]AUX_CLARO!$A:$C,3,FALSE),""))</f>
        <v>0</v>
      </c>
      <c r="S384" t="str">
        <f t="shared" ca="1" si="25"/>
        <v>Claro mais cara</v>
      </c>
      <c r="T384" t="str">
        <f t="shared" ca="1" si="26"/>
        <v>Mesma velocidade</v>
      </c>
      <c r="U384" s="9">
        <f t="shared" si="27"/>
        <v>46174</v>
      </c>
      <c r="V384" t="str">
        <f ca="1">IF(OR([1]Planilha1!$B384="",[1]Planilha1!$B384="NÃO MAPEADO"),"",TRIM([1]Planilha1!$B384))</f>
        <v>SUDESTE</v>
      </c>
      <c r="W384" t="str">
        <f ca="1">IF([1]Planilha1!$C384="","",TRIM([1]Planilha1!$C384))</f>
        <v>MD 2</v>
      </c>
      <c r="X384" s="12" t="str">
        <f ca="1">IFERROR(VLOOKUP($C384,[1]Planilha2!$B:$H,7,FALSE),"")</f>
        <v>13630-001</v>
      </c>
    </row>
    <row r="385" spans="1:24" x14ac:dyDescent="0.35">
      <c r="A385" t="str">
        <f ca="1">IF(LEFT(TEXT([1]Planilha1!$L385,"0000000"),1)="5","MS","SP")</f>
        <v>SP</v>
      </c>
      <c r="B385" t="str">
        <f ca="1">IF(RIGHT([1]Planilha1!$A385,5)=" - MS",LEFT([1]Planilha1!$A385,LEN([1]Planilha1!$A385)-5),TRIM([1]Planilha1!$A385))</f>
        <v>PIRASSUNUNGA</v>
      </c>
      <c r="C385" s="2">
        <f ca="1">[1]Planilha1!$L385</f>
        <v>3539301</v>
      </c>
      <c r="D385" t="str">
        <f>TRIM([1]Planilha1!$D385)</f>
        <v>Vero</v>
      </c>
      <c r="E385" t="str">
        <f>IF(TRIM([1]Planilha1!$D385)="Claro","Claro","Concorrente")</f>
        <v>Concorrente</v>
      </c>
      <c r="F385" t="s">
        <v>30</v>
      </c>
      <c r="G385" t="str">
        <f t="shared" ref="G385:G448" ca="1" si="28">IF($K385&lt;&gt;"","Banda Larga + Movel",IF($P385&lt;&gt;"","Banda Larga + Conteudo","Banda Larga"))</f>
        <v>Banda Larga + Movel</v>
      </c>
      <c r="H385" t="str">
        <f ca="1">TRIM([1]Planilha1!$E385)</f>
        <v>850M+60GB=R$149,99 (C/ GLOBOPLAY, HBO, DISNEY+)</v>
      </c>
      <c r="I385" t="str">
        <f ca="1">IF([1]Planilha1!$F385="","",TRIM([1]Planilha1!$F385))</f>
        <v>Fibra</v>
      </c>
      <c r="J385" s="3">
        <f ca="1">IF([1]Planilha1!$G385="","",[1]Planilha1!$G385)</f>
        <v>850</v>
      </c>
      <c r="K385" s="4" cm="1">
        <f t="array" aca="1" ref="K385" ca="1">IFERROR(VALUE(_xlfn.REGEXEXTRACT([1]Planilha1!$E385,"\+\s*(\d+)GB",2)),"")</f>
        <v>60</v>
      </c>
      <c r="L385" s="5">
        <f ca="1">IF([1]Planilha1!$H385="","",[1]Planilha1!$H385)</f>
        <v>149.99</v>
      </c>
      <c r="M385" s="5" t="str">
        <f ca="1">IF([1]Planilha1!$I385="","",[1]Planilha1!$I385)</f>
        <v/>
      </c>
      <c r="N385" s="2" t="str" cm="1">
        <f t="array" aca="1" ref="N385" ca="1">IFERROR(VALUE(_xlfn.REGEXEXTRACT([1]Planilha1!$E385,"(\d+)\s*MESES",2)),IFERROR(VALUE(_xlfn.REGEXEXTRACT([1]Planilha1!$E385,"por\s*(\d+)\s*M",2)),IF(_xlfn.REGEXTEST([1]Planilha1!$E385,"1[ºª]"),1,"")))</f>
        <v/>
      </c>
      <c r="O385" s="6">
        <f t="shared" ca="1" si="24"/>
        <v>0.17645882352941178</v>
      </c>
      <c r="P385" t="str">
        <f ca="1">IF([1]Planilha1!$J385="","",TRIM([1]Planilha1!$J385))</f>
        <v>GLOBOPLAY, HBO, DISNEY+</v>
      </c>
      <c r="Q385" s="7">
        <f ca="1">IF($D385="Claro","",IFERROR($L385-VLOOKUP($B385&amp;"|Claro",[1]AUX_CLARO!$A:$C,2,FALSE),""))</f>
        <v>10.090000000000003</v>
      </c>
      <c r="R385" s="8">
        <f ca="1">IF($D385="Claro","",IFERROR($J385-VLOOKUP($B385&amp;"|Claro",[1]AUX_CLARO!$A:$C,3,FALSE),""))</f>
        <v>250</v>
      </c>
      <c r="S385" t="str">
        <f t="shared" ca="1" si="25"/>
        <v>Claro mais barata</v>
      </c>
      <c r="T385" t="str">
        <f t="shared" ca="1" si="26"/>
        <v>Claro com menor velocidade</v>
      </c>
      <c r="U385" s="9">
        <f t="shared" si="27"/>
        <v>46174</v>
      </c>
      <c r="V385" t="str">
        <f ca="1">IF(OR([1]Planilha1!$B385="",[1]Planilha1!$B385="NÃO MAPEADO"),"",TRIM([1]Planilha1!$B385))</f>
        <v>SUDESTE</v>
      </c>
      <c r="W385" t="str">
        <f ca="1">IF([1]Planilha1!$C385="","",TRIM([1]Planilha1!$C385))</f>
        <v>MD 2</v>
      </c>
      <c r="X385" s="12" t="str">
        <f ca="1">IFERROR(VLOOKUP($C385,[1]Planilha2!$B:$H,7,FALSE),"")</f>
        <v>13630-001</v>
      </c>
    </row>
    <row r="386" spans="1:24" x14ac:dyDescent="0.35">
      <c r="A386" t="str">
        <f ca="1">IF(LEFT(TEXT([1]Planilha1!$L386,"0000000"),1)="5","MS","SP")</f>
        <v>SP</v>
      </c>
      <c r="B386" t="str">
        <f ca="1">IF(RIGHT([1]Planilha1!$A386,5)=" - MS",LEFT([1]Planilha1!$A386,LEN([1]Planilha1!$A386)-5),TRIM([1]Planilha1!$A386))</f>
        <v>PIRASSUNUNGA</v>
      </c>
      <c r="C386" s="2">
        <f ca="1">[1]Planilha1!$L386</f>
        <v>3539301</v>
      </c>
      <c r="D386" t="str">
        <f>TRIM([1]Planilha1!$D386)</f>
        <v>ISP LOCAL</v>
      </c>
      <c r="E386" t="str">
        <f>IF(TRIM([1]Planilha1!$D386)="Claro","Claro","Concorrente")</f>
        <v>Concorrente</v>
      </c>
      <c r="F386" t="s">
        <v>80</v>
      </c>
      <c r="G386" t="str">
        <f t="shared" ca="1" si="28"/>
        <v>Banda Larga + Conteudo</v>
      </c>
      <c r="H386" t="str">
        <f ca="1">TRIM([1]Planilha1!$E386)</f>
        <v>HR NET- 400M R$109,90</v>
      </c>
      <c r="I386" t="str">
        <f ca="1">IF([1]Planilha1!$F386="","",TRIM([1]Planilha1!$F386))</f>
        <v>Fibra</v>
      </c>
      <c r="J386" s="3">
        <f ca="1">IF([1]Planilha1!$G386="","",[1]Planilha1!$G386)</f>
        <v>400</v>
      </c>
      <c r="K386" s="4" t="str" cm="1">
        <f t="array" aca="1" ref="K386" ca="1">IFERROR(VALUE(_xlfn.REGEXEXTRACT([1]Planilha1!$E386,"\+\s*(\d+)GB",2)),"")</f>
        <v/>
      </c>
      <c r="L386" s="5">
        <f ca="1">IF([1]Planilha1!$H386="","",[1]Planilha1!$H386)</f>
        <v>109.9</v>
      </c>
      <c r="M386" s="5" t="str">
        <f ca="1">IF([1]Planilha1!$I386="","",[1]Planilha1!$I386)</f>
        <v/>
      </c>
      <c r="N386" s="2" t="str" cm="1">
        <f t="array" aca="1" ref="N386" ca="1">IFERROR(VALUE(_xlfn.REGEXEXTRACT([1]Planilha1!$E386,"(\d+)\s*MESES",2)),IFERROR(VALUE(_xlfn.REGEXEXTRACT([1]Planilha1!$E386,"por\s*(\d+)\s*M",2)),IF(_xlfn.REGEXTEST([1]Planilha1!$E386,"1[ºª]"),1,"")))</f>
        <v/>
      </c>
      <c r="O386" s="6">
        <f t="shared" ca="1" si="24"/>
        <v>0.27474999999999999</v>
      </c>
      <c r="P386" t="str">
        <f ca="1">IF([1]Planilha1!$J386="","",TRIM([1]Planilha1!$J386))</f>
        <v>0</v>
      </c>
      <c r="Q386" s="7">
        <f ca="1">IF($D386="Claro","",IFERROR($L386-VLOOKUP($B386&amp;"|Claro",[1]AUX_CLARO!$A:$C,2,FALSE),""))</f>
        <v>-30</v>
      </c>
      <c r="R386" s="8">
        <f ca="1">IF($D386="Claro","",IFERROR($J386-VLOOKUP($B386&amp;"|Claro",[1]AUX_CLARO!$A:$C,3,FALSE),""))</f>
        <v>-200</v>
      </c>
      <c r="S386" t="str">
        <f t="shared" ca="1" si="25"/>
        <v>Claro mais cara</v>
      </c>
      <c r="T386" t="str">
        <f t="shared" ca="1" si="26"/>
        <v>Claro com maior velocidade</v>
      </c>
      <c r="U386" s="9">
        <f t="shared" si="27"/>
        <v>46174</v>
      </c>
      <c r="V386" t="str">
        <f ca="1">IF(OR([1]Planilha1!$B386="",[1]Planilha1!$B386="NÃO MAPEADO"),"",TRIM([1]Planilha1!$B386))</f>
        <v>SUDESTE</v>
      </c>
      <c r="W386" t="str">
        <f ca="1">IF([1]Planilha1!$C386="","",TRIM([1]Planilha1!$C386))</f>
        <v>MD 2</v>
      </c>
      <c r="X386" s="12" t="str">
        <f ca="1">IFERROR(VLOOKUP($C386,[1]Planilha2!$B:$H,7,FALSE),"")</f>
        <v>13630-001</v>
      </c>
    </row>
    <row r="387" spans="1:24" x14ac:dyDescent="0.35">
      <c r="A387" t="str">
        <f ca="1">IF(LEFT(TEXT([1]Planilha1!$L387,"0000000"),1)="5","MS","SP")</f>
        <v>SP</v>
      </c>
      <c r="B387" t="str">
        <f ca="1">IF(RIGHT([1]Planilha1!$A387,5)=" - MS",LEFT([1]Planilha1!$A387,LEN([1]Planilha1!$A387)-5),TRIM([1]Planilha1!$A387))</f>
        <v>PONTAL</v>
      </c>
      <c r="C387" s="2">
        <f ca="1">[1]Planilha1!$L387</f>
        <v>3540200</v>
      </c>
      <c r="D387" t="str">
        <f>TRIM([1]Planilha1!$D387)</f>
        <v>Claro</v>
      </c>
      <c r="E387" t="str">
        <f>IF(TRIM([1]Planilha1!$D387)="Claro","Claro","Concorrente")</f>
        <v>Claro</v>
      </c>
      <c r="F387" t="s">
        <v>24</v>
      </c>
      <c r="G387" t="str">
        <f t="shared" ca="1" si="28"/>
        <v>Banda Larga + Movel</v>
      </c>
      <c r="H387" t="str">
        <f ca="1">TRIM([1]Planilha1!$E387)</f>
        <v>600M+100GB=R$109,90 por 6M, após R$139,90</v>
      </c>
      <c r="I387" t="str">
        <f ca="1">IF([1]Planilha1!$F387="","",TRIM([1]Planilha1!$F387))</f>
        <v>Fibra</v>
      </c>
      <c r="J387" s="3">
        <f ca="1">IF([1]Planilha1!$G387="","",[1]Planilha1!$G387)</f>
        <v>600</v>
      </c>
      <c r="K387" s="4" cm="1">
        <f t="array" aca="1" ref="K387" ca="1">IFERROR(VALUE(_xlfn.REGEXEXTRACT([1]Planilha1!$E387,"\+\s*(\d+)GB",2)),"")</f>
        <v>100</v>
      </c>
      <c r="L387" s="5">
        <f ca="1">IF([1]Planilha1!$H387="","",[1]Planilha1!$H387)</f>
        <v>139.9</v>
      </c>
      <c r="M387" s="5">
        <f ca="1">IF([1]Planilha1!$I387="","",[1]Planilha1!$I387)</f>
        <v>109.9</v>
      </c>
      <c r="N387" s="2" cm="1">
        <f t="array" aca="1" ref="N387" ca="1">IFERROR(VALUE(_xlfn.REGEXEXTRACT([1]Planilha1!$E387,"(\d+)\s*MESES",2)),IFERROR(VALUE(_xlfn.REGEXEXTRACT([1]Planilha1!$E387,"por\s*(\d+)\s*M",2)),IF(_xlfn.REGEXTEST([1]Planilha1!$E387,"1[ºª]"),1,"")))</f>
        <v>6</v>
      </c>
      <c r="O387" s="6">
        <f t="shared" ref="O387:O450" ca="1" si="29">IF(OR($L387="",$J387="",N($J387)=0),"",$L387/$J387)</f>
        <v>0.23316666666666669</v>
      </c>
      <c r="P387" t="str">
        <f ca="1">IF([1]Planilha1!$J387="","",TRIM([1]Planilha1!$J387))</f>
        <v>GLOBOPLAY</v>
      </c>
      <c r="Q387" s="7" t="str">
        <f>IF($D387="Claro","",IFERROR($L387-VLOOKUP($B387&amp;"|Claro",[1]AUX_CLARO!$A:$C,2,FALSE),""))</f>
        <v/>
      </c>
      <c r="R387" s="8" t="str">
        <f>IF($D387="Claro","",IFERROR($J387-VLOOKUP($B387&amp;"|Claro",[1]AUX_CLARO!$A:$C,3,FALSE),""))</f>
        <v/>
      </c>
      <c r="S387" t="str">
        <f t="shared" ref="S387:S450" si="30">IF($Q387="","",IF($Q387&gt;0,"Claro mais barata",IF($Q387=0,"Mesmo preco","Claro mais cara")))</f>
        <v/>
      </c>
      <c r="T387" t="str">
        <f t="shared" ref="T387:T450" si="31">IF($R387="","",IF($R387&lt;0,"Claro com maior velocidade",IF($R387=0,"Mesma velocidade","Claro com menor velocidade")))</f>
        <v/>
      </c>
      <c r="U387" s="9">
        <f t="shared" ref="U387:U450" si="32">DATE(2026,6,1)</f>
        <v>46174</v>
      </c>
      <c r="V387" t="str">
        <f ca="1">IF(OR([1]Planilha1!$B387="",[1]Planilha1!$B387="NÃO MAPEADO"),"",TRIM([1]Planilha1!$B387))</f>
        <v>NOROESTE</v>
      </c>
      <c r="W387" t="str">
        <f ca="1">IF([1]Planilha1!$C387="","",TRIM([1]Planilha1!$C387))</f>
        <v>MD 2</v>
      </c>
      <c r="X387" t="str">
        <f ca="1">IFERROR(VLOOKUP($C387,[1]Planilha2!$B:$H,7,FALSE),"")</f>
        <v>14180-001</v>
      </c>
    </row>
    <row r="388" spans="1:24" x14ac:dyDescent="0.35">
      <c r="A388" t="str">
        <f ca="1">IF(LEFT(TEXT([1]Planilha1!$L388,"0000000"),1)="5","MS","SP")</f>
        <v>SP</v>
      </c>
      <c r="B388" t="str">
        <f ca="1">IF(RIGHT([1]Planilha1!$A388,5)=" - MS",LEFT([1]Planilha1!$A388,LEN([1]Planilha1!$A388)-5),TRIM([1]Planilha1!$A388))</f>
        <v>PONTAL</v>
      </c>
      <c r="C388" s="2">
        <f ca="1">[1]Planilha1!$L388</f>
        <v>3540200</v>
      </c>
      <c r="D388" t="str">
        <f>TRIM([1]Planilha1!$D388)</f>
        <v>ISP LOCAL</v>
      </c>
      <c r="E388" t="str">
        <f>IF(TRIM([1]Planilha1!$D388)="Claro","Claro","Concorrente")</f>
        <v>Concorrente</v>
      </c>
      <c r="G388" t="str">
        <f t="shared" ca="1" si="28"/>
        <v>Banda Larga + Conteudo</v>
      </c>
      <c r="H388" t="str">
        <f ca="1">TRIM([1]Planilha1!$E388)</f>
        <v>3AXFIBRA - 800M R$59,90 - 3 MESES, APÓS R$99,90</v>
      </c>
      <c r="I388" t="str">
        <f ca="1">IF([1]Planilha1!$F388="","",TRIM([1]Planilha1!$F388))</f>
        <v>Fibra</v>
      </c>
      <c r="J388" s="3">
        <f ca="1">IF([1]Planilha1!$G388="","",[1]Planilha1!$G388)</f>
        <v>800</v>
      </c>
      <c r="K388" s="4" t="str" cm="1">
        <f t="array" aca="1" ref="K388" ca="1">IFERROR(VALUE(_xlfn.REGEXEXTRACT([1]Planilha1!$E388,"\+\s*(\d+)GB",2)),"")</f>
        <v/>
      </c>
      <c r="L388" s="5">
        <f ca="1">IF([1]Planilha1!$H388="","",[1]Planilha1!$H388)</f>
        <v>99.9</v>
      </c>
      <c r="M388" s="5">
        <f ca="1">IF([1]Planilha1!$I388="","",[1]Planilha1!$I388)</f>
        <v>59.9</v>
      </c>
      <c r="N388" s="2" cm="1">
        <f t="array" aca="1" ref="N388" ca="1">IFERROR(VALUE(_xlfn.REGEXEXTRACT([1]Planilha1!$E388,"(\d+)\s*MESES",2)),IFERROR(VALUE(_xlfn.REGEXEXTRACT([1]Planilha1!$E388,"por\s*(\d+)\s*M",2)),IF(_xlfn.REGEXTEST([1]Planilha1!$E388,"1[ºª]"),1,"")))</f>
        <v>3</v>
      </c>
      <c r="O388" s="6">
        <f t="shared" ca="1" si="29"/>
        <v>0.12487500000000001</v>
      </c>
      <c r="P388" t="str">
        <f ca="1">IF([1]Planilha1!$J388="","",TRIM([1]Planilha1!$J388))</f>
        <v>0</v>
      </c>
      <c r="Q388" s="7">
        <f ca="1">IF($D388="Claro","",IFERROR($L388-VLOOKUP($B388&amp;"|Claro",[1]AUX_CLARO!$A:$C,2,FALSE),""))</f>
        <v>-40</v>
      </c>
      <c r="R388" s="8">
        <f ca="1">IF($D388="Claro","",IFERROR($J388-VLOOKUP($B388&amp;"|Claro",[1]AUX_CLARO!$A:$C,3,FALSE),""))</f>
        <v>200</v>
      </c>
      <c r="S388" t="str">
        <f t="shared" ca="1" si="30"/>
        <v>Claro mais cara</v>
      </c>
      <c r="T388" t="str">
        <f t="shared" ca="1" si="31"/>
        <v>Claro com menor velocidade</v>
      </c>
      <c r="U388" s="9">
        <f t="shared" si="32"/>
        <v>46174</v>
      </c>
      <c r="V388" t="str">
        <f ca="1">IF(OR([1]Planilha1!$B388="",[1]Planilha1!$B388="NÃO MAPEADO"),"",TRIM([1]Planilha1!$B388))</f>
        <v>NOROESTE</v>
      </c>
      <c r="W388" t="str">
        <f ca="1">IF([1]Planilha1!$C388="","",TRIM([1]Planilha1!$C388))</f>
        <v>MD 2</v>
      </c>
      <c r="X388" t="str">
        <f ca="1">IFERROR(VLOOKUP($C388,[1]Planilha2!$B:$H,7,FALSE),"")</f>
        <v>14180-001</v>
      </c>
    </row>
    <row r="389" spans="1:24" x14ac:dyDescent="0.35">
      <c r="A389" t="str">
        <f ca="1">IF(LEFT(TEXT([1]Planilha1!$L389,"0000000"),1)="5","MS","SP")</f>
        <v>SP</v>
      </c>
      <c r="B389" t="str">
        <f ca="1">IF(RIGHT([1]Planilha1!$A389,5)=" - MS",LEFT([1]Planilha1!$A389,LEN([1]Planilha1!$A389)-5),TRIM([1]Planilha1!$A389))</f>
        <v>PORTO FELIZ</v>
      </c>
      <c r="C389" s="2">
        <f ca="1">[1]Planilha1!$L389</f>
        <v>3540606</v>
      </c>
      <c r="D389" t="str">
        <f>TRIM([1]Planilha1!$D389)</f>
        <v>Claro</v>
      </c>
      <c r="E389" t="str">
        <f>IF(TRIM([1]Planilha1!$D389)="Claro","Claro","Concorrente")</f>
        <v>Claro</v>
      </c>
      <c r="F389" t="s">
        <v>24</v>
      </c>
      <c r="G389" t="str">
        <f t="shared" ca="1" si="28"/>
        <v>Banda Larga + Movel</v>
      </c>
      <c r="H389" t="str">
        <f ca="1">TRIM([1]Planilha1!$E389)</f>
        <v>600M+100GB=R$159,90</v>
      </c>
      <c r="I389" t="str">
        <f ca="1">IF([1]Planilha1!$F389="","",TRIM([1]Planilha1!$F389))</f>
        <v>Fibra</v>
      </c>
      <c r="J389" s="3">
        <f ca="1">IF([1]Planilha1!$G389="","",[1]Planilha1!$G389)</f>
        <v>600</v>
      </c>
      <c r="K389" s="4" cm="1">
        <f t="array" aca="1" ref="K389" ca="1">IFERROR(VALUE(_xlfn.REGEXEXTRACT([1]Planilha1!$E389,"\+\s*(\d+)GB",2)),"")</f>
        <v>100</v>
      </c>
      <c r="L389" s="5">
        <f ca="1">IF([1]Planilha1!$H389="","",[1]Planilha1!$H389)</f>
        <v>159.9</v>
      </c>
      <c r="M389" s="5" t="str">
        <f ca="1">IF([1]Planilha1!$I389="","",[1]Planilha1!$I389)</f>
        <v/>
      </c>
      <c r="N389" s="2" t="str" cm="1">
        <f t="array" aca="1" ref="N389" ca="1">IFERROR(VALUE(_xlfn.REGEXEXTRACT([1]Planilha1!$E389,"(\d+)\s*MESES",2)),IFERROR(VALUE(_xlfn.REGEXEXTRACT([1]Planilha1!$E389,"por\s*(\d+)\s*M",2)),IF(_xlfn.REGEXTEST([1]Planilha1!$E389,"1[ºª]"),1,"")))</f>
        <v/>
      </c>
      <c r="O389" s="6">
        <f t="shared" ca="1" si="29"/>
        <v>0.26650000000000001</v>
      </c>
      <c r="P389" t="str">
        <f ca="1">IF([1]Planilha1!$J389="","",TRIM([1]Planilha1!$J389))</f>
        <v>GLOBOPLAY</v>
      </c>
      <c r="Q389" s="7" t="str">
        <f>IF($D389="Claro","",IFERROR($L389-VLOOKUP($B389&amp;"|Claro",[1]AUX_CLARO!$A:$C,2,FALSE),""))</f>
        <v/>
      </c>
      <c r="R389" s="8" t="str">
        <f>IF($D389="Claro","",IFERROR($J389-VLOOKUP($B389&amp;"|Claro",[1]AUX_CLARO!$A:$C,3,FALSE),""))</f>
        <v/>
      </c>
      <c r="S389" t="str">
        <f t="shared" si="30"/>
        <v/>
      </c>
      <c r="T389" t="str">
        <f t="shared" si="31"/>
        <v/>
      </c>
      <c r="U389" s="9">
        <f t="shared" si="32"/>
        <v>46174</v>
      </c>
      <c r="V389" t="str">
        <f ca="1">IF(OR([1]Planilha1!$B389="",[1]Planilha1!$B389="NÃO MAPEADO"),"",TRIM([1]Planilha1!$B389))</f>
        <v>OESTE</v>
      </c>
      <c r="W389" t="str">
        <f ca="1">IF([1]Planilha1!$C389="","",TRIM([1]Planilha1!$C389))</f>
        <v>PADRÃO</v>
      </c>
      <c r="X389" t="str">
        <f ca="1">IFERROR(VLOOKUP($C389,[1]Planilha2!$B:$H,7,FALSE),"")</f>
        <v>18540-001</v>
      </c>
    </row>
    <row r="390" spans="1:24" x14ac:dyDescent="0.35">
      <c r="A390" t="str">
        <f ca="1">IF(LEFT(TEXT([1]Planilha1!$L390,"0000000"),1)="5","MS","SP")</f>
        <v>SP</v>
      </c>
      <c r="B390" t="str">
        <f ca="1">IF(RIGHT([1]Planilha1!$A390,5)=" - MS",LEFT([1]Planilha1!$A390,LEN([1]Planilha1!$A390)-5),TRIM([1]Planilha1!$A390))</f>
        <v>PORTO FELIZ</v>
      </c>
      <c r="C390" s="2">
        <f ca="1">[1]Planilha1!$L390</f>
        <v>3540606</v>
      </c>
      <c r="D390" t="str">
        <f>TRIM([1]Planilha1!$D390)</f>
        <v>Vivo</v>
      </c>
      <c r="E390" t="str">
        <f>IF(TRIM([1]Planilha1!$D390)="Claro","Claro","Concorrente")</f>
        <v>Concorrente</v>
      </c>
      <c r="F390" t="s">
        <v>25</v>
      </c>
      <c r="G390" t="str">
        <f t="shared" ca="1" si="28"/>
        <v>Banda Larga + Movel</v>
      </c>
      <c r="H390" t="s">
        <v>26</v>
      </c>
      <c r="I390" t="str">
        <f ca="1">IF([1]Planilha1!$F390="","",TRIM([1]Planilha1!$F390))</f>
        <v>Fibra</v>
      </c>
      <c r="J390" s="11" t="s">
        <v>27</v>
      </c>
      <c r="K390" s="4" cm="1">
        <f t="array" aca="1" ref="K390" ca="1">IFERROR(VALUE(_xlfn.REGEXEXTRACT([1]Planilha1!$E390,"\+\s*(\d+)GB",2)),"")</f>
        <v>70</v>
      </c>
      <c r="L390" s="5">
        <v>160</v>
      </c>
      <c r="M390" s="5" t="str">
        <f ca="1">IF([1]Planilha1!$I390="","",[1]Planilha1!$I390)</f>
        <v/>
      </c>
      <c r="N390" s="2" t="str" cm="1">
        <f t="array" aca="1" ref="N390" ca="1">IFERROR(VALUE(_xlfn.REGEXEXTRACT([1]Planilha1!$E390,"(\d+)\s*MESES",2)),IFERROR(VALUE(_xlfn.REGEXEXTRACT([1]Planilha1!$E390,"por\s*(\d+)\s*M",2)),IF(_xlfn.REGEXTEST([1]Planilha1!$E390,"1[ºª]"),1,"")))</f>
        <v/>
      </c>
      <c r="O390" s="6" t="str">
        <f t="shared" si="29"/>
        <v/>
      </c>
      <c r="P390" t="str">
        <f ca="1">IF([1]Planilha1!$J390="","",TRIM([1]Planilha1!$J390))</f>
        <v>0</v>
      </c>
      <c r="Q390" s="7">
        <f ca="1">IF($D390="Claro","",IFERROR($L390-VLOOKUP($B390&amp;"|Claro",[1]AUX_CLARO!$A:$C,2,FALSE),""))</f>
        <v>9.9999999999994316E-2</v>
      </c>
      <c r="R390" s="8" t="str">
        <f ca="1">IF($D390="Claro","",IFERROR($J390-VLOOKUP($B390&amp;"|Claro",[1]AUX_CLARO!$A:$C,3,FALSE),""))</f>
        <v/>
      </c>
      <c r="S390" t="str">
        <f t="shared" ca="1" si="30"/>
        <v>Claro mais barata</v>
      </c>
      <c r="T390" t="str">
        <f t="shared" ca="1" si="31"/>
        <v/>
      </c>
      <c r="U390" s="9">
        <f t="shared" si="32"/>
        <v>46174</v>
      </c>
      <c r="V390" t="str">
        <f ca="1">IF(OR([1]Planilha1!$B390="",[1]Planilha1!$B390="NÃO MAPEADO"),"",TRIM([1]Planilha1!$B390))</f>
        <v>OESTE</v>
      </c>
      <c r="W390" t="str">
        <f ca="1">IF([1]Planilha1!$C390="","",TRIM([1]Planilha1!$C390))</f>
        <v>PADRÃO</v>
      </c>
      <c r="X390" t="str">
        <f ca="1">IFERROR(VLOOKUP($C390,[1]Planilha2!$B:$H,7,FALSE),"")</f>
        <v>18540-001</v>
      </c>
    </row>
    <row r="391" spans="1:24" x14ac:dyDescent="0.35">
      <c r="A391" t="str">
        <f ca="1">IF(LEFT(TEXT([1]Planilha1!$L391,"0000000"),1)="5","MS","SP")</f>
        <v>SP</v>
      </c>
      <c r="B391" t="str">
        <f ca="1">IF(RIGHT([1]Planilha1!$A391,5)=" - MS",LEFT([1]Planilha1!$A391,LEN([1]Planilha1!$A391)-5),TRIM([1]Planilha1!$A391))</f>
        <v>PORTO FELIZ</v>
      </c>
      <c r="C391" s="2">
        <f ca="1">[1]Planilha1!$L391</f>
        <v>3540606</v>
      </c>
      <c r="D391" t="str">
        <f>TRIM([1]Planilha1!$D391)</f>
        <v>ISP LOCAL</v>
      </c>
      <c r="E391" t="str">
        <f>IF(TRIM([1]Planilha1!$D391)="Claro","Claro","Concorrente")</f>
        <v>Concorrente</v>
      </c>
      <c r="F391" t="s">
        <v>81</v>
      </c>
      <c r="G391" t="str">
        <f t="shared" ca="1" si="28"/>
        <v>Banda Larga + Conteudo</v>
      </c>
      <c r="H391" t="str">
        <f ca="1">TRIM([1]Planilha1!$E391)</f>
        <v>PORTONET - 900M R$95,00</v>
      </c>
      <c r="I391" t="str">
        <f ca="1">IF([1]Planilha1!$F391="","",TRIM([1]Planilha1!$F391))</f>
        <v>Fibra</v>
      </c>
      <c r="J391" s="3">
        <f ca="1">IF([1]Planilha1!$G391="","",[1]Planilha1!$G391)</f>
        <v>900</v>
      </c>
      <c r="K391" s="4" t="str" cm="1">
        <f t="array" aca="1" ref="K391" ca="1">IFERROR(VALUE(_xlfn.REGEXEXTRACT([1]Planilha1!$E391,"\+\s*(\d+)GB",2)),"")</f>
        <v/>
      </c>
      <c r="L391" s="5">
        <f ca="1">IF([1]Planilha1!$H391="","",[1]Planilha1!$H391)</f>
        <v>95</v>
      </c>
      <c r="M391" s="5" t="str">
        <f ca="1">IF([1]Planilha1!$I391="","",[1]Planilha1!$I391)</f>
        <v/>
      </c>
      <c r="N391" s="2" t="str" cm="1">
        <f t="array" aca="1" ref="N391" ca="1">IFERROR(VALUE(_xlfn.REGEXEXTRACT([1]Planilha1!$E391,"(\d+)\s*MESES",2)),IFERROR(VALUE(_xlfn.REGEXEXTRACT([1]Planilha1!$E391,"por\s*(\d+)\s*M",2)),IF(_xlfn.REGEXTEST([1]Planilha1!$E391,"1[ºª]"),1,"")))</f>
        <v/>
      </c>
      <c r="O391" s="6">
        <f t="shared" ca="1" si="29"/>
        <v>0.10555555555555556</v>
      </c>
      <c r="P391" t="str">
        <f ca="1">IF([1]Planilha1!$J391="","",TRIM([1]Planilha1!$J391))</f>
        <v>0</v>
      </c>
      <c r="Q391" s="7">
        <f ca="1">IF($D391="Claro","",IFERROR($L391-VLOOKUP($B391&amp;"|Claro",[1]AUX_CLARO!$A:$C,2,FALSE),""))</f>
        <v>-64.900000000000006</v>
      </c>
      <c r="R391" s="8">
        <f ca="1">IF($D391="Claro","",IFERROR($J391-VLOOKUP($B391&amp;"|Claro",[1]AUX_CLARO!$A:$C,3,FALSE),""))</f>
        <v>300</v>
      </c>
      <c r="S391" t="str">
        <f t="shared" ca="1" si="30"/>
        <v>Claro mais cara</v>
      </c>
      <c r="T391" t="str">
        <f t="shared" ca="1" si="31"/>
        <v>Claro com menor velocidade</v>
      </c>
      <c r="U391" s="9">
        <f t="shared" si="32"/>
        <v>46174</v>
      </c>
      <c r="V391" t="str">
        <f ca="1">IF(OR([1]Planilha1!$B391="",[1]Planilha1!$B391="NÃO MAPEADO"),"",TRIM([1]Planilha1!$B391))</f>
        <v>OESTE</v>
      </c>
      <c r="W391" t="str">
        <f ca="1">IF([1]Planilha1!$C391="","",TRIM([1]Planilha1!$C391))</f>
        <v>PADRÃO</v>
      </c>
      <c r="X391" t="str">
        <f ca="1">IFERROR(VLOOKUP($C391,[1]Planilha2!$B:$H,7,FALSE),"")</f>
        <v>18540-001</v>
      </c>
    </row>
    <row r="392" spans="1:24" x14ac:dyDescent="0.35">
      <c r="A392" t="str">
        <f ca="1">IF(LEFT(TEXT([1]Planilha1!$L392,"0000000"),1)="5","MS","SP")</f>
        <v>SP</v>
      </c>
      <c r="B392" t="str">
        <f ca="1">IF(RIGHT([1]Planilha1!$A392,5)=" - MS",LEFT([1]Planilha1!$A392,LEN([1]Planilha1!$A392)-5),TRIM([1]Planilha1!$A392))</f>
        <v>PORTO FERREIRA</v>
      </c>
      <c r="C392" s="2">
        <f ca="1">[1]Planilha1!$L392</f>
        <v>3540705</v>
      </c>
      <c r="D392" t="str">
        <f>TRIM([1]Planilha1!$D392)</f>
        <v>Claro</v>
      </c>
      <c r="E392" t="str">
        <f>IF(TRIM([1]Planilha1!$D392)="Claro","Claro","Concorrente")</f>
        <v>Claro</v>
      </c>
      <c r="F392" t="s">
        <v>24</v>
      </c>
      <c r="G392" t="str">
        <f t="shared" ca="1" si="28"/>
        <v>Banda Larga + Movel</v>
      </c>
      <c r="H392" t="str">
        <f ca="1">TRIM([1]Planilha1!$E392)</f>
        <v>600M+100GB=R$109,90 por 6M, após R$139,90</v>
      </c>
      <c r="I392" t="str">
        <f ca="1">IF([1]Planilha1!$F392="","",TRIM([1]Planilha1!$F392))</f>
        <v>Fibra</v>
      </c>
      <c r="J392" s="3">
        <f ca="1">IF([1]Planilha1!$G392="","",[1]Planilha1!$G392)</f>
        <v>600</v>
      </c>
      <c r="K392" s="4" cm="1">
        <f t="array" aca="1" ref="K392" ca="1">IFERROR(VALUE(_xlfn.REGEXEXTRACT([1]Planilha1!$E392,"\+\s*(\d+)GB",2)),"")</f>
        <v>100</v>
      </c>
      <c r="L392" s="5">
        <f ca="1">IF([1]Planilha1!$H392="","",[1]Planilha1!$H392)</f>
        <v>139.9</v>
      </c>
      <c r="M392" s="5">
        <f ca="1">IF([1]Planilha1!$I392="","",[1]Planilha1!$I392)</f>
        <v>109.9</v>
      </c>
      <c r="N392" s="2" cm="1">
        <f t="array" aca="1" ref="N392" ca="1">IFERROR(VALUE(_xlfn.REGEXEXTRACT([1]Planilha1!$E392,"(\d+)\s*MESES",2)),IFERROR(VALUE(_xlfn.REGEXEXTRACT([1]Planilha1!$E392,"por\s*(\d+)\s*M",2)),IF(_xlfn.REGEXTEST([1]Planilha1!$E392,"1[ºª]"),1,"")))</f>
        <v>6</v>
      </c>
      <c r="O392" s="6">
        <f t="shared" ca="1" si="29"/>
        <v>0.23316666666666669</v>
      </c>
      <c r="P392" t="str">
        <f ca="1">IF([1]Planilha1!$J392="","",TRIM([1]Planilha1!$J392))</f>
        <v>GLOBOPLAY</v>
      </c>
      <c r="Q392" s="7" t="str">
        <f>IF($D392="Claro","",IFERROR($L392-VLOOKUP($B392&amp;"|Claro",[1]AUX_CLARO!$A:$C,2,FALSE),""))</f>
        <v/>
      </c>
      <c r="R392" s="8" t="str">
        <f>IF($D392="Claro","",IFERROR($J392-VLOOKUP($B392&amp;"|Claro",[1]AUX_CLARO!$A:$C,3,FALSE),""))</f>
        <v/>
      </c>
      <c r="S392" t="str">
        <f t="shared" si="30"/>
        <v/>
      </c>
      <c r="T392" t="str">
        <f t="shared" si="31"/>
        <v/>
      </c>
      <c r="U392" s="9">
        <f t="shared" si="32"/>
        <v>46174</v>
      </c>
      <c r="V392" t="str">
        <f ca="1">IF(OR([1]Planilha1!$B392="",[1]Planilha1!$B392="NÃO MAPEADO"),"",TRIM([1]Planilha1!$B392))</f>
        <v>SUDESTE</v>
      </c>
      <c r="W392" t="str">
        <f ca="1">IF([1]Planilha1!$C392="","",TRIM([1]Planilha1!$C392))</f>
        <v>MD 2</v>
      </c>
      <c r="X392" s="12" t="str">
        <f ca="1">IFERROR(VLOOKUP($C392,[1]Planilha2!$B:$H,7,FALSE),"")</f>
        <v>13660-001</v>
      </c>
    </row>
    <row r="393" spans="1:24" x14ac:dyDescent="0.35">
      <c r="A393" t="str">
        <f ca="1">IF(LEFT(TEXT([1]Planilha1!$L393,"0000000"),1)="5","MS","SP")</f>
        <v>SP</v>
      </c>
      <c r="B393" t="str">
        <f ca="1">IF(RIGHT([1]Planilha1!$A393,5)=" - MS",LEFT([1]Planilha1!$A393,LEN([1]Planilha1!$A393)-5),TRIM([1]Planilha1!$A393))</f>
        <v>PORTO FERREIRA</v>
      </c>
      <c r="C393" s="2">
        <f ca="1">[1]Planilha1!$L393</f>
        <v>3540705</v>
      </c>
      <c r="D393" t="str">
        <f>TRIM([1]Planilha1!$D393)</f>
        <v>Desktop</v>
      </c>
      <c r="E393" t="str">
        <f>IF(TRIM([1]Planilha1!$D393)="Claro","Claro","Concorrente")</f>
        <v>Concorrente</v>
      </c>
      <c r="F393" t="s">
        <v>29</v>
      </c>
      <c r="G393" t="str">
        <f t="shared" ca="1" si="28"/>
        <v>Banda Larga + Conteudo</v>
      </c>
      <c r="H393" t="str">
        <f ca="1">TRIM([1]Planilha1!$E393)</f>
        <v>600M=R$49,99 por 2M, após R$89,99</v>
      </c>
      <c r="I393" t="str">
        <f ca="1">IF([1]Planilha1!$F393="","",TRIM([1]Planilha1!$F393))</f>
        <v>Fibra</v>
      </c>
      <c r="J393" s="3">
        <f ca="1">IF([1]Planilha1!$G393="","",[1]Planilha1!$G393)</f>
        <v>600</v>
      </c>
      <c r="K393" s="4" t="str" cm="1">
        <f t="array" aca="1" ref="K393" ca="1">IFERROR(VALUE(_xlfn.REGEXEXTRACT([1]Planilha1!$E393,"\+\s*(\d+)GB",2)),"")</f>
        <v/>
      </c>
      <c r="L393" s="5">
        <f ca="1">IF([1]Planilha1!$H393="","",[1]Planilha1!$H393)</f>
        <v>89.99</v>
      </c>
      <c r="M393" s="5">
        <f ca="1">IF([1]Planilha1!$I393="","",[1]Planilha1!$I393)</f>
        <v>49.99</v>
      </c>
      <c r="N393" s="2" cm="1">
        <f t="array" aca="1" ref="N393" ca="1">IFERROR(VALUE(_xlfn.REGEXEXTRACT([1]Planilha1!$E393,"(\d+)\s*MESES",2)),IFERROR(VALUE(_xlfn.REGEXEXTRACT([1]Planilha1!$E393,"por\s*(\d+)\s*M",2)),IF(_xlfn.REGEXTEST([1]Planilha1!$E393,"1[ºª]"),1,"")))</f>
        <v>2</v>
      </c>
      <c r="O393" s="6">
        <f t="shared" ca="1" si="29"/>
        <v>0.14998333333333333</v>
      </c>
      <c r="P393" t="str">
        <f ca="1">IF([1]Planilha1!$J393="","",TRIM([1]Planilha1!$J393))</f>
        <v>0</v>
      </c>
      <c r="Q393" s="7">
        <f ca="1">IF($D393="Claro","",IFERROR($L393-VLOOKUP($B393&amp;"|Claro",[1]AUX_CLARO!$A:$C,2,FALSE),""))</f>
        <v>-49.910000000000011</v>
      </c>
      <c r="R393" s="8">
        <f ca="1">IF($D393="Claro","",IFERROR($J393-VLOOKUP($B393&amp;"|Claro",[1]AUX_CLARO!$A:$C,3,FALSE),""))</f>
        <v>0</v>
      </c>
      <c r="S393" t="str">
        <f t="shared" ca="1" si="30"/>
        <v>Claro mais cara</v>
      </c>
      <c r="T393" t="str">
        <f t="shared" ca="1" si="31"/>
        <v>Mesma velocidade</v>
      </c>
      <c r="U393" s="9">
        <f t="shared" si="32"/>
        <v>46174</v>
      </c>
      <c r="V393" t="str">
        <f ca="1">IF(OR([1]Planilha1!$B393="",[1]Planilha1!$B393="NÃO MAPEADO"),"",TRIM([1]Planilha1!$B393))</f>
        <v>SUDESTE</v>
      </c>
      <c r="W393" t="str">
        <f ca="1">IF([1]Planilha1!$C393="","",TRIM([1]Planilha1!$C393))</f>
        <v>MD 2</v>
      </c>
      <c r="X393" s="12" t="str">
        <f ca="1">IFERROR(VLOOKUP($C393,[1]Planilha2!$B:$H,7,FALSE),"")</f>
        <v>13660-001</v>
      </c>
    </row>
    <row r="394" spans="1:24" x14ac:dyDescent="0.35">
      <c r="A394" t="str">
        <f ca="1">IF(LEFT(TEXT([1]Planilha1!$L394,"0000000"),1)="5","MS","SP")</f>
        <v>SP</v>
      </c>
      <c r="B394" t="str">
        <f ca="1">IF(RIGHT([1]Planilha1!$A394,5)=" - MS",LEFT([1]Planilha1!$A394,LEN([1]Planilha1!$A394)-5),TRIM([1]Planilha1!$A394))</f>
        <v>PORTO FERREIRA</v>
      </c>
      <c r="C394" s="2">
        <f ca="1">[1]Planilha1!$L394</f>
        <v>3540705</v>
      </c>
      <c r="D394" t="str">
        <f>TRIM([1]Planilha1!$D394)</f>
        <v>ISP LOCAL</v>
      </c>
      <c r="E394" t="str">
        <f>IF(TRIM([1]Planilha1!$D394)="Claro","Claro","Concorrente")</f>
        <v>Concorrente</v>
      </c>
      <c r="F394" t="s">
        <v>82</v>
      </c>
      <c r="G394" t="str">
        <f t="shared" ca="1" si="28"/>
        <v>Banda Larga + Conteudo</v>
      </c>
      <c r="H394" t="str">
        <f ca="1">TRIM([1]Planilha1!$E394)</f>
        <v>THS - 700M R$99,90</v>
      </c>
      <c r="I394" t="str">
        <f ca="1">IF([1]Planilha1!$F394="","",TRIM([1]Planilha1!$F394))</f>
        <v>Fibra</v>
      </c>
      <c r="J394" s="3">
        <f ca="1">IF([1]Planilha1!$G394="","",[1]Planilha1!$G394)</f>
        <v>700</v>
      </c>
      <c r="K394" s="4" t="str" cm="1">
        <f t="array" aca="1" ref="K394" ca="1">IFERROR(VALUE(_xlfn.REGEXEXTRACT([1]Planilha1!$E394,"\+\s*(\d+)GB",2)),"")</f>
        <v/>
      </c>
      <c r="L394" s="5">
        <f ca="1">IF([1]Planilha1!$H394="","",[1]Planilha1!$H394)</f>
        <v>99.9</v>
      </c>
      <c r="M394" s="5" t="str">
        <f ca="1">IF([1]Planilha1!$I394="","",[1]Planilha1!$I394)</f>
        <v/>
      </c>
      <c r="N394" s="2" t="str" cm="1">
        <f t="array" aca="1" ref="N394" ca="1">IFERROR(VALUE(_xlfn.REGEXEXTRACT([1]Planilha1!$E394,"(\d+)\s*MESES",2)),IFERROR(VALUE(_xlfn.REGEXEXTRACT([1]Planilha1!$E394,"por\s*(\d+)\s*M",2)),IF(_xlfn.REGEXTEST([1]Planilha1!$E394,"1[ºª]"),1,"")))</f>
        <v/>
      </c>
      <c r="O394" s="6">
        <f t="shared" ca="1" si="29"/>
        <v>0.14271428571428571</v>
      </c>
      <c r="P394" t="str">
        <f ca="1">IF([1]Planilha1!$J394="","",TRIM([1]Planilha1!$J394))</f>
        <v>0</v>
      </c>
      <c r="Q394" s="7">
        <f ca="1">IF($D394="Claro","",IFERROR($L394-VLOOKUP($B394&amp;"|Claro",[1]AUX_CLARO!$A:$C,2,FALSE),""))</f>
        <v>-40</v>
      </c>
      <c r="R394" s="8">
        <f ca="1">IF($D394="Claro","",IFERROR($J394-VLOOKUP($B394&amp;"|Claro",[1]AUX_CLARO!$A:$C,3,FALSE),""))</f>
        <v>100</v>
      </c>
      <c r="S394" t="str">
        <f t="shared" ca="1" si="30"/>
        <v>Claro mais cara</v>
      </c>
      <c r="T394" t="str">
        <f t="shared" ca="1" si="31"/>
        <v>Claro com menor velocidade</v>
      </c>
      <c r="U394" s="9">
        <f t="shared" si="32"/>
        <v>46174</v>
      </c>
      <c r="V394" t="str">
        <f ca="1">IF(OR([1]Planilha1!$B394="",[1]Planilha1!$B394="NÃO MAPEADO"),"",TRIM([1]Planilha1!$B394))</f>
        <v>SUDESTE</v>
      </c>
      <c r="W394" t="str">
        <f ca="1">IF([1]Planilha1!$C394="","",TRIM([1]Planilha1!$C394))</f>
        <v>MD 2</v>
      </c>
      <c r="X394" s="12" t="str">
        <f ca="1">IFERROR(VLOOKUP($C394,[1]Planilha2!$B:$H,7,FALSE),"")</f>
        <v>13660-001</v>
      </c>
    </row>
    <row r="395" spans="1:24" x14ac:dyDescent="0.35">
      <c r="A395" t="str">
        <f ca="1">IF(LEFT(TEXT([1]Planilha1!$L395,"0000000"),1)="5","MS","SP")</f>
        <v>SP</v>
      </c>
      <c r="B395" t="str">
        <f ca="1">IF(RIGHT([1]Planilha1!$A395,5)=" - MS",LEFT([1]Planilha1!$A395,LEN([1]Planilha1!$A395)-5),TRIM([1]Planilha1!$A395))</f>
        <v>POTIM</v>
      </c>
      <c r="C395" s="2">
        <f ca="1">[1]Planilha1!$L395</f>
        <v>3540754</v>
      </c>
      <c r="D395" t="str">
        <f>TRIM([1]Planilha1!$D395)</f>
        <v>Claro</v>
      </c>
      <c r="E395" t="str">
        <f>IF(TRIM([1]Planilha1!$D395)="Claro","Claro","Concorrente")</f>
        <v>Claro</v>
      </c>
      <c r="F395" t="s">
        <v>24</v>
      </c>
      <c r="G395" t="str">
        <f t="shared" ca="1" si="28"/>
        <v>Banda Larga + Movel</v>
      </c>
      <c r="H395" t="str">
        <f ca="1">TRIM([1]Planilha1!$E395)</f>
        <v>600M+100GB=R$109,90 por 6M, após R$139,90</v>
      </c>
      <c r="I395" t="str">
        <f ca="1">IF([1]Planilha1!$F395="","",TRIM([1]Planilha1!$F395))</f>
        <v>Fibra</v>
      </c>
      <c r="J395" s="3">
        <f ca="1">IF([1]Planilha1!$G395="","",[1]Planilha1!$G395)</f>
        <v>600</v>
      </c>
      <c r="K395" s="4" cm="1">
        <f t="array" aca="1" ref="K395" ca="1">IFERROR(VALUE(_xlfn.REGEXEXTRACT([1]Planilha1!$E395,"\+\s*(\d+)GB",2)),"")</f>
        <v>100</v>
      </c>
      <c r="L395" s="5">
        <f ca="1">IF([1]Planilha1!$H395="","",[1]Planilha1!$H395)</f>
        <v>139.9</v>
      </c>
      <c r="M395" s="5">
        <f ca="1">IF([1]Planilha1!$I395="","",[1]Planilha1!$I395)</f>
        <v>109.9</v>
      </c>
      <c r="N395" s="2" cm="1">
        <f t="array" aca="1" ref="N395" ca="1">IFERROR(VALUE(_xlfn.REGEXEXTRACT([1]Planilha1!$E395,"(\d+)\s*MESES",2)),IFERROR(VALUE(_xlfn.REGEXEXTRACT([1]Planilha1!$E395,"por\s*(\d+)\s*M",2)),IF(_xlfn.REGEXTEST([1]Planilha1!$E395,"1[ºª]"),1,"")))</f>
        <v>6</v>
      </c>
      <c r="O395" s="6">
        <f t="shared" ca="1" si="29"/>
        <v>0.23316666666666669</v>
      </c>
      <c r="P395" t="str">
        <f ca="1">IF([1]Planilha1!$J395="","",TRIM([1]Planilha1!$J395))</f>
        <v>GLOBOPLAY</v>
      </c>
      <c r="Q395" s="7" t="str">
        <f>IF($D395="Claro","",IFERROR($L395-VLOOKUP($B395&amp;"|Claro",[1]AUX_CLARO!$A:$C,2,FALSE),""))</f>
        <v/>
      </c>
      <c r="R395" s="8" t="str">
        <f>IF($D395="Claro","",IFERROR($J395-VLOOKUP($B395&amp;"|Claro",[1]AUX_CLARO!$A:$C,3,FALSE),""))</f>
        <v/>
      </c>
      <c r="S395" t="str">
        <f t="shared" si="30"/>
        <v/>
      </c>
      <c r="T395" t="str">
        <f t="shared" si="31"/>
        <v/>
      </c>
      <c r="U395" s="9">
        <f t="shared" si="32"/>
        <v>46174</v>
      </c>
      <c r="V395" t="str">
        <f ca="1">IF(OR([1]Planilha1!$B395="",[1]Planilha1!$B395="NÃO MAPEADO"),"",TRIM([1]Planilha1!$B395))</f>
        <v>SUDESTE</v>
      </c>
      <c r="W395" t="str">
        <f ca="1">IF([1]Planilha1!$C395="","",TRIM([1]Planilha1!$C395))</f>
        <v>MD 2</v>
      </c>
      <c r="X395" s="12" t="str">
        <f ca="1">IFERROR(VLOOKUP($C395,[1]Planilha2!$B:$H,7,FALSE),"")</f>
        <v>12525-001</v>
      </c>
    </row>
    <row r="396" spans="1:24" x14ac:dyDescent="0.35">
      <c r="A396" t="str">
        <f ca="1">IF(LEFT(TEXT([1]Planilha1!$L396,"0000000"),1)="5","MS","SP")</f>
        <v>SP</v>
      </c>
      <c r="B396" t="str">
        <f ca="1">IF(RIGHT([1]Planilha1!$A396,5)=" - MS",LEFT([1]Planilha1!$A396,LEN([1]Planilha1!$A396)-5),TRIM([1]Planilha1!$A396))</f>
        <v>POTIM</v>
      </c>
      <c r="C396" s="2">
        <f ca="1">[1]Planilha1!$L396</f>
        <v>3540754</v>
      </c>
      <c r="D396" t="str">
        <f>TRIM([1]Planilha1!$D396)</f>
        <v>Vero</v>
      </c>
      <c r="E396" t="str">
        <f>IF(TRIM([1]Planilha1!$D396)="Claro","Claro","Concorrente")</f>
        <v>Concorrente</v>
      </c>
      <c r="F396" t="s">
        <v>30</v>
      </c>
      <c r="G396" t="str">
        <f t="shared" ca="1" si="28"/>
        <v>Banda Larga + Movel</v>
      </c>
      <c r="H396" t="str">
        <f ca="1">TRIM([1]Planilha1!$E396)</f>
        <v>850M+60GB=R$149,99 (C/ GLOBOPLAY, HBO, DISNEY+)</v>
      </c>
      <c r="I396" t="str">
        <f ca="1">IF([1]Planilha1!$F396="","",TRIM([1]Planilha1!$F396))</f>
        <v>Fibra</v>
      </c>
      <c r="J396" s="3">
        <f ca="1">IF([1]Planilha1!$G396="","",[1]Planilha1!$G396)</f>
        <v>850</v>
      </c>
      <c r="K396" s="4" cm="1">
        <f t="array" aca="1" ref="K396" ca="1">IFERROR(VALUE(_xlfn.REGEXEXTRACT([1]Planilha1!$E396,"\+\s*(\d+)GB",2)),"")</f>
        <v>60</v>
      </c>
      <c r="L396" s="5">
        <f ca="1">IF([1]Planilha1!$H396="","",[1]Planilha1!$H396)</f>
        <v>149.99</v>
      </c>
      <c r="M396" s="5" t="str">
        <f ca="1">IF([1]Planilha1!$I396="","",[1]Planilha1!$I396)</f>
        <v/>
      </c>
      <c r="N396" s="2" t="str" cm="1">
        <f t="array" aca="1" ref="N396" ca="1">IFERROR(VALUE(_xlfn.REGEXEXTRACT([1]Planilha1!$E396,"(\d+)\s*MESES",2)),IFERROR(VALUE(_xlfn.REGEXEXTRACT([1]Planilha1!$E396,"por\s*(\d+)\s*M",2)),IF(_xlfn.REGEXTEST([1]Planilha1!$E396,"1[ºª]"),1,"")))</f>
        <v/>
      </c>
      <c r="O396" s="6">
        <f t="shared" ca="1" si="29"/>
        <v>0.17645882352941178</v>
      </c>
      <c r="P396" t="str">
        <f ca="1">IF([1]Planilha1!$J396="","",TRIM([1]Planilha1!$J396))</f>
        <v>GLOBOPLAY, HBO, DISNEY+</v>
      </c>
      <c r="Q396" s="7">
        <f ca="1">IF($D396="Claro","",IFERROR($L396-VLOOKUP($B396&amp;"|Claro",[1]AUX_CLARO!$A:$C,2,FALSE),""))</f>
        <v>10.090000000000003</v>
      </c>
      <c r="R396" s="8">
        <f ca="1">IF($D396="Claro","",IFERROR($J396-VLOOKUP($B396&amp;"|Claro",[1]AUX_CLARO!$A:$C,3,FALSE),""))</f>
        <v>250</v>
      </c>
      <c r="S396" t="str">
        <f t="shared" ca="1" si="30"/>
        <v>Claro mais barata</v>
      </c>
      <c r="T396" t="str">
        <f t="shared" ca="1" si="31"/>
        <v>Claro com menor velocidade</v>
      </c>
      <c r="U396" s="9">
        <f t="shared" si="32"/>
        <v>46174</v>
      </c>
      <c r="V396" t="str">
        <f ca="1">IF(OR([1]Planilha1!$B396="",[1]Planilha1!$B396="NÃO MAPEADO"),"",TRIM([1]Planilha1!$B396))</f>
        <v>SUDESTE</v>
      </c>
      <c r="W396" t="str">
        <f ca="1">IF([1]Planilha1!$C396="","",TRIM([1]Planilha1!$C396))</f>
        <v>MD 2</v>
      </c>
      <c r="X396" s="12" t="str">
        <f ca="1">IFERROR(VLOOKUP($C396,[1]Planilha2!$B:$H,7,FALSE),"")</f>
        <v>12525-001</v>
      </c>
    </row>
    <row r="397" spans="1:24" x14ac:dyDescent="0.35">
      <c r="A397" t="str">
        <f ca="1">IF(LEFT(TEXT([1]Planilha1!$L397,"0000000"),1)="5","MS","SP")</f>
        <v>SP</v>
      </c>
      <c r="B397" t="str">
        <f ca="1">IF(RIGHT([1]Planilha1!$A397,5)=" - MS",LEFT([1]Planilha1!$A397,LEN([1]Planilha1!$A397)-5),TRIM([1]Planilha1!$A397))</f>
        <v>POTIM</v>
      </c>
      <c r="C397" s="2">
        <f ca="1">[1]Planilha1!$L397</f>
        <v>3540754</v>
      </c>
      <c r="D397" t="str">
        <f>TRIM([1]Planilha1!$D397)</f>
        <v>ISP LOCAL</v>
      </c>
      <c r="E397" t="str">
        <f>IF(TRIM([1]Planilha1!$D397)="Claro","Claro","Concorrente")</f>
        <v>Concorrente</v>
      </c>
      <c r="F397" t="s">
        <v>61</v>
      </c>
      <c r="G397" t="str">
        <f t="shared" ca="1" si="28"/>
        <v>Banda Larga + Conteudo</v>
      </c>
      <c r="H397" t="str">
        <f ca="1">TRIM([1]Planilha1!$E397)</f>
        <v>PROVALE - 600M R$99,90</v>
      </c>
      <c r="I397" t="str">
        <f ca="1">IF([1]Planilha1!$F397="","",TRIM([1]Planilha1!$F397))</f>
        <v>Fibra</v>
      </c>
      <c r="J397" s="3">
        <f ca="1">IF([1]Planilha1!$G397="","",[1]Planilha1!$G397)</f>
        <v>600</v>
      </c>
      <c r="K397" s="4" t="str" cm="1">
        <f t="array" aca="1" ref="K397" ca="1">IFERROR(VALUE(_xlfn.REGEXEXTRACT([1]Planilha1!$E397,"\+\s*(\d+)GB",2)),"")</f>
        <v/>
      </c>
      <c r="L397" s="5">
        <f ca="1">IF([1]Planilha1!$H397="","",[1]Planilha1!$H397)</f>
        <v>99.9</v>
      </c>
      <c r="M397" s="5" t="str">
        <f ca="1">IF([1]Planilha1!$I397="","",[1]Planilha1!$I397)</f>
        <v/>
      </c>
      <c r="N397" s="2" t="str" cm="1">
        <f t="array" aca="1" ref="N397" ca="1">IFERROR(VALUE(_xlfn.REGEXEXTRACT([1]Planilha1!$E397,"(\d+)\s*MESES",2)),IFERROR(VALUE(_xlfn.REGEXEXTRACT([1]Planilha1!$E397,"por\s*(\d+)\s*M",2)),IF(_xlfn.REGEXTEST([1]Planilha1!$E397,"1[ºª]"),1,"")))</f>
        <v/>
      </c>
      <c r="O397" s="6">
        <f t="shared" ca="1" si="29"/>
        <v>0.16650000000000001</v>
      </c>
      <c r="P397" t="str">
        <f ca="1">IF([1]Planilha1!$J397="","",TRIM([1]Planilha1!$J397))</f>
        <v>0</v>
      </c>
      <c r="Q397" s="7">
        <f ca="1">IF($D397="Claro","",IFERROR($L397-VLOOKUP($B397&amp;"|Claro",[1]AUX_CLARO!$A:$C,2,FALSE),""))</f>
        <v>-40</v>
      </c>
      <c r="R397" s="8">
        <f ca="1">IF($D397="Claro","",IFERROR($J397-VLOOKUP($B397&amp;"|Claro",[1]AUX_CLARO!$A:$C,3,FALSE),""))</f>
        <v>0</v>
      </c>
      <c r="S397" t="str">
        <f t="shared" ca="1" si="30"/>
        <v>Claro mais cara</v>
      </c>
      <c r="T397" t="str">
        <f t="shared" ca="1" si="31"/>
        <v>Mesma velocidade</v>
      </c>
      <c r="U397" s="9">
        <f t="shared" si="32"/>
        <v>46174</v>
      </c>
      <c r="V397" t="str">
        <f ca="1">IF(OR([1]Planilha1!$B397="",[1]Planilha1!$B397="NÃO MAPEADO"),"",TRIM([1]Planilha1!$B397))</f>
        <v>SUDESTE</v>
      </c>
      <c r="W397" t="str">
        <f ca="1">IF([1]Planilha1!$C397="","",TRIM([1]Planilha1!$C397))</f>
        <v>MD 2</v>
      </c>
      <c r="X397" s="12" t="str">
        <f ca="1">IFERROR(VLOOKUP($C397,[1]Planilha2!$B:$H,7,FALSE),"")</f>
        <v>12525-001</v>
      </c>
    </row>
    <row r="398" spans="1:24" x14ac:dyDescent="0.35">
      <c r="A398" t="str">
        <f ca="1">IF(LEFT(TEXT([1]Planilha1!$L398,"0000000"),1)="5","MS","SP")</f>
        <v>SP</v>
      </c>
      <c r="B398" t="str">
        <f ca="1">IF(RIGHT([1]Planilha1!$A398,5)=" - MS",LEFT([1]Planilha1!$A398,LEN([1]Planilha1!$A398)-5),TRIM([1]Planilha1!$A398))</f>
        <v>POTIRENDABA</v>
      </c>
      <c r="C398" s="2">
        <f ca="1">[1]Planilha1!$L398</f>
        <v>3540804</v>
      </c>
      <c r="D398" t="str">
        <f>TRIM([1]Planilha1!$D398)</f>
        <v>Claro</v>
      </c>
      <c r="E398" t="str">
        <f>IF(TRIM([1]Planilha1!$D398)="Claro","Claro","Concorrente")</f>
        <v>Claro</v>
      </c>
      <c r="F398" t="s">
        <v>24</v>
      </c>
      <c r="G398" t="str">
        <f t="shared" ca="1" si="28"/>
        <v>Banda Larga + Movel</v>
      </c>
      <c r="H398" t="str">
        <f ca="1">TRIM([1]Planilha1!$E398)</f>
        <v>600M+100GB=R$109,90 por 6M, após R$139,90</v>
      </c>
      <c r="I398" t="str">
        <f ca="1">IF([1]Planilha1!$F398="","",TRIM([1]Planilha1!$F398))</f>
        <v>Fibra</v>
      </c>
      <c r="J398" s="3">
        <f ca="1">IF([1]Planilha1!$G398="","",[1]Planilha1!$G398)</f>
        <v>600</v>
      </c>
      <c r="K398" s="4" cm="1">
        <f t="array" aca="1" ref="K398" ca="1">IFERROR(VALUE(_xlfn.REGEXEXTRACT([1]Planilha1!$E398,"\+\s*(\d+)GB",2)),"")</f>
        <v>100</v>
      </c>
      <c r="L398" s="5">
        <f ca="1">IF([1]Planilha1!$H398="","",[1]Planilha1!$H398)</f>
        <v>139.9</v>
      </c>
      <c r="M398" s="5">
        <f ca="1">IF([1]Planilha1!$I398="","",[1]Planilha1!$I398)</f>
        <v>109.9</v>
      </c>
      <c r="N398" s="2" cm="1">
        <f t="array" aca="1" ref="N398" ca="1">IFERROR(VALUE(_xlfn.REGEXEXTRACT([1]Planilha1!$E398,"(\d+)\s*MESES",2)),IFERROR(VALUE(_xlfn.REGEXEXTRACT([1]Planilha1!$E398,"por\s*(\d+)\s*M",2)),IF(_xlfn.REGEXTEST([1]Planilha1!$E398,"1[ºª]"),1,"")))</f>
        <v>6</v>
      </c>
      <c r="O398" s="6">
        <f t="shared" ca="1" si="29"/>
        <v>0.23316666666666669</v>
      </c>
      <c r="P398" t="str">
        <f ca="1">IF([1]Planilha1!$J398="","",TRIM([1]Planilha1!$J398))</f>
        <v>GLOBOPLAY</v>
      </c>
      <c r="Q398" s="7" t="str">
        <f>IF($D398="Claro","",IFERROR($L398-VLOOKUP($B398&amp;"|Claro",[1]AUX_CLARO!$A:$C,2,FALSE),""))</f>
        <v/>
      </c>
      <c r="R398" s="8" t="str">
        <f>IF($D398="Claro","",IFERROR($J398-VLOOKUP($B398&amp;"|Claro",[1]AUX_CLARO!$A:$C,3,FALSE),""))</f>
        <v/>
      </c>
      <c r="S398" t="str">
        <f t="shared" si="30"/>
        <v/>
      </c>
      <c r="T398" t="str">
        <f t="shared" si="31"/>
        <v/>
      </c>
      <c r="U398" s="9">
        <f t="shared" si="32"/>
        <v>46174</v>
      </c>
      <c r="V398" t="str">
        <f ca="1">IF(OR([1]Planilha1!$B398="",[1]Planilha1!$B398="NÃO MAPEADO"),"",TRIM([1]Planilha1!$B398))</f>
        <v>NOROESTE</v>
      </c>
      <c r="W398" t="str">
        <f ca="1">IF([1]Planilha1!$C398="","",TRIM([1]Planilha1!$C398))</f>
        <v>MD 2</v>
      </c>
      <c r="X398" t="str">
        <f ca="1">IFERROR(VLOOKUP($C398,[1]Planilha2!$B:$H,7,FALSE),"")</f>
        <v>15105-001</v>
      </c>
    </row>
    <row r="399" spans="1:24" x14ac:dyDescent="0.35">
      <c r="A399" t="str">
        <f ca="1">IF(LEFT(TEXT([1]Planilha1!$L399,"0000000"),1)="5","MS","SP")</f>
        <v>SP</v>
      </c>
      <c r="B399" t="str">
        <f ca="1">IF(RIGHT([1]Planilha1!$A399,5)=" - MS",LEFT([1]Planilha1!$A399,LEN([1]Planilha1!$A399)-5),TRIM([1]Planilha1!$A399))</f>
        <v>POTIRENDABA</v>
      </c>
      <c r="C399" s="2">
        <f ca="1">[1]Planilha1!$L399</f>
        <v>3540804</v>
      </c>
      <c r="D399" t="str">
        <f>TRIM([1]Planilha1!$D399)</f>
        <v>Weclix</v>
      </c>
      <c r="E399" t="str">
        <f>IF(TRIM([1]Planilha1!$D399)="Claro","Claro","Concorrente")</f>
        <v>Concorrente</v>
      </c>
      <c r="F399" t="s">
        <v>34</v>
      </c>
      <c r="G399" t="str">
        <f t="shared" ca="1" si="28"/>
        <v>Banda Larga + Conteudo</v>
      </c>
      <c r="H399" t="str">
        <f ca="1">TRIM([1]Planilha1!$E399)</f>
        <v>1GB R$59,90 - 1ª MENSALIDADE, APÓS R$99,90</v>
      </c>
      <c r="I399" t="str">
        <f ca="1">IF([1]Planilha1!$F399="","",TRIM([1]Planilha1!$F399))</f>
        <v>Fibra</v>
      </c>
      <c r="J399" s="3">
        <f ca="1">IF([1]Planilha1!$G399="","",[1]Planilha1!$G399)</f>
        <v>1000</v>
      </c>
      <c r="K399" s="4" t="str" cm="1">
        <f t="array" aca="1" ref="K399" ca="1">IFERROR(VALUE(_xlfn.REGEXEXTRACT([1]Planilha1!$E399,"\+\s*(\d+)GB",2)),"")</f>
        <v/>
      </c>
      <c r="L399" s="5">
        <f ca="1">IF([1]Planilha1!$H399="","",[1]Planilha1!$H399)</f>
        <v>99.9</v>
      </c>
      <c r="M399" s="5">
        <f ca="1">IF([1]Planilha1!$I399="","",[1]Planilha1!$I399)</f>
        <v>59.9</v>
      </c>
      <c r="N399" s="2" cm="1">
        <f t="array" aca="1" ref="N399" ca="1">IFERROR(VALUE(_xlfn.REGEXEXTRACT([1]Planilha1!$E399,"(\d+)\s*MESES",2)),IFERROR(VALUE(_xlfn.REGEXEXTRACT([1]Planilha1!$E399,"por\s*(\d+)\s*M",2)),IF(_xlfn.REGEXTEST([1]Planilha1!$E399,"1[ºª]"),1,"")))</f>
        <v>1</v>
      </c>
      <c r="O399" s="6">
        <f t="shared" ca="1" si="29"/>
        <v>9.9900000000000003E-2</v>
      </c>
      <c r="P399" t="str">
        <f ca="1">IF([1]Planilha1!$J399="","",TRIM([1]Planilha1!$J399))</f>
        <v>0</v>
      </c>
      <c r="Q399" s="7">
        <f ca="1">IF($D399="Claro","",IFERROR($L399-VLOOKUP($B399&amp;"|Claro",[1]AUX_CLARO!$A:$C,2,FALSE),""))</f>
        <v>-40</v>
      </c>
      <c r="R399" s="8">
        <f ca="1">IF($D399="Claro","",IFERROR($J399-VLOOKUP($B399&amp;"|Claro",[1]AUX_CLARO!$A:$C,3,FALSE),""))</f>
        <v>400</v>
      </c>
      <c r="S399" t="str">
        <f t="shared" ca="1" si="30"/>
        <v>Claro mais cara</v>
      </c>
      <c r="T399" t="str">
        <f t="shared" ca="1" si="31"/>
        <v>Claro com menor velocidade</v>
      </c>
      <c r="U399" s="9">
        <f t="shared" si="32"/>
        <v>46174</v>
      </c>
      <c r="V399" t="str">
        <f ca="1">IF(OR([1]Planilha1!$B399="",[1]Planilha1!$B399="NÃO MAPEADO"),"",TRIM([1]Planilha1!$B399))</f>
        <v>NOROESTE</v>
      </c>
      <c r="W399" t="str">
        <f ca="1">IF([1]Planilha1!$C399="","",TRIM([1]Planilha1!$C399))</f>
        <v>MD 2</v>
      </c>
      <c r="X399" t="str">
        <f ca="1">IFERROR(VLOOKUP($C399,[1]Planilha2!$B:$H,7,FALSE),"")</f>
        <v>15105-001</v>
      </c>
    </row>
    <row r="400" spans="1:24" x14ac:dyDescent="0.35">
      <c r="A400" t="str">
        <f ca="1">IF(LEFT(TEXT([1]Planilha1!$L400,"0000000"),1)="5","MS","SP")</f>
        <v>SP</v>
      </c>
      <c r="B400" t="str">
        <f ca="1">IF(RIGHT([1]Planilha1!$A400,5)=" - MS",LEFT([1]Planilha1!$A400,LEN([1]Planilha1!$A400)-5),TRIM([1]Planilha1!$A400))</f>
        <v>POTIRENDABA</v>
      </c>
      <c r="C400" s="2">
        <f ca="1">[1]Planilha1!$L400</f>
        <v>3540804</v>
      </c>
      <c r="D400" t="str">
        <f>TRIM([1]Planilha1!$D400)</f>
        <v>ISP LOCAL</v>
      </c>
      <c r="E400" t="str">
        <f>IF(TRIM([1]Planilha1!$D400)="Claro","Claro","Concorrente")</f>
        <v>Concorrente</v>
      </c>
      <c r="F400" t="s">
        <v>43</v>
      </c>
      <c r="G400" t="str">
        <f t="shared" ca="1" si="28"/>
        <v>Banda Larga + Conteudo</v>
      </c>
      <c r="H400" t="str">
        <f ca="1">TRIM([1]Planilha1!$E400)</f>
        <v>OQUEI - 600M R$49,90 - 3 MESES, APÓS R$99,90</v>
      </c>
      <c r="I400" t="str">
        <f ca="1">IF([1]Planilha1!$F400="","",TRIM([1]Planilha1!$F400))</f>
        <v>Fibra</v>
      </c>
      <c r="J400" s="3">
        <f ca="1">IF([1]Planilha1!$G400="","",[1]Planilha1!$G400)</f>
        <v>600</v>
      </c>
      <c r="K400" s="4" t="str" cm="1">
        <f t="array" aca="1" ref="K400" ca="1">IFERROR(VALUE(_xlfn.REGEXEXTRACT([1]Planilha1!$E400,"\+\s*(\d+)GB",2)),"")</f>
        <v/>
      </c>
      <c r="L400" s="5">
        <f ca="1">IF([1]Planilha1!$H400="","",[1]Planilha1!$H400)</f>
        <v>99.9</v>
      </c>
      <c r="M400" s="5">
        <f ca="1">IF([1]Planilha1!$I400="","",[1]Planilha1!$I400)</f>
        <v>49.9</v>
      </c>
      <c r="N400" s="2" cm="1">
        <f t="array" aca="1" ref="N400" ca="1">IFERROR(VALUE(_xlfn.REGEXEXTRACT([1]Planilha1!$E400,"(\d+)\s*MESES",2)),IFERROR(VALUE(_xlfn.REGEXEXTRACT([1]Planilha1!$E400,"por\s*(\d+)\s*M",2)),IF(_xlfn.REGEXTEST([1]Planilha1!$E400,"1[ºª]"),1,"")))</f>
        <v>3</v>
      </c>
      <c r="O400" s="6">
        <f t="shared" ca="1" si="29"/>
        <v>0.16650000000000001</v>
      </c>
      <c r="P400" t="str">
        <f ca="1">IF([1]Planilha1!$J400="","",TRIM([1]Planilha1!$J400))</f>
        <v>0</v>
      </c>
      <c r="Q400" s="7">
        <f ca="1">IF($D400="Claro","",IFERROR($L400-VLOOKUP($B400&amp;"|Claro",[1]AUX_CLARO!$A:$C,2,FALSE),""))</f>
        <v>-40</v>
      </c>
      <c r="R400" s="8">
        <f ca="1">IF($D400="Claro","",IFERROR($J400-VLOOKUP($B400&amp;"|Claro",[1]AUX_CLARO!$A:$C,3,FALSE),""))</f>
        <v>0</v>
      </c>
      <c r="S400" t="str">
        <f t="shared" ca="1" si="30"/>
        <v>Claro mais cara</v>
      </c>
      <c r="T400" t="str">
        <f t="shared" ca="1" si="31"/>
        <v>Mesma velocidade</v>
      </c>
      <c r="U400" s="9">
        <f t="shared" si="32"/>
        <v>46174</v>
      </c>
      <c r="V400" t="str">
        <f ca="1">IF(OR([1]Planilha1!$B400="",[1]Planilha1!$B400="NÃO MAPEADO"),"",TRIM([1]Planilha1!$B400))</f>
        <v>NOROESTE</v>
      </c>
      <c r="W400" t="str">
        <f ca="1">IF([1]Planilha1!$C400="","",TRIM([1]Planilha1!$C400))</f>
        <v>MD 2</v>
      </c>
      <c r="X400" t="str">
        <f ca="1">IFERROR(VLOOKUP($C400,[1]Planilha2!$B:$H,7,FALSE),"")</f>
        <v>15105-001</v>
      </c>
    </row>
    <row r="401" spans="1:24" x14ac:dyDescent="0.35">
      <c r="A401" t="str">
        <f ca="1">IF(LEFT(TEXT([1]Planilha1!$L401,"0000000"),1)="5","MS","SP")</f>
        <v>SP</v>
      </c>
      <c r="B401" t="str">
        <f ca="1">IF(RIGHT([1]Planilha1!$A401,5)=" - MS",LEFT([1]Planilha1!$A401,LEN([1]Planilha1!$A401)-5),TRIM([1]Planilha1!$A401))</f>
        <v>PRAIA GRANDE</v>
      </c>
      <c r="C401" s="2">
        <f ca="1">[1]Planilha1!$L401</f>
        <v>3541000</v>
      </c>
      <c r="D401" t="str">
        <f>TRIM([1]Planilha1!$D401)</f>
        <v>Claro</v>
      </c>
      <c r="E401" t="str">
        <f>IF(TRIM([1]Planilha1!$D401)="Claro","Claro","Concorrente")</f>
        <v>Claro</v>
      </c>
      <c r="F401" t="s">
        <v>24</v>
      </c>
      <c r="G401" t="str">
        <f t="shared" ca="1" si="28"/>
        <v>Banda Larga + Movel</v>
      </c>
      <c r="H401" t="str">
        <f ca="1">TRIM([1]Planilha1!$E401)</f>
        <v>600M+100GB=R$159,90</v>
      </c>
      <c r="I401" t="str">
        <f ca="1">IF([1]Planilha1!$F401="","",TRIM([1]Planilha1!$F401))</f>
        <v>Fibra</v>
      </c>
      <c r="J401" s="3">
        <f ca="1">IF([1]Planilha1!$G401="","",[1]Planilha1!$G401)</f>
        <v>600</v>
      </c>
      <c r="K401" s="4" cm="1">
        <f t="array" aca="1" ref="K401" ca="1">IFERROR(VALUE(_xlfn.REGEXEXTRACT([1]Planilha1!$E401,"\+\s*(\d+)GB",2)),"")</f>
        <v>100</v>
      </c>
      <c r="L401" s="5">
        <f ca="1">IF([1]Planilha1!$H401="","",[1]Planilha1!$H401)</f>
        <v>159.9</v>
      </c>
      <c r="M401" s="5" t="str">
        <f ca="1">IF([1]Planilha1!$I401="","",[1]Planilha1!$I401)</f>
        <v/>
      </c>
      <c r="N401" s="2" t="str" cm="1">
        <f t="array" aca="1" ref="N401" ca="1">IFERROR(VALUE(_xlfn.REGEXEXTRACT([1]Planilha1!$E401,"(\d+)\s*MESES",2)),IFERROR(VALUE(_xlfn.REGEXEXTRACT([1]Planilha1!$E401,"por\s*(\d+)\s*M",2)),IF(_xlfn.REGEXTEST([1]Planilha1!$E401,"1[ºª]"),1,"")))</f>
        <v/>
      </c>
      <c r="O401" s="6">
        <f t="shared" ca="1" si="29"/>
        <v>0.26650000000000001</v>
      </c>
      <c r="P401" t="str">
        <f ca="1">IF([1]Planilha1!$J401="","",TRIM([1]Planilha1!$J401))</f>
        <v>GLOBOPLAY</v>
      </c>
      <c r="Q401" s="7" t="str">
        <f>IF($D401="Claro","",IFERROR($L401-VLOOKUP($B401&amp;"|Claro",[1]AUX_CLARO!$A:$C,2,FALSE),""))</f>
        <v/>
      </c>
      <c r="R401" s="8" t="str">
        <f>IF($D401="Claro","",IFERROR($J401-VLOOKUP($B401&amp;"|Claro",[1]AUX_CLARO!$A:$C,3,FALSE),""))</f>
        <v/>
      </c>
      <c r="S401" t="str">
        <f t="shared" si="30"/>
        <v/>
      </c>
      <c r="T401" t="str">
        <f t="shared" si="31"/>
        <v/>
      </c>
      <c r="U401" s="9">
        <f t="shared" si="32"/>
        <v>46174</v>
      </c>
      <c r="V401" t="str">
        <f ca="1">IF(OR([1]Planilha1!$B401="",[1]Planilha1!$B401="NÃO MAPEADO"),"",TRIM([1]Planilha1!$B401))</f>
        <v>LITORAL</v>
      </c>
      <c r="W401" t="str">
        <f ca="1">IF([1]Planilha1!$C401="","",TRIM([1]Planilha1!$C401))</f>
        <v>PADRÃO</v>
      </c>
      <c r="X401" t="str">
        <f ca="1">IFERROR(VLOOKUP($C401,[1]Planilha2!$B:$H,7,FALSE),"")</f>
        <v>11700-001</v>
      </c>
    </row>
    <row r="402" spans="1:24" x14ac:dyDescent="0.35">
      <c r="A402" t="str">
        <f ca="1">IF(LEFT(TEXT([1]Planilha1!$L402,"0000000"),1)="5","MS","SP")</f>
        <v>SP</v>
      </c>
      <c r="B402" t="str">
        <f ca="1">IF(RIGHT([1]Planilha1!$A402,5)=" - MS",LEFT([1]Planilha1!$A402,LEN([1]Planilha1!$A402)-5),TRIM([1]Planilha1!$A402))</f>
        <v>PRAIA GRANDE</v>
      </c>
      <c r="C402" s="2">
        <f ca="1">[1]Planilha1!$L402</f>
        <v>3541000</v>
      </c>
      <c r="D402" t="str">
        <f>TRIM([1]Planilha1!$D402)</f>
        <v>Vivo</v>
      </c>
      <c r="E402" t="str">
        <f>IF(TRIM([1]Planilha1!$D402)="Claro","Claro","Concorrente")</f>
        <v>Concorrente</v>
      </c>
      <c r="F402" t="s">
        <v>25</v>
      </c>
      <c r="G402" t="str">
        <f t="shared" ca="1" si="28"/>
        <v>Banda Larga + Movel</v>
      </c>
      <c r="H402" t="s">
        <v>26</v>
      </c>
      <c r="I402" t="str">
        <f ca="1">IF([1]Planilha1!$F402="","",TRIM([1]Planilha1!$F402))</f>
        <v>Fibra</v>
      </c>
      <c r="J402" s="11" t="s">
        <v>27</v>
      </c>
      <c r="K402" s="4" cm="1">
        <f t="array" aca="1" ref="K402" ca="1">IFERROR(VALUE(_xlfn.REGEXEXTRACT([1]Planilha1!$E402,"\+\s*(\d+)GB",2)),"")</f>
        <v>70</v>
      </c>
      <c r="L402" s="5">
        <v>160</v>
      </c>
      <c r="M402" s="5" t="str">
        <f ca="1">IF([1]Planilha1!$I402="","",[1]Planilha1!$I402)</f>
        <v/>
      </c>
      <c r="N402" s="2" t="str" cm="1">
        <f t="array" aca="1" ref="N402" ca="1">IFERROR(VALUE(_xlfn.REGEXEXTRACT([1]Planilha1!$E402,"(\d+)\s*MESES",2)),IFERROR(VALUE(_xlfn.REGEXEXTRACT([1]Planilha1!$E402,"por\s*(\d+)\s*M",2)),IF(_xlfn.REGEXTEST([1]Planilha1!$E402,"1[ºª]"),1,"")))</f>
        <v/>
      </c>
      <c r="O402" s="6" t="str">
        <f t="shared" si="29"/>
        <v/>
      </c>
      <c r="P402" t="str">
        <f ca="1">IF([1]Planilha1!$J402="","",TRIM([1]Planilha1!$J402))</f>
        <v>0</v>
      </c>
      <c r="Q402" s="7">
        <f ca="1">IF($D402="Claro","",IFERROR($L402-VLOOKUP($B402&amp;"|Claro",[1]AUX_CLARO!$A:$C,2,FALSE),""))</f>
        <v>9.9999999999994316E-2</v>
      </c>
      <c r="R402" s="8" t="str">
        <f ca="1">IF($D402="Claro","",IFERROR($J402-VLOOKUP($B402&amp;"|Claro",[1]AUX_CLARO!$A:$C,3,FALSE),""))</f>
        <v/>
      </c>
      <c r="S402" t="str">
        <f t="shared" ca="1" si="30"/>
        <v>Claro mais barata</v>
      </c>
      <c r="T402" t="str">
        <f t="shared" ca="1" si="31"/>
        <v/>
      </c>
      <c r="U402" s="9">
        <f t="shared" si="32"/>
        <v>46174</v>
      </c>
      <c r="V402" t="str">
        <f ca="1">IF(OR([1]Planilha1!$B402="",[1]Planilha1!$B402="NÃO MAPEADO"),"",TRIM([1]Planilha1!$B402))</f>
        <v>LITORAL</v>
      </c>
      <c r="W402" t="str">
        <f ca="1">IF([1]Planilha1!$C402="","",TRIM([1]Planilha1!$C402))</f>
        <v>PADRÃO</v>
      </c>
      <c r="X402" t="str">
        <f ca="1">IFERROR(VLOOKUP($C402,[1]Planilha2!$B:$H,7,FALSE),"")</f>
        <v>11700-001</v>
      </c>
    </row>
    <row r="403" spans="1:24" x14ac:dyDescent="0.35">
      <c r="A403" t="str">
        <f ca="1">IF(LEFT(TEXT([1]Planilha1!$L403,"0000000"),1)="5","MS","SP")</f>
        <v>SP</v>
      </c>
      <c r="B403" t="str">
        <f ca="1">IF(RIGHT([1]Planilha1!$A403,5)=" - MS",LEFT([1]Planilha1!$A403,LEN([1]Planilha1!$A403)-5),TRIM([1]Planilha1!$A403))</f>
        <v>PRAIA GRANDE</v>
      </c>
      <c r="C403" s="2">
        <f ca="1">[1]Planilha1!$L403</f>
        <v>3541000</v>
      </c>
      <c r="D403" t="str">
        <f>TRIM([1]Planilha1!$D403)</f>
        <v>Desktop</v>
      </c>
      <c r="E403" t="str">
        <f>IF(TRIM([1]Planilha1!$D403)="Claro","Claro","Concorrente")</f>
        <v>Concorrente</v>
      </c>
      <c r="F403" t="s">
        <v>29</v>
      </c>
      <c r="G403" t="str">
        <f t="shared" ca="1" si="28"/>
        <v>Banda Larga + Movel</v>
      </c>
      <c r="H403" t="str">
        <f ca="1">TRIM([1]Planilha1!$E403)</f>
        <v>600M+15GB=R$129,99 - 6 MESES, APÓS R$139,99</v>
      </c>
      <c r="I403" t="str">
        <f ca="1">IF([1]Planilha1!$F403="","",TRIM([1]Planilha1!$F403))</f>
        <v>Fibra</v>
      </c>
      <c r="J403" s="3">
        <f ca="1">IF([1]Planilha1!$G403="","",[1]Planilha1!$G403)</f>
        <v>600</v>
      </c>
      <c r="K403" s="4" cm="1">
        <f t="array" aca="1" ref="K403" ca="1">IFERROR(VALUE(_xlfn.REGEXEXTRACT([1]Planilha1!$E403,"\+\s*(\d+)GB",2)),"")</f>
        <v>15</v>
      </c>
      <c r="L403" s="5">
        <f ca="1">IF([1]Planilha1!$H403="","",[1]Planilha1!$H403)</f>
        <v>139.99</v>
      </c>
      <c r="M403" s="5">
        <f ca="1">IF([1]Planilha1!$I403="","",[1]Planilha1!$I403)</f>
        <v>129.99</v>
      </c>
      <c r="N403" s="2" cm="1">
        <f t="array" aca="1" ref="N403" ca="1">IFERROR(VALUE(_xlfn.REGEXEXTRACT([1]Planilha1!$E403,"(\d+)\s*MESES",2)),IFERROR(VALUE(_xlfn.REGEXEXTRACT([1]Planilha1!$E403,"por\s*(\d+)\s*M",2)),IF(_xlfn.REGEXTEST([1]Planilha1!$E403,"1[ºª]"),1,"")))</f>
        <v>6</v>
      </c>
      <c r="O403" s="6">
        <f t="shared" ca="1" si="29"/>
        <v>0.23331666666666667</v>
      </c>
      <c r="P403" t="str">
        <f ca="1">IF([1]Planilha1!$J403="","",TRIM([1]Planilha1!$J403))</f>
        <v>0</v>
      </c>
      <c r="Q403" s="7">
        <f ca="1">IF($D403="Claro","",IFERROR($L403-VLOOKUP($B403&amp;"|Claro",[1]AUX_CLARO!$A:$C,2,FALSE),""))</f>
        <v>-19.909999999999997</v>
      </c>
      <c r="R403" s="8">
        <f ca="1">IF($D403="Claro","",IFERROR($J403-VLOOKUP($B403&amp;"|Claro",[1]AUX_CLARO!$A:$C,3,FALSE),""))</f>
        <v>0</v>
      </c>
      <c r="S403" t="str">
        <f t="shared" ca="1" si="30"/>
        <v>Claro mais cara</v>
      </c>
      <c r="T403" t="str">
        <f t="shared" ca="1" si="31"/>
        <v>Mesma velocidade</v>
      </c>
      <c r="U403" s="9">
        <f t="shared" si="32"/>
        <v>46174</v>
      </c>
      <c r="V403" t="str">
        <f ca="1">IF(OR([1]Planilha1!$B403="",[1]Planilha1!$B403="NÃO MAPEADO"),"",TRIM([1]Planilha1!$B403))</f>
        <v>LITORAL</v>
      </c>
      <c r="W403" t="str">
        <f ca="1">IF([1]Planilha1!$C403="","",TRIM([1]Planilha1!$C403))</f>
        <v>PADRÃO</v>
      </c>
      <c r="X403" t="str">
        <f ca="1">IFERROR(VLOOKUP($C403,[1]Planilha2!$B:$H,7,FALSE),"")</f>
        <v>11700-001</v>
      </c>
    </row>
    <row r="404" spans="1:24" x14ac:dyDescent="0.35">
      <c r="A404" t="str">
        <f ca="1">IF(LEFT(TEXT([1]Planilha1!$L404,"0000000"),1)="5","MS","SP")</f>
        <v>SP</v>
      </c>
      <c r="B404" t="str">
        <f ca="1">IF(RIGHT([1]Planilha1!$A404,5)=" - MS",LEFT([1]Planilha1!$A404,LEN([1]Planilha1!$A404)-5),TRIM([1]Planilha1!$A404))</f>
        <v>PRAIA GRANDE</v>
      </c>
      <c r="C404" s="2">
        <f ca="1">[1]Planilha1!$L404</f>
        <v>3541000</v>
      </c>
      <c r="D404" t="str">
        <f>TRIM([1]Planilha1!$D404)</f>
        <v>ISP LOCAL</v>
      </c>
      <c r="E404" t="str">
        <f>IF(TRIM([1]Planilha1!$D404)="Claro","Claro","Concorrente")</f>
        <v>Concorrente</v>
      </c>
      <c r="F404" t="s">
        <v>47</v>
      </c>
      <c r="G404" t="str">
        <f t="shared" ca="1" si="28"/>
        <v>Banda Larga + Conteudo</v>
      </c>
      <c r="H404" t="str">
        <f ca="1">TRIM([1]Planilha1!$E404)</f>
        <v>ALLOHA - 600M + GLOBOPLAY R$109,99</v>
      </c>
      <c r="I404" t="str">
        <f ca="1">IF([1]Planilha1!$F404="","",TRIM([1]Planilha1!$F404))</f>
        <v>Fibra</v>
      </c>
      <c r="J404" s="3">
        <f ca="1">IF([1]Planilha1!$G404="","",[1]Planilha1!$G404)</f>
        <v>600</v>
      </c>
      <c r="K404" s="4" t="str" cm="1">
        <f t="array" aca="1" ref="K404" ca="1">IFERROR(VALUE(_xlfn.REGEXEXTRACT([1]Planilha1!$E404,"\+\s*(\d+)GB",2)),"")</f>
        <v/>
      </c>
      <c r="L404" s="5">
        <f ca="1">IF([1]Planilha1!$H404="","",[1]Planilha1!$H404)</f>
        <v>109.99</v>
      </c>
      <c r="M404" s="5" t="str">
        <f ca="1">IF([1]Planilha1!$I404="","",[1]Planilha1!$I404)</f>
        <v/>
      </c>
      <c r="N404" s="2" t="str" cm="1">
        <f t="array" aca="1" ref="N404" ca="1">IFERROR(VALUE(_xlfn.REGEXEXTRACT([1]Planilha1!$E404,"(\d+)\s*MESES",2)),IFERROR(VALUE(_xlfn.REGEXEXTRACT([1]Planilha1!$E404,"por\s*(\d+)\s*M",2)),IF(_xlfn.REGEXTEST([1]Planilha1!$E404,"1[ºª]"),1,"")))</f>
        <v/>
      </c>
      <c r="O404" s="6">
        <f t="shared" ca="1" si="29"/>
        <v>0.18331666666666666</v>
      </c>
      <c r="P404" t="str">
        <f ca="1">IF([1]Planilha1!$J404="","",TRIM([1]Planilha1!$J404))</f>
        <v>GLOBOPLAY</v>
      </c>
      <c r="Q404" s="7">
        <f ca="1">IF($D404="Claro","",IFERROR($L404-VLOOKUP($B404&amp;"|Claro",[1]AUX_CLARO!$A:$C,2,FALSE),""))</f>
        <v>-49.910000000000011</v>
      </c>
      <c r="R404" s="8">
        <f ca="1">IF($D404="Claro","",IFERROR($J404-VLOOKUP($B404&amp;"|Claro",[1]AUX_CLARO!$A:$C,3,FALSE),""))</f>
        <v>0</v>
      </c>
      <c r="S404" t="str">
        <f t="shared" ca="1" si="30"/>
        <v>Claro mais cara</v>
      </c>
      <c r="T404" t="str">
        <f t="shared" ca="1" si="31"/>
        <v>Mesma velocidade</v>
      </c>
      <c r="U404" s="9">
        <f t="shared" si="32"/>
        <v>46174</v>
      </c>
      <c r="V404" t="str">
        <f ca="1">IF(OR([1]Planilha1!$B404="",[1]Planilha1!$B404="NÃO MAPEADO"),"",TRIM([1]Planilha1!$B404))</f>
        <v>LITORAL</v>
      </c>
      <c r="W404" t="str">
        <f ca="1">IF([1]Planilha1!$C404="","",TRIM([1]Planilha1!$C404))</f>
        <v>PADRÃO</v>
      </c>
      <c r="X404" t="str">
        <f ca="1">IFERROR(VLOOKUP($C404,[1]Planilha2!$B:$H,7,FALSE),"")</f>
        <v>11700-001</v>
      </c>
    </row>
    <row r="405" spans="1:24" x14ac:dyDescent="0.35">
      <c r="A405" t="str">
        <f ca="1">IF(LEFT(TEXT([1]Planilha1!$L405,"0000000"),1)="5","MS","SP")</f>
        <v>SP</v>
      </c>
      <c r="B405" t="str">
        <f ca="1">IF(RIGHT([1]Planilha1!$A405,5)=" - MS",LEFT([1]Planilha1!$A405,LEN([1]Planilha1!$A405)-5),TRIM([1]Planilha1!$A405))</f>
        <v>PRESIDENTE BERNARDES</v>
      </c>
      <c r="C405" s="2">
        <f ca="1">[1]Planilha1!$L405</f>
        <v>3541208</v>
      </c>
      <c r="D405" t="str">
        <f>TRIM([1]Planilha1!$D405)</f>
        <v>Claro</v>
      </c>
      <c r="E405" t="str">
        <f>IF(TRIM([1]Planilha1!$D405)="Claro","Claro","Concorrente")</f>
        <v>Claro</v>
      </c>
      <c r="F405" t="s">
        <v>24</v>
      </c>
      <c r="G405" t="str">
        <f t="shared" ca="1" si="28"/>
        <v>Banda Larga + Movel</v>
      </c>
      <c r="H405" t="str">
        <f ca="1">TRIM([1]Planilha1!$E405)</f>
        <v>600M+100GB=R$109,90 por 6M, após R$139,90</v>
      </c>
      <c r="I405" t="str">
        <f ca="1">IF([1]Planilha1!$F405="","",TRIM([1]Planilha1!$F405))</f>
        <v>Fibra</v>
      </c>
      <c r="J405" s="3">
        <f ca="1">IF([1]Planilha1!$G405="","",[1]Planilha1!$G405)</f>
        <v>600</v>
      </c>
      <c r="K405" s="4" cm="1">
        <f t="array" aca="1" ref="K405" ca="1">IFERROR(VALUE(_xlfn.REGEXEXTRACT([1]Planilha1!$E405,"\+\s*(\d+)GB",2)),"")</f>
        <v>100</v>
      </c>
      <c r="L405" s="5">
        <f ca="1">IF([1]Planilha1!$H405="","",[1]Planilha1!$H405)</f>
        <v>139.9</v>
      </c>
      <c r="M405" s="5">
        <f ca="1">IF([1]Planilha1!$I405="","",[1]Planilha1!$I405)</f>
        <v>109.9</v>
      </c>
      <c r="N405" s="2" cm="1">
        <f t="array" aca="1" ref="N405" ca="1">IFERROR(VALUE(_xlfn.REGEXEXTRACT([1]Planilha1!$E405,"(\d+)\s*MESES",2)),IFERROR(VALUE(_xlfn.REGEXEXTRACT([1]Planilha1!$E405,"por\s*(\d+)\s*M",2)),IF(_xlfn.REGEXTEST([1]Planilha1!$E405,"1[ºª]"),1,"")))</f>
        <v>6</v>
      </c>
      <c r="O405" s="6">
        <f t="shared" ca="1" si="29"/>
        <v>0.23316666666666669</v>
      </c>
      <c r="P405" t="str">
        <f ca="1">IF([1]Planilha1!$J405="","",TRIM([1]Planilha1!$J405))</f>
        <v>GLOBOPLAY</v>
      </c>
      <c r="Q405" s="7" t="str">
        <f>IF($D405="Claro","",IFERROR($L405-VLOOKUP($B405&amp;"|Claro",[1]AUX_CLARO!$A:$C,2,FALSE),""))</f>
        <v/>
      </c>
      <c r="R405" s="8" t="str">
        <f>IF($D405="Claro","",IFERROR($J405-VLOOKUP($B405&amp;"|Claro",[1]AUX_CLARO!$A:$C,3,FALSE),""))</f>
        <v/>
      </c>
      <c r="S405" t="str">
        <f t="shared" si="30"/>
        <v/>
      </c>
      <c r="T405" t="str">
        <f t="shared" si="31"/>
        <v/>
      </c>
      <c r="U405" s="9">
        <f t="shared" si="32"/>
        <v>46174</v>
      </c>
      <c r="V405" t="str">
        <f ca="1">IF(OR([1]Planilha1!$B405="",[1]Planilha1!$B405="NÃO MAPEADO"),"",TRIM([1]Planilha1!$B405))</f>
        <v>NOROESTE</v>
      </c>
      <c r="W405" t="str">
        <f ca="1">IF([1]Planilha1!$C405="","",TRIM([1]Planilha1!$C405))</f>
        <v>MD 2</v>
      </c>
      <c r="X405" t="str">
        <f ca="1">IFERROR(VLOOKUP($C405,[1]Planilha2!$B:$H,7,FALSE),"")</f>
        <v>19300-001</v>
      </c>
    </row>
    <row r="406" spans="1:24" x14ac:dyDescent="0.35">
      <c r="A406" t="str">
        <f ca="1">IF(LEFT(TEXT([1]Planilha1!$L406,"0000000"),1)="5","MS","SP")</f>
        <v>SP</v>
      </c>
      <c r="B406" t="str">
        <f ca="1">IF(RIGHT([1]Planilha1!$A406,5)=" - MS",LEFT([1]Planilha1!$A406,LEN([1]Planilha1!$A406)-5),TRIM([1]Planilha1!$A406))</f>
        <v>PRESIDENTE BERNARDES</v>
      </c>
      <c r="C406" s="2">
        <f ca="1">[1]Planilha1!$L406</f>
        <v>3541208</v>
      </c>
      <c r="D406" t="str">
        <f>TRIM([1]Planilha1!$D406)</f>
        <v>Vero</v>
      </c>
      <c r="E406" t="str">
        <f>IF(TRIM([1]Planilha1!$D406)="Claro","Claro","Concorrente")</f>
        <v>Concorrente</v>
      </c>
      <c r="F406" t="s">
        <v>30</v>
      </c>
      <c r="G406" t="str">
        <f t="shared" ca="1" si="28"/>
        <v>Banda Larga + Movel</v>
      </c>
      <c r="H406" t="str">
        <f ca="1">TRIM([1]Planilha1!$E406)</f>
        <v>850M+60GB=R$149,99 (C/ GLOBOPLAY, HBO, DISNEY+)</v>
      </c>
      <c r="I406" t="str">
        <f ca="1">IF([1]Planilha1!$F406="","",TRIM([1]Planilha1!$F406))</f>
        <v>Fibra</v>
      </c>
      <c r="J406" s="3">
        <f ca="1">IF([1]Planilha1!$G406="","",[1]Planilha1!$G406)</f>
        <v>850</v>
      </c>
      <c r="K406" s="4" cm="1">
        <f t="array" aca="1" ref="K406" ca="1">IFERROR(VALUE(_xlfn.REGEXEXTRACT([1]Planilha1!$E406,"\+\s*(\d+)GB",2)),"")</f>
        <v>60</v>
      </c>
      <c r="L406" s="5">
        <f ca="1">IF([1]Planilha1!$H406="","",[1]Planilha1!$H406)</f>
        <v>149.99</v>
      </c>
      <c r="M406" s="5" t="str">
        <f ca="1">IF([1]Planilha1!$I406="","",[1]Planilha1!$I406)</f>
        <v/>
      </c>
      <c r="N406" s="2" t="str" cm="1">
        <f t="array" aca="1" ref="N406" ca="1">IFERROR(VALUE(_xlfn.REGEXEXTRACT([1]Planilha1!$E406,"(\d+)\s*MESES",2)),IFERROR(VALUE(_xlfn.REGEXEXTRACT([1]Planilha1!$E406,"por\s*(\d+)\s*M",2)),IF(_xlfn.REGEXTEST([1]Planilha1!$E406,"1[ºª]"),1,"")))</f>
        <v/>
      </c>
      <c r="O406" s="6">
        <f t="shared" ca="1" si="29"/>
        <v>0.17645882352941178</v>
      </c>
      <c r="P406" t="str">
        <f ca="1">IF([1]Planilha1!$J406="","",TRIM([1]Planilha1!$J406))</f>
        <v>GLOBOPLAY, HBO, DISNEY+</v>
      </c>
      <c r="Q406" s="7">
        <f ca="1">IF($D406="Claro","",IFERROR($L406-VLOOKUP($B406&amp;"|Claro",[1]AUX_CLARO!$A:$C,2,FALSE),""))</f>
        <v>10.090000000000003</v>
      </c>
      <c r="R406" s="8">
        <f ca="1">IF($D406="Claro","",IFERROR($J406-VLOOKUP($B406&amp;"|Claro",[1]AUX_CLARO!$A:$C,3,FALSE),""))</f>
        <v>250</v>
      </c>
      <c r="S406" t="str">
        <f t="shared" ca="1" si="30"/>
        <v>Claro mais barata</v>
      </c>
      <c r="T406" t="str">
        <f t="shared" ca="1" si="31"/>
        <v>Claro com menor velocidade</v>
      </c>
      <c r="U406" s="9">
        <f t="shared" si="32"/>
        <v>46174</v>
      </c>
      <c r="V406" t="str">
        <f ca="1">IF(OR([1]Planilha1!$B406="",[1]Planilha1!$B406="NÃO MAPEADO"),"",TRIM([1]Planilha1!$B406))</f>
        <v>NOROESTE</v>
      </c>
      <c r="W406" t="str">
        <f ca="1">IF([1]Planilha1!$C406="","",TRIM([1]Planilha1!$C406))</f>
        <v>MD 2</v>
      </c>
      <c r="X406" t="str">
        <f ca="1">IFERROR(VLOOKUP($C406,[1]Planilha2!$B:$H,7,FALSE),"")</f>
        <v>19300-001</v>
      </c>
    </row>
    <row r="407" spans="1:24" x14ac:dyDescent="0.35">
      <c r="A407" t="str">
        <f ca="1">IF(LEFT(TEXT([1]Planilha1!$L407,"0000000"),1)="5","MS","SP")</f>
        <v>SP</v>
      </c>
      <c r="B407" t="str">
        <f ca="1">IF(RIGHT([1]Planilha1!$A407,5)=" - MS",LEFT([1]Planilha1!$A407,LEN([1]Planilha1!$A407)-5),TRIM([1]Planilha1!$A407))</f>
        <v>PRESIDENTE PRUDENTE</v>
      </c>
      <c r="C407" s="2">
        <f ca="1">[1]Planilha1!$L407</f>
        <v>3541406</v>
      </c>
      <c r="D407" t="str">
        <f>TRIM([1]Planilha1!$D407)</f>
        <v>Claro</v>
      </c>
      <c r="E407" t="str">
        <f>IF(TRIM([1]Planilha1!$D407)="Claro","Claro","Concorrente")</f>
        <v>Claro</v>
      </c>
      <c r="F407" t="s">
        <v>24</v>
      </c>
      <c r="G407" t="str">
        <f t="shared" ca="1" si="28"/>
        <v>Banda Larga + Movel</v>
      </c>
      <c r="H407" t="str">
        <f ca="1">TRIM([1]Planilha1!$E407)</f>
        <v>600M+100GB=R$109,90 por 6M, após R$139,90</v>
      </c>
      <c r="I407" t="str">
        <f ca="1">IF([1]Planilha1!$F407="","",TRIM([1]Planilha1!$F407))</f>
        <v>Fibra</v>
      </c>
      <c r="J407" s="3">
        <f ca="1">IF([1]Planilha1!$G407="","",[1]Planilha1!$G407)</f>
        <v>600</v>
      </c>
      <c r="K407" s="4" cm="1">
        <f t="array" aca="1" ref="K407" ca="1">IFERROR(VALUE(_xlfn.REGEXEXTRACT([1]Planilha1!$E407,"\+\s*(\d+)GB",2)),"")</f>
        <v>100</v>
      </c>
      <c r="L407" s="5">
        <f ca="1">IF([1]Planilha1!$H407="","",[1]Planilha1!$H407)</f>
        <v>139.9</v>
      </c>
      <c r="M407" s="5">
        <f ca="1">IF([1]Planilha1!$I407="","",[1]Planilha1!$I407)</f>
        <v>109.9</v>
      </c>
      <c r="N407" s="2" cm="1">
        <f t="array" aca="1" ref="N407" ca="1">IFERROR(VALUE(_xlfn.REGEXEXTRACT([1]Planilha1!$E407,"(\d+)\s*MESES",2)),IFERROR(VALUE(_xlfn.REGEXEXTRACT([1]Planilha1!$E407,"por\s*(\d+)\s*M",2)),IF(_xlfn.REGEXTEST([1]Planilha1!$E407,"1[ºª]"),1,"")))</f>
        <v>6</v>
      </c>
      <c r="O407" s="6">
        <f t="shared" ca="1" si="29"/>
        <v>0.23316666666666669</v>
      </c>
      <c r="P407" t="str">
        <f ca="1">IF([1]Planilha1!$J407="","",TRIM([1]Planilha1!$J407))</f>
        <v>GLOBOPLAY</v>
      </c>
      <c r="Q407" s="7" t="str">
        <f>IF($D407="Claro","",IFERROR($L407-VLOOKUP($B407&amp;"|Claro",[1]AUX_CLARO!$A:$C,2,FALSE),""))</f>
        <v/>
      </c>
      <c r="R407" s="8" t="str">
        <f>IF($D407="Claro","",IFERROR($J407-VLOOKUP($B407&amp;"|Claro",[1]AUX_CLARO!$A:$C,3,FALSE),""))</f>
        <v/>
      </c>
      <c r="S407" t="str">
        <f t="shared" si="30"/>
        <v/>
      </c>
      <c r="T407" t="str">
        <f t="shared" si="31"/>
        <v/>
      </c>
      <c r="U407" s="9">
        <f t="shared" si="32"/>
        <v>46174</v>
      </c>
      <c r="V407" t="str">
        <f ca="1">IF(OR([1]Planilha1!$B407="",[1]Planilha1!$B407="NÃO MAPEADO"),"",TRIM([1]Planilha1!$B407))</f>
        <v>NOROESTE</v>
      </c>
      <c r="W407" t="str">
        <f ca="1">IF([1]Planilha1!$C407="","",TRIM([1]Planilha1!$C407))</f>
        <v>MD 2</v>
      </c>
      <c r="X407" t="str">
        <f ca="1">IFERROR(VLOOKUP($C407,[1]Planilha2!$B:$H,7,FALSE),"")</f>
        <v>19000-001</v>
      </c>
    </row>
    <row r="408" spans="1:24" x14ac:dyDescent="0.35">
      <c r="A408" t="str">
        <f ca="1">IF(LEFT(TEXT([1]Planilha1!$L408,"0000000"),1)="5","MS","SP")</f>
        <v>SP</v>
      </c>
      <c r="B408" t="str">
        <f ca="1">IF(RIGHT([1]Planilha1!$A408,5)=" - MS",LEFT([1]Planilha1!$A408,LEN([1]Planilha1!$A408)-5),TRIM([1]Planilha1!$A408))</f>
        <v>PRESIDENTE PRUDENTE</v>
      </c>
      <c r="C408" s="2">
        <f ca="1">[1]Planilha1!$L408</f>
        <v>3541406</v>
      </c>
      <c r="D408" t="str">
        <f>TRIM([1]Planilha1!$D408)</f>
        <v>Vivo</v>
      </c>
      <c r="E408" t="str">
        <f>IF(TRIM([1]Planilha1!$D408)="Claro","Claro","Concorrente")</f>
        <v>Concorrente</v>
      </c>
      <c r="F408" t="s">
        <v>25</v>
      </c>
      <c r="G408" t="str">
        <f t="shared" ca="1" si="28"/>
        <v>Banda Larga + Movel</v>
      </c>
      <c r="H408" t="s">
        <v>26</v>
      </c>
      <c r="I408" t="str">
        <f ca="1">IF([1]Planilha1!$F408="","",TRIM([1]Planilha1!$F408))</f>
        <v>Fibra</v>
      </c>
      <c r="J408" s="11" t="s">
        <v>27</v>
      </c>
      <c r="K408" s="4" cm="1">
        <f t="array" aca="1" ref="K408" ca="1">IFERROR(VALUE(_xlfn.REGEXEXTRACT([1]Planilha1!$E408,"\+\s*(\d+)GB",2)),"")</f>
        <v>70</v>
      </c>
      <c r="L408" s="5">
        <v>160</v>
      </c>
      <c r="M408" s="5" t="str">
        <f ca="1">IF([1]Planilha1!$I408="","",[1]Planilha1!$I408)</f>
        <v/>
      </c>
      <c r="N408" s="2" t="str" cm="1">
        <f t="array" aca="1" ref="N408" ca="1">IFERROR(VALUE(_xlfn.REGEXEXTRACT([1]Planilha1!$E408,"(\d+)\s*MESES",2)),IFERROR(VALUE(_xlfn.REGEXEXTRACT([1]Planilha1!$E408,"por\s*(\d+)\s*M",2)),IF(_xlfn.REGEXTEST([1]Planilha1!$E408,"1[ºª]"),1,"")))</f>
        <v/>
      </c>
      <c r="O408" s="6" t="str">
        <f t="shared" si="29"/>
        <v/>
      </c>
      <c r="P408" t="str">
        <f ca="1">IF([1]Planilha1!$J408="","",TRIM([1]Planilha1!$J408))</f>
        <v>0</v>
      </c>
      <c r="Q408" s="7">
        <f ca="1">IF($D408="Claro","",IFERROR($L408-VLOOKUP($B408&amp;"|Claro",[1]AUX_CLARO!$A:$C,2,FALSE),""))</f>
        <v>20.099999999999994</v>
      </c>
      <c r="R408" s="8" t="str">
        <f ca="1">IF($D408="Claro","",IFERROR($J408-VLOOKUP($B408&amp;"|Claro",[1]AUX_CLARO!$A:$C,3,FALSE),""))</f>
        <v/>
      </c>
      <c r="S408" t="str">
        <f t="shared" ca="1" si="30"/>
        <v>Claro mais barata</v>
      </c>
      <c r="T408" t="str">
        <f t="shared" ca="1" si="31"/>
        <v/>
      </c>
      <c r="U408" s="9">
        <f t="shared" si="32"/>
        <v>46174</v>
      </c>
      <c r="V408" t="str">
        <f ca="1">IF(OR([1]Planilha1!$B408="",[1]Planilha1!$B408="NÃO MAPEADO"),"",TRIM([1]Planilha1!$B408))</f>
        <v>NOROESTE</v>
      </c>
      <c r="W408" t="str">
        <f ca="1">IF([1]Planilha1!$C408="","",TRIM([1]Planilha1!$C408))</f>
        <v>MD 2</v>
      </c>
      <c r="X408" t="str">
        <f ca="1">IFERROR(VLOOKUP($C408,[1]Planilha2!$B:$H,7,FALSE),"")</f>
        <v>19000-001</v>
      </c>
    </row>
    <row r="409" spans="1:24" x14ac:dyDescent="0.35">
      <c r="A409" t="str">
        <f ca="1">IF(LEFT(TEXT([1]Planilha1!$L409,"0000000"),1)="5","MS","SP")</f>
        <v>SP</v>
      </c>
      <c r="B409" t="str">
        <f ca="1">IF(RIGHT([1]Planilha1!$A409,5)=" - MS",LEFT([1]Planilha1!$A409,LEN([1]Planilha1!$A409)-5),TRIM([1]Planilha1!$A409))</f>
        <v>PRESIDENTE PRUDENTE</v>
      </c>
      <c r="C409" s="2">
        <f ca="1">[1]Planilha1!$L409</f>
        <v>3541406</v>
      </c>
      <c r="D409" t="str">
        <f>TRIM([1]Planilha1!$D409)</f>
        <v>Alares</v>
      </c>
      <c r="E409" t="str">
        <f>IF(TRIM([1]Planilha1!$D409)="Claro","Claro","Concorrente")</f>
        <v>Concorrente</v>
      </c>
      <c r="F409" t="s">
        <v>32</v>
      </c>
      <c r="G409" t="str">
        <f t="shared" ca="1" si="28"/>
        <v>Banda Larga + Conteudo</v>
      </c>
      <c r="H409" t="str">
        <f ca="1">TRIM([1]Planilha1!$E409)</f>
        <v>1GB + GLOBOPLAY R$99,90</v>
      </c>
      <c r="I409" t="str">
        <f ca="1">IF([1]Planilha1!$F409="","",TRIM([1]Planilha1!$F409))</f>
        <v>Fibra</v>
      </c>
      <c r="J409" s="3">
        <f ca="1">IF([1]Planilha1!$G409="","",[1]Planilha1!$G409)</f>
        <v>1000</v>
      </c>
      <c r="K409" s="4" t="str" cm="1">
        <f t="array" aca="1" ref="K409" ca="1">IFERROR(VALUE(_xlfn.REGEXEXTRACT([1]Planilha1!$E409,"\+\s*(\d+)GB",2)),"")</f>
        <v/>
      </c>
      <c r="L409" s="5">
        <f ca="1">IF([1]Planilha1!$H409="","",[1]Planilha1!$H409)</f>
        <v>99.9</v>
      </c>
      <c r="M409" s="5" t="str">
        <f ca="1">IF([1]Planilha1!$I409="","",[1]Planilha1!$I409)</f>
        <v/>
      </c>
      <c r="N409" s="2" t="str" cm="1">
        <f t="array" aca="1" ref="N409" ca="1">IFERROR(VALUE(_xlfn.REGEXEXTRACT([1]Planilha1!$E409,"(\d+)\s*MESES",2)),IFERROR(VALUE(_xlfn.REGEXEXTRACT([1]Planilha1!$E409,"por\s*(\d+)\s*M",2)),IF(_xlfn.REGEXTEST([1]Planilha1!$E409,"1[ºª]"),1,"")))</f>
        <v/>
      </c>
      <c r="O409" s="6">
        <f t="shared" ca="1" si="29"/>
        <v>9.9900000000000003E-2</v>
      </c>
      <c r="P409" t="str">
        <f ca="1">IF([1]Planilha1!$J409="","",TRIM([1]Planilha1!$J409))</f>
        <v>GLOBOPLAY</v>
      </c>
      <c r="Q409" s="7">
        <f ca="1">IF($D409="Claro","",IFERROR($L409-VLOOKUP($B409&amp;"|Claro",[1]AUX_CLARO!$A:$C,2,FALSE),""))</f>
        <v>-40</v>
      </c>
      <c r="R409" s="8">
        <f ca="1">IF($D409="Claro","",IFERROR($J409-VLOOKUP($B409&amp;"|Claro",[1]AUX_CLARO!$A:$C,3,FALSE),""))</f>
        <v>400</v>
      </c>
      <c r="S409" t="str">
        <f t="shared" ca="1" si="30"/>
        <v>Claro mais cara</v>
      </c>
      <c r="T409" t="str">
        <f t="shared" ca="1" si="31"/>
        <v>Claro com menor velocidade</v>
      </c>
      <c r="U409" s="9">
        <f t="shared" si="32"/>
        <v>46174</v>
      </c>
      <c r="V409" t="str">
        <f ca="1">IF(OR([1]Planilha1!$B409="",[1]Planilha1!$B409="NÃO MAPEADO"),"",TRIM([1]Planilha1!$B409))</f>
        <v>NOROESTE</v>
      </c>
      <c r="W409" t="str">
        <f ca="1">IF([1]Planilha1!$C409="","",TRIM([1]Planilha1!$C409))</f>
        <v>MD 2</v>
      </c>
      <c r="X409" t="str">
        <f ca="1">IFERROR(VLOOKUP($C409,[1]Planilha2!$B:$H,7,FALSE),"")</f>
        <v>19000-001</v>
      </c>
    </row>
    <row r="410" spans="1:24" x14ac:dyDescent="0.35">
      <c r="A410" t="str">
        <f ca="1">IF(LEFT(TEXT([1]Planilha1!$L410,"0000000"),1)="5","MS","SP")</f>
        <v>SP</v>
      </c>
      <c r="B410" t="str">
        <f ca="1">IF(RIGHT([1]Planilha1!$A410,5)=" - MS",LEFT([1]Planilha1!$A410,LEN([1]Planilha1!$A410)-5),TRIM([1]Planilha1!$A410))</f>
        <v>PRESIDENTE PRUDENTE</v>
      </c>
      <c r="C410" s="2">
        <f ca="1">[1]Planilha1!$L410</f>
        <v>3541406</v>
      </c>
      <c r="D410" t="str">
        <f>TRIM([1]Planilha1!$D410)</f>
        <v>Vero</v>
      </c>
      <c r="E410" t="str">
        <f>IF(TRIM([1]Planilha1!$D410)="Claro","Claro","Concorrente")</f>
        <v>Concorrente</v>
      </c>
      <c r="F410" t="s">
        <v>30</v>
      </c>
      <c r="G410" t="str">
        <f t="shared" ca="1" si="28"/>
        <v>Banda Larga + Movel</v>
      </c>
      <c r="H410" t="str">
        <f ca="1">TRIM([1]Planilha1!$E410)</f>
        <v>850M+60GB=R$149,99 (C/ GLOBOPLAY, HBO, DISNEY+)</v>
      </c>
      <c r="I410" t="str">
        <f ca="1">IF([1]Planilha1!$F410="","",TRIM([1]Planilha1!$F410))</f>
        <v>Fibra</v>
      </c>
      <c r="J410" s="3">
        <f ca="1">IF([1]Planilha1!$G410="","",[1]Planilha1!$G410)</f>
        <v>850</v>
      </c>
      <c r="K410" s="4" cm="1">
        <f t="array" aca="1" ref="K410" ca="1">IFERROR(VALUE(_xlfn.REGEXEXTRACT([1]Planilha1!$E410,"\+\s*(\d+)GB",2)),"")</f>
        <v>60</v>
      </c>
      <c r="L410" s="5">
        <f ca="1">IF([1]Planilha1!$H410="","",[1]Planilha1!$H410)</f>
        <v>149.99</v>
      </c>
      <c r="M410" s="5" t="str">
        <f ca="1">IF([1]Planilha1!$I410="","",[1]Planilha1!$I410)</f>
        <v/>
      </c>
      <c r="N410" s="2" t="str" cm="1">
        <f t="array" aca="1" ref="N410" ca="1">IFERROR(VALUE(_xlfn.REGEXEXTRACT([1]Planilha1!$E410,"(\d+)\s*MESES",2)),IFERROR(VALUE(_xlfn.REGEXEXTRACT([1]Planilha1!$E410,"por\s*(\d+)\s*M",2)),IF(_xlfn.REGEXTEST([1]Planilha1!$E410,"1[ºª]"),1,"")))</f>
        <v/>
      </c>
      <c r="O410" s="6">
        <f t="shared" ca="1" si="29"/>
        <v>0.17645882352941178</v>
      </c>
      <c r="P410" t="str">
        <f ca="1">IF([1]Planilha1!$J410="","",TRIM([1]Planilha1!$J410))</f>
        <v>GLOBOPLAY, HBO, DISNEY+</v>
      </c>
      <c r="Q410" s="7">
        <f ca="1">IF($D410="Claro","",IFERROR($L410-VLOOKUP($B410&amp;"|Claro",[1]AUX_CLARO!$A:$C,2,FALSE),""))</f>
        <v>10.090000000000003</v>
      </c>
      <c r="R410" s="8">
        <f ca="1">IF($D410="Claro","",IFERROR($J410-VLOOKUP($B410&amp;"|Claro",[1]AUX_CLARO!$A:$C,3,FALSE),""))</f>
        <v>250</v>
      </c>
      <c r="S410" t="str">
        <f t="shared" ca="1" si="30"/>
        <v>Claro mais barata</v>
      </c>
      <c r="T410" t="str">
        <f t="shared" ca="1" si="31"/>
        <v>Claro com menor velocidade</v>
      </c>
      <c r="U410" s="9">
        <f t="shared" si="32"/>
        <v>46174</v>
      </c>
      <c r="V410" t="str">
        <f ca="1">IF(OR([1]Planilha1!$B410="",[1]Planilha1!$B410="NÃO MAPEADO"),"",TRIM([1]Planilha1!$B410))</f>
        <v>NOROESTE</v>
      </c>
      <c r="W410" t="str">
        <f ca="1">IF([1]Planilha1!$C410="","",TRIM([1]Planilha1!$C410))</f>
        <v>MD 2</v>
      </c>
      <c r="X410" t="str">
        <f ca="1">IFERROR(VLOOKUP($C410,[1]Planilha2!$B:$H,7,FALSE),"")</f>
        <v>19000-001</v>
      </c>
    </row>
    <row r="411" spans="1:24" x14ac:dyDescent="0.35">
      <c r="A411" t="str">
        <f ca="1">IF(LEFT(TEXT([1]Planilha1!$L411,"0000000"),1)="5","MS","SP")</f>
        <v>SP</v>
      </c>
      <c r="B411" t="str">
        <f ca="1">IF(RIGHT([1]Planilha1!$A411,5)=" - MS",LEFT([1]Planilha1!$A411,LEN([1]Planilha1!$A411)-5),TRIM([1]Planilha1!$A411))</f>
        <v>PRESIDENTE PRUDENTE</v>
      </c>
      <c r="C411" s="2">
        <f ca="1">[1]Planilha1!$L411</f>
        <v>3541406</v>
      </c>
      <c r="D411" t="str">
        <f>TRIM([1]Planilha1!$D411)</f>
        <v>ISP LOCAL</v>
      </c>
      <c r="E411" t="str">
        <f>IF(TRIM([1]Planilha1!$D411)="Claro","Claro","Concorrente")</f>
        <v>Concorrente</v>
      </c>
      <c r="F411" t="s">
        <v>28</v>
      </c>
      <c r="G411" t="str">
        <f t="shared" ca="1" si="28"/>
        <v>Banda Larga + Conteudo</v>
      </c>
      <c r="H411" t="str">
        <f ca="1">TRIM([1]Planilha1!$E411)</f>
        <v>CABONNET - 600M R$49,95 - 3 MESES, APÓS R$99,90</v>
      </c>
      <c r="I411" t="str">
        <f ca="1">IF([1]Planilha1!$F411="","",TRIM([1]Planilha1!$F411))</f>
        <v>Fibra</v>
      </c>
      <c r="J411" s="3">
        <f ca="1">IF([1]Planilha1!$G411="","",[1]Planilha1!$G411)</f>
        <v>600</v>
      </c>
      <c r="K411" s="4" t="str" cm="1">
        <f t="array" aca="1" ref="K411" ca="1">IFERROR(VALUE(_xlfn.REGEXEXTRACT([1]Planilha1!$E411,"\+\s*(\d+)GB",2)),"")</f>
        <v/>
      </c>
      <c r="L411" s="5">
        <f ca="1">IF([1]Planilha1!$H411="","",[1]Planilha1!$H411)</f>
        <v>99.9</v>
      </c>
      <c r="M411" s="5">
        <f ca="1">IF([1]Planilha1!$I411="","",[1]Planilha1!$I411)</f>
        <v>49.95</v>
      </c>
      <c r="N411" s="2" cm="1">
        <f t="array" aca="1" ref="N411" ca="1">IFERROR(VALUE(_xlfn.REGEXEXTRACT([1]Planilha1!$E411,"(\d+)\s*MESES",2)),IFERROR(VALUE(_xlfn.REGEXEXTRACT([1]Planilha1!$E411,"por\s*(\d+)\s*M",2)),IF(_xlfn.REGEXTEST([1]Planilha1!$E411,"1[ºª]"),1,"")))</f>
        <v>3</v>
      </c>
      <c r="O411" s="6">
        <f t="shared" ca="1" si="29"/>
        <v>0.16650000000000001</v>
      </c>
      <c r="P411" t="str">
        <f ca="1">IF([1]Planilha1!$J411="","",TRIM([1]Planilha1!$J411))</f>
        <v>0</v>
      </c>
      <c r="Q411" s="7">
        <f ca="1">IF($D411="Claro","",IFERROR($L411-VLOOKUP($B411&amp;"|Claro",[1]AUX_CLARO!$A:$C,2,FALSE),""))</f>
        <v>-40</v>
      </c>
      <c r="R411" s="8">
        <f ca="1">IF($D411="Claro","",IFERROR($J411-VLOOKUP($B411&amp;"|Claro",[1]AUX_CLARO!$A:$C,3,FALSE),""))</f>
        <v>0</v>
      </c>
      <c r="S411" t="str">
        <f t="shared" ca="1" si="30"/>
        <v>Claro mais cara</v>
      </c>
      <c r="T411" t="str">
        <f t="shared" ca="1" si="31"/>
        <v>Mesma velocidade</v>
      </c>
      <c r="U411" s="9">
        <f t="shared" si="32"/>
        <v>46174</v>
      </c>
      <c r="V411" t="str">
        <f ca="1">IF(OR([1]Planilha1!$B411="",[1]Planilha1!$B411="NÃO MAPEADO"),"",TRIM([1]Planilha1!$B411))</f>
        <v>NOROESTE</v>
      </c>
      <c r="W411" t="str">
        <f ca="1">IF([1]Planilha1!$C411="","",TRIM([1]Planilha1!$C411))</f>
        <v>MD 2</v>
      </c>
      <c r="X411" t="str">
        <f ca="1">IFERROR(VLOOKUP($C411,[1]Planilha2!$B:$H,7,FALSE),"")</f>
        <v>19000-001</v>
      </c>
    </row>
    <row r="412" spans="1:24" x14ac:dyDescent="0.35">
      <c r="A412" t="str">
        <f ca="1">IF(LEFT(TEXT([1]Planilha1!$L412,"0000000"),1)="5","MS","SP")</f>
        <v>SP</v>
      </c>
      <c r="B412" t="str">
        <f ca="1">IF(RIGHT([1]Planilha1!$A412,5)=" - MS",LEFT([1]Planilha1!$A412,LEN([1]Planilha1!$A412)-5),TRIM([1]Planilha1!$A412))</f>
        <v>PROMISSAO</v>
      </c>
      <c r="C412" s="2">
        <f ca="1">[1]Planilha1!$L412</f>
        <v>3541604</v>
      </c>
      <c r="D412" t="str">
        <f>TRIM([1]Planilha1!$D412)</f>
        <v>Claro</v>
      </c>
      <c r="E412" t="str">
        <f>IF(TRIM([1]Planilha1!$D412)="Claro","Claro","Concorrente")</f>
        <v>Claro</v>
      </c>
      <c r="F412" t="s">
        <v>24</v>
      </c>
      <c r="G412" t="str">
        <f t="shared" ca="1" si="28"/>
        <v>Banda Larga + Movel</v>
      </c>
      <c r="H412" t="str">
        <f ca="1">TRIM([1]Planilha1!$E412)</f>
        <v>600M+100GB=R$109,90 por 6M, após R$139,90</v>
      </c>
      <c r="I412" t="str">
        <f ca="1">IF([1]Planilha1!$F412="","",TRIM([1]Planilha1!$F412))</f>
        <v>Fibra</v>
      </c>
      <c r="J412" s="3">
        <f ca="1">IF([1]Planilha1!$G412="","",[1]Planilha1!$G412)</f>
        <v>600</v>
      </c>
      <c r="K412" s="4" cm="1">
        <f t="array" aca="1" ref="K412" ca="1">IFERROR(VALUE(_xlfn.REGEXEXTRACT([1]Planilha1!$E412,"\+\s*(\d+)GB",2)),"")</f>
        <v>100</v>
      </c>
      <c r="L412" s="5">
        <f ca="1">IF([1]Planilha1!$H412="","",[1]Planilha1!$H412)</f>
        <v>139.9</v>
      </c>
      <c r="M412" s="5">
        <f ca="1">IF([1]Planilha1!$I412="","",[1]Planilha1!$I412)</f>
        <v>109.9</v>
      </c>
      <c r="N412" s="2" cm="1">
        <f t="array" aca="1" ref="N412" ca="1">IFERROR(VALUE(_xlfn.REGEXEXTRACT([1]Planilha1!$E412,"(\d+)\s*MESES",2)),IFERROR(VALUE(_xlfn.REGEXEXTRACT([1]Planilha1!$E412,"por\s*(\d+)\s*M",2)),IF(_xlfn.REGEXTEST([1]Planilha1!$E412,"1[ºª]"),1,"")))</f>
        <v>6</v>
      </c>
      <c r="O412" s="6">
        <f t="shared" ca="1" si="29"/>
        <v>0.23316666666666669</v>
      </c>
      <c r="P412" t="str">
        <f ca="1">IF([1]Planilha1!$J412="","",TRIM([1]Planilha1!$J412))</f>
        <v>GLOBOPLAY</v>
      </c>
      <c r="Q412" s="7" t="str">
        <f>IF($D412="Claro","",IFERROR($L412-VLOOKUP($B412&amp;"|Claro",[1]AUX_CLARO!$A:$C,2,FALSE),""))</f>
        <v/>
      </c>
      <c r="R412" s="8" t="str">
        <f>IF($D412="Claro","",IFERROR($J412-VLOOKUP($B412&amp;"|Claro",[1]AUX_CLARO!$A:$C,3,FALSE),""))</f>
        <v/>
      </c>
      <c r="S412" t="str">
        <f t="shared" si="30"/>
        <v/>
      </c>
      <c r="T412" t="str">
        <f t="shared" si="31"/>
        <v/>
      </c>
      <c r="U412" s="9">
        <f t="shared" si="32"/>
        <v>46174</v>
      </c>
      <c r="V412" t="str">
        <f ca="1">IF(OR([1]Planilha1!$B412="",[1]Planilha1!$B412="NÃO MAPEADO"),"",TRIM([1]Planilha1!$B412))</f>
        <v>NOROESTE</v>
      </c>
      <c r="W412" t="str">
        <f ca="1">IF([1]Planilha1!$C412="","",TRIM([1]Planilha1!$C412))</f>
        <v>MD 2</v>
      </c>
      <c r="X412" t="str">
        <f ca="1">IFERROR(VLOOKUP($C412,[1]Planilha2!$B:$H,7,FALSE),"")</f>
        <v>16370-001</v>
      </c>
    </row>
    <row r="413" spans="1:24" x14ac:dyDescent="0.35">
      <c r="A413" t="str">
        <f ca="1">IF(LEFT(TEXT([1]Planilha1!$L413,"0000000"),1)="5","MS","SP")</f>
        <v>SP</v>
      </c>
      <c r="B413" t="str">
        <f ca="1">IF(RIGHT([1]Planilha1!$A413,5)=" - MS",LEFT([1]Planilha1!$A413,LEN([1]Planilha1!$A413)-5),TRIM([1]Planilha1!$A413))</f>
        <v>PROMISSAO</v>
      </c>
      <c r="C413" s="2">
        <f ca="1">[1]Planilha1!$L413</f>
        <v>3541604</v>
      </c>
      <c r="D413" t="str">
        <f>TRIM([1]Planilha1!$D413)</f>
        <v>Vero</v>
      </c>
      <c r="E413" t="str">
        <f>IF(TRIM([1]Planilha1!$D413)="Claro","Claro","Concorrente")</f>
        <v>Concorrente</v>
      </c>
      <c r="F413" t="s">
        <v>30</v>
      </c>
      <c r="G413" t="str">
        <f t="shared" ca="1" si="28"/>
        <v>Banda Larga + Movel</v>
      </c>
      <c r="H413" t="str">
        <f ca="1">TRIM([1]Planilha1!$E413)</f>
        <v>850M+60GB=R$149,99 (C/ GLOBOPLAY, HBO, DISNEY+)</v>
      </c>
      <c r="I413" t="str">
        <f ca="1">IF([1]Planilha1!$F413="","",TRIM([1]Planilha1!$F413))</f>
        <v>Fibra</v>
      </c>
      <c r="J413" s="3">
        <f ca="1">IF([1]Planilha1!$G413="","",[1]Planilha1!$G413)</f>
        <v>850</v>
      </c>
      <c r="K413" s="4" cm="1">
        <f t="array" aca="1" ref="K413" ca="1">IFERROR(VALUE(_xlfn.REGEXEXTRACT([1]Planilha1!$E413,"\+\s*(\d+)GB",2)),"")</f>
        <v>60</v>
      </c>
      <c r="L413" s="5">
        <f ca="1">IF([1]Planilha1!$H413="","",[1]Planilha1!$H413)</f>
        <v>149.99</v>
      </c>
      <c r="M413" s="5" t="str">
        <f ca="1">IF([1]Planilha1!$I413="","",[1]Planilha1!$I413)</f>
        <v/>
      </c>
      <c r="N413" s="2" t="str" cm="1">
        <f t="array" aca="1" ref="N413" ca="1">IFERROR(VALUE(_xlfn.REGEXEXTRACT([1]Planilha1!$E413,"(\d+)\s*MESES",2)),IFERROR(VALUE(_xlfn.REGEXEXTRACT([1]Planilha1!$E413,"por\s*(\d+)\s*M",2)),IF(_xlfn.REGEXTEST([1]Planilha1!$E413,"1[ºª]"),1,"")))</f>
        <v/>
      </c>
      <c r="O413" s="6">
        <f t="shared" ca="1" si="29"/>
        <v>0.17645882352941178</v>
      </c>
      <c r="P413" t="str">
        <f ca="1">IF([1]Planilha1!$J413="","",TRIM([1]Planilha1!$J413))</f>
        <v>GLOBOPLAY, HBO, DISNEY+</v>
      </c>
      <c r="Q413" s="7">
        <f ca="1">IF($D413="Claro","",IFERROR($L413-VLOOKUP($B413&amp;"|Claro",[1]AUX_CLARO!$A:$C,2,FALSE),""))</f>
        <v>10.090000000000003</v>
      </c>
      <c r="R413" s="8">
        <f ca="1">IF($D413="Claro","",IFERROR($J413-VLOOKUP($B413&amp;"|Claro",[1]AUX_CLARO!$A:$C,3,FALSE),""))</f>
        <v>250</v>
      </c>
      <c r="S413" t="str">
        <f t="shared" ca="1" si="30"/>
        <v>Claro mais barata</v>
      </c>
      <c r="T413" t="str">
        <f t="shared" ca="1" si="31"/>
        <v>Claro com menor velocidade</v>
      </c>
      <c r="U413" s="9">
        <f t="shared" si="32"/>
        <v>46174</v>
      </c>
      <c r="V413" t="str">
        <f ca="1">IF(OR([1]Planilha1!$B413="",[1]Planilha1!$B413="NÃO MAPEADO"),"",TRIM([1]Planilha1!$B413))</f>
        <v>NOROESTE</v>
      </c>
      <c r="W413" t="str">
        <f ca="1">IF([1]Planilha1!$C413="","",TRIM([1]Planilha1!$C413))</f>
        <v>MD 2</v>
      </c>
      <c r="X413" t="str">
        <f ca="1">IFERROR(VLOOKUP($C413,[1]Planilha2!$B:$H,7,FALSE),"")</f>
        <v>16370-001</v>
      </c>
    </row>
    <row r="414" spans="1:24" x14ac:dyDescent="0.35">
      <c r="A414" t="str">
        <f ca="1">IF(LEFT(TEXT([1]Planilha1!$L414,"0000000"),1)="5","MS","SP")</f>
        <v>SP</v>
      </c>
      <c r="B414" t="str">
        <f ca="1">IF(RIGHT([1]Planilha1!$A414,5)=" - MS",LEFT([1]Planilha1!$A414,LEN([1]Planilha1!$A414)-5),TRIM([1]Planilha1!$A414))</f>
        <v>PROMISSAO</v>
      </c>
      <c r="C414" s="2">
        <f ca="1">[1]Planilha1!$L414</f>
        <v>3541604</v>
      </c>
      <c r="D414" t="str">
        <f>TRIM([1]Planilha1!$D414)</f>
        <v>ISP LOCAL</v>
      </c>
      <c r="E414" t="str">
        <f>IF(TRIM([1]Planilha1!$D414)="Claro","Claro","Concorrente")</f>
        <v>Concorrente</v>
      </c>
      <c r="F414" t="s">
        <v>31</v>
      </c>
      <c r="G414" t="str">
        <f t="shared" ca="1" si="28"/>
        <v>Banda Larga + Conteudo</v>
      </c>
      <c r="H414" t="str">
        <f ca="1">TRIM([1]Planilha1!$E414)</f>
        <v>BRAYO - 1GB R$99,99</v>
      </c>
      <c r="I414" t="str">
        <f ca="1">IF([1]Planilha1!$F414="","",TRIM([1]Planilha1!$F414))</f>
        <v>Fibra</v>
      </c>
      <c r="J414" s="3">
        <f ca="1">IF([1]Planilha1!$G414="","",[1]Planilha1!$G414)</f>
        <v>1000</v>
      </c>
      <c r="K414" s="4" t="str" cm="1">
        <f t="array" aca="1" ref="K414" ca="1">IFERROR(VALUE(_xlfn.REGEXEXTRACT([1]Planilha1!$E414,"\+\s*(\d+)GB",2)),"")</f>
        <v/>
      </c>
      <c r="L414" s="5">
        <f ca="1">IF([1]Planilha1!$H414="","",[1]Planilha1!$H414)</f>
        <v>99.99</v>
      </c>
      <c r="M414" s="5" t="str">
        <f ca="1">IF([1]Planilha1!$I414="","",[1]Planilha1!$I414)</f>
        <v/>
      </c>
      <c r="N414" s="2" t="str" cm="1">
        <f t="array" aca="1" ref="N414" ca="1">IFERROR(VALUE(_xlfn.REGEXEXTRACT([1]Planilha1!$E414,"(\d+)\s*MESES",2)),IFERROR(VALUE(_xlfn.REGEXEXTRACT([1]Planilha1!$E414,"por\s*(\d+)\s*M",2)),IF(_xlfn.REGEXTEST([1]Planilha1!$E414,"1[ºª]"),1,"")))</f>
        <v/>
      </c>
      <c r="O414" s="6">
        <f t="shared" ca="1" si="29"/>
        <v>9.9989999999999996E-2</v>
      </c>
      <c r="P414" t="str">
        <f ca="1">IF([1]Planilha1!$J414="","",TRIM([1]Planilha1!$J414))</f>
        <v>0</v>
      </c>
      <c r="Q414" s="7">
        <f ca="1">IF($D414="Claro","",IFERROR($L414-VLOOKUP($B414&amp;"|Claro",[1]AUX_CLARO!$A:$C,2,FALSE),""))</f>
        <v>-39.910000000000011</v>
      </c>
      <c r="R414" s="8">
        <f ca="1">IF($D414="Claro","",IFERROR($J414-VLOOKUP($B414&amp;"|Claro",[1]AUX_CLARO!$A:$C,3,FALSE),""))</f>
        <v>400</v>
      </c>
      <c r="S414" t="str">
        <f t="shared" ca="1" si="30"/>
        <v>Claro mais cara</v>
      </c>
      <c r="T414" t="str">
        <f t="shared" ca="1" si="31"/>
        <v>Claro com menor velocidade</v>
      </c>
      <c r="U414" s="9">
        <f t="shared" si="32"/>
        <v>46174</v>
      </c>
      <c r="V414" t="str">
        <f ca="1">IF(OR([1]Planilha1!$B414="",[1]Planilha1!$B414="NÃO MAPEADO"),"",TRIM([1]Planilha1!$B414))</f>
        <v>NOROESTE</v>
      </c>
      <c r="W414" t="str">
        <f ca="1">IF([1]Planilha1!$C414="","",TRIM([1]Planilha1!$C414))</f>
        <v>MD 2</v>
      </c>
      <c r="X414" t="str">
        <f ca="1">IFERROR(VLOOKUP($C414,[1]Planilha2!$B:$H,7,FALSE),"")</f>
        <v>16370-001</v>
      </c>
    </row>
    <row r="415" spans="1:24" x14ac:dyDescent="0.35">
      <c r="A415" t="str">
        <f ca="1">IF(LEFT(TEXT([1]Planilha1!$L415,"0000000"),1)="5","MS","SP")</f>
        <v>SP</v>
      </c>
      <c r="B415" t="str">
        <f ca="1">IF(RIGHT([1]Planilha1!$A415,5)=" - MS",LEFT([1]Planilha1!$A415,LEN([1]Planilha1!$A415)-5),TRIM([1]Planilha1!$A415))</f>
        <v>RAFARD</v>
      </c>
      <c r="C415" s="2">
        <f ca="1">[1]Planilha1!$L415</f>
        <v>3542107</v>
      </c>
      <c r="D415" t="str">
        <f>TRIM([1]Planilha1!$D415)</f>
        <v>Claro</v>
      </c>
      <c r="E415" t="str">
        <f>IF(TRIM([1]Planilha1!$D415)="Claro","Claro","Concorrente")</f>
        <v>Claro</v>
      </c>
      <c r="F415" t="s">
        <v>24</v>
      </c>
      <c r="G415" t="str">
        <f t="shared" ca="1" si="28"/>
        <v>Banda Larga + Movel</v>
      </c>
      <c r="H415" t="str">
        <f ca="1">TRIM([1]Planilha1!$E415)</f>
        <v>600M+100GB=R$159,90</v>
      </c>
      <c r="I415" t="str">
        <f ca="1">IF([1]Planilha1!$F415="","",TRIM([1]Planilha1!$F415))</f>
        <v>Fibra</v>
      </c>
      <c r="J415" s="3">
        <f ca="1">IF([1]Planilha1!$G415="","",[1]Planilha1!$G415)</f>
        <v>600</v>
      </c>
      <c r="K415" s="4" cm="1">
        <f t="array" aca="1" ref="K415" ca="1">IFERROR(VALUE(_xlfn.REGEXEXTRACT([1]Planilha1!$E415,"\+\s*(\d+)GB",2)),"")</f>
        <v>100</v>
      </c>
      <c r="L415" s="5">
        <f ca="1">IF([1]Planilha1!$H415="","",[1]Planilha1!$H415)</f>
        <v>159.9</v>
      </c>
      <c r="M415" s="5" t="str">
        <f ca="1">IF([1]Planilha1!$I415="","",[1]Planilha1!$I415)</f>
        <v/>
      </c>
      <c r="N415" s="2" t="str" cm="1">
        <f t="array" aca="1" ref="N415" ca="1">IFERROR(VALUE(_xlfn.REGEXEXTRACT([1]Planilha1!$E415,"(\d+)\s*MESES",2)),IFERROR(VALUE(_xlfn.REGEXEXTRACT([1]Planilha1!$E415,"por\s*(\d+)\s*M",2)),IF(_xlfn.REGEXTEST([1]Planilha1!$E415,"1[ºª]"),1,"")))</f>
        <v/>
      </c>
      <c r="O415" s="6">
        <f t="shared" ca="1" si="29"/>
        <v>0.26650000000000001</v>
      </c>
      <c r="P415" t="str">
        <f ca="1">IF([1]Planilha1!$J415="","",TRIM([1]Planilha1!$J415))</f>
        <v>GLOBOPLAY</v>
      </c>
      <c r="Q415" s="7" t="str">
        <f>IF($D415="Claro","",IFERROR($L415-VLOOKUP($B415&amp;"|Claro",[1]AUX_CLARO!$A:$C,2,FALSE),""))</f>
        <v/>
      </c>
      <c r="R415" s="8" t="str">
        <f>IF($D415="Claro","",IFERROR($J415-VLOOKUP($B415&amp;"|Claro",[1]AUX_CLARO!$A:$C,3,FALSE),""))</f>
        <v/>
      </c>
      <c r="S415" t="str">
        <f t="shared" si="30"/>
        <v/>
      </c>
      <c r="T415" t="str">
        <f t="shared" si="31"/>
        <v/>
      </c>
      <c r="U415" s="9">
        <f t="shared" si="32"/>
        <v>46174</v>
      </c>
      <c r="V415" t="str">
        <f ca="1">IF(OR([1]Planilha1!$B415="",[1]Planilha1!$B415="NÃO MAPEADO"),"",TRIM([1]Planilha1!$B415))</f>
        <v>CENTRAL</v>
      </c>
      <c r="W415" t="str">
        <f ca="1">IF([1]Planilha1!$C415="","",TRIM([1]Planilha1!$C415))</f>
        <v>PADRÃO</v>
      </c>
      <c r="X415" t="str">
        <f ca="1">IFERROR(VLOOKUP($C415,[1]Planilha2!$B:$H,7,FALSE),"")</f>
        <v>13370-001</v>
      </c>
    </row>
    <row r="416" spans="1:24" x14ac:dyDescent="0.35">
      <c r="A416" t="str">
        <f ca="1">IF(LEFT(TEXT([1]Planilha1!$L416,"0000000"),1)="5","MS","SP")</f>
        <v>SP</v>
      </c>
      <c r="B416" t="str">
        <f ca="1">IF(RIGHT([1]Planilha1!$A416,5)=" - MS",LEFT([1]Planilha1!$A416,LEN([1]Planilha1!$A416)-5),TRIM([1]Planilha1!$A416))</f>
        <v>RAFARD</v>
      </c>
      <c r="C416" s="2">
        <f ca="1">[1]Planilha1!$L416</f>
        <v>3542107</v>
      </c>
      <c r="D416" t="str">
        <f>TRIM([1]Planilha1!$D416)</f>
        <v>Desktop</v>
      </c>
      <c r="E416" t="str">
        <f>IF(TRIM([1]Planilha1!$D416)="Claro","Claro","Concorrente")</f>
        <v>Concorrente</v>
      </c>
      <c r="F416" t="s">
        <v>29</v>
      </c>
      <c r="G416" t="str">
        <f t="shared" ca="1" si="28"/>
        <v>Banda Larga + Movel</v>
      </c>
      <c r="H416" t="str">
        <f ca="1">TRIM([1]Planilha1!$E416)</f>
        <v>600M+15GB=R$129,99 - 6 MESES, APÓS R$139,99</v>
      </c>
      <c r="I416" t="str">
        <f ca="1">IF([1]Planilha1!$F416="","",TRIM([1]Planilha1!$F416))</f>
        <v>Fibra</v>
      </c>
      <c r="J416" s="3">
        <f ca="1">IF([1]Planilha1!$G416="","",[1]Planilha1!$G416)</f>
        <v>600</v>
      </c>
      <c r="K416" s="4" cm="1">
        <f t="array" aca="1" ref="K416" ca="1">IFERROR(VALUE(_xlfn.REGEXEXTRACT([1]Planilha1!$E416,"\+\s*(\d+)GB",2)),"")</f>
        <v>15</v>
      </c>
      <c r="L416" s="5">
        <f ca="1">IF([1]Planilha1!$H416="","",[1]Planilha1!$H416)</f>
        <v>139.99</v>
      </c>
      <c r="M416" s="5">
        <f ca="1">IF([1]Planilha1!$I416="","",[1]Planilha1!$I416)</f>
        <v>129.99</v>
      </c>
      <c r="N416" s="2" cm="1">
        <f t="array" aca="1" ref="N416" ca="1">IFERROR(VALUE(_xlfn.REGEXEXTRACT([1]Planilha1!$E416,"(\d+)\s*MESES",2)),IFERROR(VALUE(_xlfn.REGEXEXTRACT([1]Planilha1!$E416,"por\s*(\d+)\s*M",2)),IF(_xlfn.REGEXTEST([1]Planilha1!$E416,"1[ºª]"),1,"")))</f>
        <v>6</v>
      </c>
      <c r="O416" s="6">
        <f t="shared" ca="1" si="29"/>
        <v>0.23331666666666667</v>
      </c>
      <c r="P416" t="str">
        <f ca="1">IF([1]Planilha1!$J416="","",TRIM([1]Planilha1!$J416))</f>
        <v>0</v>
      </c>
      <c r="Q416" s="7">
        <f ca="1">IF($D416="Claro","",IFERROR($L416-VLOOKUP($B416&amp;"|Claro",[1]AUX_CLARO!$A:$C,2,FALSE),""))</f>
        <v>-19.909999999999997</v>
      </c>
      <c r="R416" s="8">
        <f ca="1">IF($D416="Claro","",IFERROR($J416-VLOOKUP($B416&amp;"|Claro",[1]AUX_CLARO!$A:$C,3,FALSE),""))</f>
        <v>0</v>
      </c>
      <c r="S416" t="str">
        <f t="shared" ca="1" si="30"/>
        <v>Claro mais cara</v>
      </c>
      <c r="T416" t="str">
        <f t="shared" ca="1" si="31"/>
        <v>Mesma velocidade</v>
      </c>
      <c r="U416" s="9">
        <f t="shared" si="32"/>
        <v>46174</v>
      </c>
      <c r="V416" t="str">
        <f ca="1">IF(OR([1]Planilha1!$B416="",[1]Planilha1!$B416="NÃO MAPEADO"),"",TRIM([1]Planilha1!$B416))</f>
        <v>CENTRAL</v>
      </c>
      <c r="W416" t="str">
        <f ca="1">IF([1]Planilha1!$C416="","",TRIM([1]Planilha1!$C416))</f>
        <v>PADRÃO</v>
      </c>
      <c r="X416" t="str">
        <f ca="1">IFERROR(VLOOKUP($C416,[1]Planilha2!$B:$H,7,FALSE),"")</f>
        <v>13370-001</v>
      </c>
    </row>
    <row r="417" spans="1:24" x14ac:dyDescent="0.35">
      <c r="A417" t="str">
        <f ca="1">IF(LEFT(TEXT([1]Planilha1!$L417,"0000000"),1)="5","MS","SP")</f>
        <v>SP</v>
      </c>
      <c r="B417" t="str">
        <f ca="1">IF(RIGHT([1]Planilha1!$A417,5)=" - MS",LEFT([1]Planilha1!$A417,LEN([1]Planilha1!$A417)-5),TRIM([1]Planilha1!$A417))</f>
        <v>RAFARD</v>
      </c>
      <c r="C417" s="2">
        <f ca="1">[1]Planilha1!$L417</f>
        <v>3542107</v>
      </c>
      <c r="D417" t="str">
        <f>TRIM([1]Planilha1!$D417)</f>
        <v>ISP LOCAL</v>
      </c>
      <c r="E417" t="str">
        <f>IF(TRIM([1]Planilha1!$D417)="Claro","Claro","Concorrente")</f>
        <v>Concorrente</v>
      </c>
      <c r="F417" t="s">
        <v>52</v>
      </c>
      <c r="G417" t="str">
        <f t="shared" ca="1" si="28"/>
        <v>Banda Larga + Conteudo</v>
      </c>
      <c r="H417" t="str">
        <f ca="1">TRIM([1]Planilha1!$E417)</f>
        <v>EAGLE - 700M R$99,90</v>
      </c>
      <c r="I417" t="str">
        <f ca="1">IF([1]Planilha1!$F417="","",TRIM([1]Planilha1!$F417))</f>
        <v>Fibra</v>
      </c>
      <c r="J417" s="3">
        <f ca="1">IF([1]Planilha1!$G417="","",[1]Planilha1!$G417)</f>
        <v>700</v>
      </c>
      <c r="K417" s="4" t="str" cm="1">
        <f t="array" aca="1" ref="K417" ca="1">IFERROR(VALUE(_xlfn.REGEXEXTRACT([1]Planilha1!$E417,"\+\s*(\d+)GB",2)),"")</f>
        <v/>
      </c>
      <c r="L417" s="5">
        <f ca="1">IF([1]Planilha1!$H417="","",[1]Planilha1!$H417)</f>
        <v>99.9</v>
      </c>
      <c r="M417" s="5" t="str">
        <f ca="1">IF([1]Planilha1!$I417="","",[1]Planilha1!$I417)</f>
        <v/>
      </c>
      <c r="N417" s="2" t="str" cm="1">
        <f t="array" aca="1" ref="N417" ca="1">IFERROR(VALUE(_xlfn.REGEXEXTRACT([1]Planilha1!$E417,"(\d+)\s*MESES",2)),IFERROR(VALUE(_xlfn.REGEXEXTRACT([1]Planilha1!$E417,"por\s*(\d+)\s*M",2)),IF(_xlfn.REGEXTEST([1]Planilha1!$E417,"1[ºª]"),1,"")))</f>
        <v/>
      </c>
      <c r="O417" s="6">
        <f t="shared" ca="1" si="29"/>
        <v>0.14271428571428571</v>
      </c>
      <c r="P417" t="str">
        <f ca="1">IF([1]Planilha1!$J417="","",TRIM([1]Planilha1!$J417))</f>
        <v>0</v>
      </c>
      <c r="Q417" s="7">
        <f ca="1">IF($D417="Claro","",IFERROR($L417-VLOOKUP($B417&amp;"|Claro",[1]AUX_CLARO!$A:$C,2,FALSE),""))</f>
        <v>-60</v>
      </c>
      <c r="R417" s="8">
        <f ca="1">IF($D417="Claro","",IFERROR($J417-VLOOKUP($B417&amp;"|Claro",[1]AUX_CLARO!$A:$C,3,FALSE),""))</f>
        <v>100</v>
      </c>
      <c r="S417" t="str">
        <f t="shared" ca="1" si="30"/>
        <v>Claro mais cara</v>
      </c>
      <c r="T417" t="str">
        <f t="shared" ca="1" si="31"/>
        <v>Claro com menor velocidade</v>
      </c>
      <c r="U417" s="9">
        <f t="shared" si="32"/>
        <v>46174</v>
      </c>
      <c r="V417" t="str">
        <f ca="1">IF(OR([1]Planilha1!$B417="",[1]Planilha1!$B417="NÃO MAPEADO"),"",TRIM([1]Planilha1!$B417))</f>
        <v>CENTRAL</v>
      </c>
      <c r="W417" t="str">
        <f ca="1">IF([1]Planilha1!$C417="","",TRIM([1]Planilha1!$C417))</f>
        <v>PADRÃO</v>
      </c>
      <c r="X417" t="str">
        <f ca="1">IFERROR(VLOOKUP($C417,[1]Planilha2!$B:$H,7,FALSE),"")</f>
        <v>13370-001</v>
      </c>
    </row>
    <row r="418" spans="1:24" x14ac:dyDescent="0.35">
      <c r="A418" t="str">
        <f ca="1">IF(LEFT(TEXT([1]Planilha1!$L418,"0000000"),1)="5","MS","SP")</f>
        <v>SP</v>
      </c>
      <c r="B418" t="str">
        <f ca="1">IF(RIGHT([1]Planilha1!$A418,5)=" - MS",LEFT([1]Planilha1!$A418,LEN([1]Planilha1!$A418)-5),TRIM([1]Planilha1!$A418))</f>
        <v>REGISTRO</v>
      </c>
      <c r="C418" s="2">
        <f ca="1">[1]Planilha1!$L418</f>
        <v>3542602</v>
      </c>
      <c r="D418" t="str">
        <f>TRIM([1]Planilha1!$D418)</f>
        <v>Claro</v>
      </c>
      <c r="E418" t="str">
        <f>IF(TRIM([1]Planilha1!$D418)="Claro","Claro","Concorrente")</f>
        <v>Claro</v>
      </c>
      <c r="F418" t="s">
        <v>24</v>
      </c>
      <c r="G418" t="str">
        <f t="shared" ca="1" si="28"/>
        <v>Banda Larga + Movel</v>
      </c>
      <c r="H418" t="str">
        <f ca="1">TRIM([1]Planilha1!$E418)</f>
        <v>600M+100GB=R$109,90 por 6M, após R$139,90</v>
      </c>
      <c r="I418" t="str">
        <f ca="1">IF([1]Planilha1!$F418="","",TRIM([1]Planilha1!$F418))</f>
        <v>Fibra</v>
      </c>
      <c r="J418" s="3">
        <f ca="1">IF([1]Planilha1!$G418="","",[1]Planilha1!$G418)</f>
        <v>600</v>
      </c>
      <c r="K418" s="4" cm="1">
        <f t="array" aca="1" ref="K418" ca="1">IFERROR(VALUE(_xlfn.REGEXEXTRACT([1]Planilha1!$E418,"\+\s*(\d+)GB",2)),"")</f>
        <v>100</v>
      </c>
      <c r="L418" s="5">
        <f ca="1">IF([1]Planilha1!$H418="","",[1]Planilha1!$H418)</f>
        <v>139.9</v>
      </c>
      <c r="M418" s="5">
        <f ca="1">IF([1]Planilha1!$I418="","",[1]Planilha1!$I418)</f>
        <v>109.9</v>
      </c>
      <c r="N418" s="2" cm="1">
        <f t="array" aca="1" ref="N418" ca="1">IFERROR(VALUE(_xlfn.REGEXEXTRACT([1]Planilha1!$E418,"(\d+)\s*MESES",2)),IFERROR(VALUE(_xlfn.REGEXEXTRACT([1]Planilha1!$E418,"por\s*(\d+)\s*M",2)),IF(_xlfn.REGEXTEST([1]Planilha1!$E418,"1[ºª]"),1,"")))</f>
        <v>6</v>
      </c>
      <c r="O418" s="6">
        <f t="shared" ca="1" si="29"/>
        <v>0.23316666666666669</v>
      </c>
      <c r="P418" t="str">
        <f ca="1">IF([1]Planilha1!$J418="","",TRIM([1]Planilha1!$J418))</f>
        <v>GLOBOPLAY</v>
      </c>
      <c r="Q418" s="7" t="str">
        <f>IF($D418="Claro","",IFERROR($L418-VLOOKUP($B418&amp;"|Claro",[1]AUX_CLARO!$A:$C,2,FALSE),""))</f>
        <v/>
      </c>
      <c r="R418" s="8" t="str">
        <f>IF($D418="Claro","",IFERROR($J418-VLOOKUP($B418&amp;"|Claro",[1]AUX_CLARO!$A:$C,3,FALSE),""))</f>
        <v/>
      </c>
      <c r="S418" t="str">
        <f t="shared" si="30"/>
        <v/>
      </c>
      <c r="T418" t="str">
        <f t="shared" si="31"/>
        <v/>
      </c>
      <c r="U418" s="9">
        <f t="shared" si="32"/>
        <v>46174</v>
      </c>
      <c r="V418" t="str">
        <f ca="1">IF(OR([1]Planilha1!$B418="",[1]Planilha1!$B418="NÃO MAPEADO"),"",TRIM([1]Planilha1!$B418))</f>
        <v>SUDESTE</v>
      </c>
      <c r="W418" t="str">
        <f ca="1">IF([1]Planilha1!$C418="","",TRIM([1]Planilha1!$C418))</f>
        <v>MD 2</v>
      </c>
      <c r="X418" s="12" t="str">
        <f ca="1">IFERROR(VLOOKUP($C418,[1]Planilha2!$B:$H,7,FALSE),"")</f>
        <v>11900-000</v>
      </c>
    </row>
    <row r="419" spans="1:24" x14ac:dyDescent="0.35">
      <c r="A419" t="str">
        <f ca="1">IF(LEFT(TEXT([1]Planilha1!$L419,"0000000"),1)="5","MS","SP")</f>
        <v>SP</v>
      </c>
      <c r="B419" t="str">
        <f ca="1">IF(RIGHT([1]Planilha1!$A419,5)=" - MS",LEFT([1]Planilha1!$A419,LEN([1]Planilha1!$A419)-5),TRIM([1]Planilha1!$A419))</f>
        <v>REGISTRO</v>
      </c>
      <c r="C419" s="2">
        <f ca="1">[1]Planilha1!$L419</f>
        <v>3542602</v>
      </c>
      <c r="D419" t="str">
        <f>TRIM([1]Planilha1!$D419)</f>
        <v>Vivo</v>
      </c>
      <c r="E419" t="str">
        <f>IF(TRIM([1]Planilha1!$D419)="Claro","Claro","Concorrente")</f>
        <v>Concorrente</v>
      </c>
      <c r="F419" t="s">
        <v>25</v>
      </c>
      <c r="G419" t="str">
        <f t="shared" ca="1" si="28"/>
        <v>Banda Larga + Movel</v>
      </c>
      <c r="H419" t="s">
        <v>26</v>
      </c>
      <c r="I419" t="str">
        <f ca="1">IF([1]Planilha1!$F419="","",TRIM([1]Planilha1!$F419))</f>
        <v>Fibra</v>
      </c>
      <c r="J419" s="11" t="s">
        <v>27</v>
      </c>
      <c r="K419" s="4" cm="1">
        <f t="array" aca="1" ref="K419" ca="1">IFERROR(VALUE(_xlfn.REGEXEXTRACT([1]Planilha1!$E419,"\+\s*(\d+)GB",2)),"")</f>
        <v>70</v>
      </c>
      <c r="L419" s="5">
        <v>160</v>
      </c>
      <c r="M419" s="5" t="str">
        <f ca="1">IF([1]Planilha1!$I419="","",[1]Planilha1!$I419)</f>
        <v/>
      </c>
      <c r="N419" s="2" t="str" cm="1">
        <f t="array" aca="1" ref="N419" ca="1">IFERROR(VALUE(_xlfn.REGEXEXTRACT([1]Planilha1!$E419,"(\d+)\s*MESES",2)),IFERROR(VALUE(_xlfn.REGEXEXTRACT([1]Planilha1!$E419,"por\s*(\d+)\s*M",2)),IF(_xlfn.REGEXTEST([1]Planilha1!$E419,"1[ºª]"),1,"")))</f>
        <v/>
      </c>
      <c r="O419" s="6" t="str">
        <f t="shared" si="29"/>
        <v/>
      </c>
      <c r="P419" t="str">
        <f ca="1">IF([1]Planilha1!$J419="","",TRIM([1]Planilha1!$J419))</f>
        <v>0</v>
      </c>
      <c r="Q419" s="7">
        <f ca="1">IF($D419="Claro","",IFERROR($L419-VLOOKUP($B419&amp;"|Claro",[1]AUX_CLARO!$A:$C,2,FALSE),""))</f>
        <v>20.099999999999994</v>
      </c>
      <c r="R419" s="8" t="str">
        <f ca="1">IF($D419="Claro","",IFERROR($J419-VLOOKUP($B419&amp;"|Claro",[1]AUX_CLARO!$A:$C,3,FALSE),""))</f>
        <v/>
      </c>
      <c r="S419" t="str">
        <f t="shared" ca="1" si="30"/>
        <v>Claro mais barata</v>
      </c>
      <c r="T419" t="str">
        <f t="shared" ca="1" si="31"/>
        <v/>
      </c>
      <c r="U419" s="9">
        <f t="shared" si="32"/>
        <v>46174</v>
      </c>
      <c r="V419" t="str">
        <f ca="1">IF(OR([1]Planilha1!$B419="",[1]Planilha1!$B419="NÃO MAPEADO"),"",TRIM([1]Planilha1!$B419))</f>
        <v>SUDESTE</v>
      </c>
      <c r="W419" t="str">
        <f ca="1">IF([1]Planilha1!$C419="","",TRIM([1]Planilha1!$C419))</f>
        <v>MD 2</v>
      </c>
      <c r="X419" s="12" t="str">
        <f ca="1">IFERROR(VLOOKUP($C419,[1]Planilha2!$B:$H,7,FALSE),"")</f>
        <v>11900-000</v>
      </c>
    </row>
    <row r="420" spans="1:24" x14ac:dyDescent="0.35">
      <c r="A420" t="str">
        <f ca="1">IF(LEFT(TEXT([1]Planilha1!$L420,"0000000"),1)="5","MS","SP")</f>
        <v>SP</v>
      </c>
      <c r="B420" t="str">
        <f ca="1">IF(RIGHT([1]Planilha1!$A420,5)=" - MS",LEFT([1]Planilha1!$A420,LEN([1]Planilha1!$A420)-5),TRIM([1]Planilha1!$A420))</f>
        <v>REGISTRO</v>
      </c>
      <c r="C420" s="2">
        <f ca="1">[1]Planilha1!$L420</f>
        <v>3542602</v>
      </c>
      <c r="D420" t="str">
        <f>TRIM([1]Planilha1!$D420)</f>
        <v>Alares</v>
      </c>
      <c r="E420" t="str">
        <f>IF(TRIM([1]Planilha1!$D420)="Claro","Claro","Concorrente")</f>
        <v>Concorrente</v>
      </c>
      <c r="F420" t="s">
        <v>32</v>
      </c>
      <c r="G420" t="str">
        <f t="shared" ca="1" si="28"/>
        <v>Banda Larga + Conteudo</v>
      </c>
      <c r="H420" t="str">
        <f ca="1">TRIM([1]Planilha1!$E420)</f>
        <v>1GB + GLOBOPLAY R$99,90</v>
      </c>
      <c r="I420" t="str">
        <f ca="1">IF([1]Planilha1!$F420="","",TRIM([1]Planilha1!$F420))</f>
        <v>Fibra</v>
      </c>
      <c r="J420" s="3">
        <f ca="1">IF([1]Planilha1!$G420="","",[1]Planilha1!$G420)</f>
        <v>1000</v>
      </c>
      <c r="K420" s="4" t="str" cm="1">
        <f t="array" aca="1" ref="K420" ca="1">IFERROR(VALUE(_xlfn.REGEXEXTRACT([1]Planilha1!$E420,"\+\s*(\d+)GB",2)),"")</f>
        <v/>
      </c>
      <c r="L420" s="5">
        <f ca="1">IF([1]Planilha1!$H420="","",[1]Planilha1!$H420)</f>
        <v>99.9</v>
      </c>
      <c r="M420" s="5" t="str">
        <f ca="1">IF([1]Planilha1!$I420="","",[1]Planilha1!$I420)</f>
        <v/>
      </c>
      <c r="N420" s="2" t="str" cm="1">
        <f t="array" aca="1" ref="N420" ca="1">IFERROR(VALUE(_xlfn.REGEXEXTRACT([1]Planilha1!$E420,"(\d+)\s*MESES",2)),IFERROR(VALUE(_xlfn.REGEXEXTRACT([1]Planilha1!$E420,"por\s*(\d+)\s*M",2)),IF(_xlfn.REGEXTEST([1]Planilha1!$E420,"1[ºª]"),1,"")))</f>
        <v/>
      </c>
      <c r="O420" s="6">
        <f t="shared" ca="1" si="29"/>
        <v>9.9900000000000003E-2</v>
      </c>
      <c r="P420" t="str">
        <f ca="1">IF([1]Planilha1!$J420="","",TRIM([1]Planilha1!$J420))</f>
        <v>GLOBOPLAY</v>
      </c>
      <c r="Q420" s="7">
        <f ca="1">IF($D420="Claro","",IFERROR($L420-VLOOKUP($B420&amp;"|Claro",[1]AUX_CLARO!$A:$C,2,FALSE),""))</f>
        <v>-40</v>
      </c>
      <c r="R420" s="8">
        <f ca="1">IF($D420="Claro","",IFERROR($J420-VLOOKUP($B420&amp;"|Claro",[1]AUX_CLARO!$A:$C,3,FALSE),""))</f>
        <v>400</v>
      </c>
      <c r="S420" t="str">
        <f t="shared" ca="1" si="30"/>
        <v>Claro mais cara</v>
      </c>
      <c r="T420" t="str">
        <f t="shared" ca="1" si="31"/>
        <v>Claro com menor velocidade</v>
      </c>
      <c r="U420" s="9">
        <f t="shared" si="32"/>
        <v>46174</v>
      </c>
      <c r="V420" t="str">
        <f ca="1">IF(OR([1]Planilha1!$B420="",[1]Planilha1!$B420="NÃO MAPEADO"),"",TRIM([1]Planilha1!$B420))</f>
        <v>SUDESTE</v>
      </c>
      <c r="W420" t="str">
        <f ca="1">IF([1]Planilha1!$C420="","",TRIM([1]Planilha1!$C420))</f>
        <v>MD 2</v>
      </c>
      <c r="X420" s="12" t="str">
        <f ca="1">IFERROR(VLOOKUP($C420,[1]Planilha2!$B:$H,7,FALSE),"")</f>
        <v>11900-000</v>
      </c>
    </row>
    <row r="421" spans="1:24" x14ac:dyDescent="0.35">
      <c r="A421" t="str">
        <f ca="1">IF(LEFT(TEXT([1]Planilha1!$L421,"0000000"),1)="5","MS","SP")</f>
        <v>SP</v>
      </c>
      <c r="B421" t="str">
        <f ca="1">IF(RIGHT([1]Planilha1!$A421,5)=" - MS",LEFT([1]Planilha1!$A421,LEN([1]Planilha1!$A421)-5),TRIM([1]Planilha1!$A421))</f>
        <v>REGISTRO</v>
      </c>
      <c r="C421" s="2">
        <f ca="1">[1]Planilha1!$L421</f>
        <v>3542602</v>
      </c>
      <c r="D421" t="str">
        <f>TRIM([1]Planilha1!$D421)</f>
        <v>ISP LOCAL</v>
      </c>
      <c r="E421" t="str">
        <f>IF(TRIM([1]Planilha1!$D421)="Claro","Claro","Concorrente")</f>
        <v>Concorrente</v>
      </c>
      <c r="F421" t="s">
        <v>83</v>
      </c>
      <c r="G421" t="str">
        <f t="shared" ca="1" si="28"/>
        <v>Banda Larga + Conteudo</v>
      </c>
      <c r="H421" t="str">
        <f ca="1">TRIM([1]Planilha1!$E421)</f>
        <v>EXPAND - 800M R$99,90</v>
      </c>
      <c r="I421" t="str">
        <f ca="1">IF([1]Planilha1!$F421="","",TRIM([1]Planilha1!$F421))</f>
        <v>Fibra</v>
      </c>
      <c r="J421" s="3">
        <f ca="1">IF([1]Planilha1!$G421="","",[1]Planilha1!$G421)</f>
        <v>800</v>
      </c>
      <c r="K421" s="4" t="str" cm="1">
        <f t="array" aca="1" ref="K421" ca="1">IFERROR(VALUE(_xlfn.REGEXEXTRACT([1]Planilha1!$E421,"\+\s*(\d+)GB",2)),"")</f>
        <v/>
      </c>
      <c r="L421" s="5">
        <f ca="1">IF([1]Planilha1!$H421="","",[1]Planilha1!$H421)</f>
        <v>99.9</v>
      </c>
      <c r="M421" s="5" t="str">
        <f ca="1">IF([1]Planilha1!$I421="","",[1]Planilha1!$I421)</f>
        <v/>
      </c>
      <c r="N421" s="2" t="str" cm="1">
        <f t="array" aca="1" ref="N421" ca="1">IFERROR(VALUE(_xlfn.REGEXEXTRACT([1]Planilha1!$E421,"(\d+)\s*MESES",2)),IFERROR(VALUE(_xlfn.REGEXEXTRACT([1]Planilha1!$E421,"por\s*(\d+)\s*M",2)),IF(_xlfn.REGEXTEST([1]Planilha1!$E421,"1[ºª]"),1,"")))</f>
        <v/>
      </c>
      <c r="O421" s="6">
        <f t="shared" ca="1" si="29"/>
        <v>0.12487500000000001</v>
      </c>
      <c r="P421" t="str">
        <f ca="1">IF([1]Planilha1!$J421="","",TRIM([1]Planilha1!$J421))</f>
        <v>0</v>
      </c>
      <c r="Q421" s="7">
        <f ca="1">IF($D421="Claro","",IFERROR($L421-VLOOKUP($B421&amp;"|Claro",[1]AUX_CLARO!$A:$C,2,FALSE),""))</f>
        <v>-40</v>
      </c>
      <c r="R421" s="8">
        <f ca="1">IF($D421="Claro","",IFERROR($J421-VLOOKUP($B421&amp;"|Claro",[1]AUX_CLARO!$A:$C,3,FALSE),""))</f>
        <v>200</v>
      </c>
      <c r="S421" t="str">
        <f t="shared" ca="1" si="30"/>
        <v>Claro mais cara</v>
      </c>
      <c r="T421" t="str">
        <f t="shared" ca="1" si="31"/>
        <v>Claro com menor velocidade</v>
      </c>
      <c r="U421" s="9">
        <f t="shared" si="32"/>
        <v>46174</v>
      </c>
      <c r="V421" t="str">
        <f ca="1">IF(OR([1]Planilha1!$B421="",[1]Planilha1!$B421="NÃO MAPEADO"),"",TRIM([1]Planilha1!$B421))</f>
        <v>SUDESTE</v>
      </c>
      <c r="W421" t="str">
        <f ca="1">IF([1]Planilha1!$C421="","",TRIM([1]Planilha1!$C421))</f>
        <v>MD 2</v>
      </c>
      <c r="X421" s="12" t="str">
        <f ca="1">IFERROR(VLOOKUP($C421,[1]Planilha2!$B:$H,7,FALSE),"")</f>
        <v>11900-000</v>
      </c>
    </row>
    <row r="422" spans="1:24" x14ac:dyDescent="0.35">
      <c r="A422" t="str">
        <f ca="1">IF(LEFT(TEXT([1]Planilha1!$L422,"0000000"),1)="5","MS","SP")</f>
        <v>SP</v>
      </c>
      <c r="B422" t="str">
        <f ca="1">IF(RIGHT([1]Planilha1!$A422,5)=" - MS",LEFT([1]Planilha1!$A422,LEN([1]Planilha1!$A422)-5),TRIM([1]Planilha1!$A422))</f>
        <v>RIBEIRAO PRETO</v>
      </c>
      <c r="C422" s="2">
        <f ca="1">[1]Planilha1!$L422</f>
        <v>3543402</v>
      </c>
      <c r="D422" t="str">
        <f>TRIM([1]Planilha1!$D422)</f>
        <v>Claro</v>
      </c>
      <c r="E422" t="str">
        <f>IF(TRIM([1]Planilha1!$D422)="Claro","Claro","Concorrente")</f>
        <v>Claro</v>
      </c>
      <c r="F422" t="s">
        <v>24</v>
      </c>
      <c r="G422" t="str">
        <f t="shared" ca="1" si="28"/>
        <v>Banda Larga + Movel</v>
      </c>
      <c r="H422" t="str">
        <f ca="1">TRIM([1]Planilha1!$E422)</f>
        <v>600M+100GB=R$159,90</v>
      </c>
      <c r="I422" t="str">
        <f ca="1">IF([1]Planilha1!$F422="","",TRIM([1]Planilha1!$F422))</f>
        <v>Fibra</v>
      </c>
      <c r="J422" s="3">
        <f ca="1">IF([1]Planilha1!$G422="","",[1]Planilha1!$G422)</f>
        <v>600</v>
      </c>
      <c r="K422" s="4" cm="1">
        <f t="array" aca="1" ref="K422" ca="1">IFERROR(VALUE(_xlfn.REGEXEXTRACT([1]Planilha1!$E422,"\+\s*(\d+)GB",2)),"")</f>
        <v>100</v>
      </c>
      <c r="L422" s="5">
        <f ca="1">IF([1]Planilha1!$H422="","",[1]Planilha1!$H422)</f>
        <v>159.9</v>
      </c>
      <c r="M422" s="5" t="str">
        <f ca="1">IF([1]Planilha1!$I422="","",[1]Planilha1!$I422)</f>
        <v/>
      </c>
      <c r="N422" s="2" t="str" cm="1">
        <f t="array" aca="1" ref="N422" ca="1">IFERROR(VALUE(_xlfn.REGEXEXTRACT([1]Planilha1!$E422,"(\d+)\s*MESES",2)),IFERROR(VALUE(_xlfn.REGEXEXTRACT([1]Planilha1!$E422,"por\s*(\d+)\s*M",2)),IF(_xlfn.REGEXTEST([1]Planilha1!$E422,"1[ºª]"),1,"")))</f>
        <v/>
      </c>
      <c r="O422" s="6">
        <f t="shared" ca="1" si="29"/>
        <v>0.26650000000000001</v>
      </c>
      <c r="P422" t="str">
        <f ca="1">IF([1]Planilha1!$J422="","",TRIM([1]Planilha1!$J422))</f>
        <v>GLOBOPLAY</v>
      </c>
      <c r="Q422" s="7" t="str">
        <f>IF($D422="Claro","",IFERROR($L422-VLOOKUP($B422&amp;"|Claro",[1]AUX_CLARO!$A:$C,2,FALSE),""))</f>
        <v/>
      </c>
      <c r="R422" s="8" t="str">
        <f>IF($D422="Claro","",IFERROR($J422-VLOOKUP($B422&amp;"|Claro",[1]AUX_CLARO!$A:$C,3,FALSE),""))</f>
        <v/>
      </c>
      <c r="S422" t="str">
        <f t="shared" si="30"/>
        <v/>
      </c>
      <c r="T422" t="str">
        <f t="shared" si="31"/>
        <v/>
      </c>
      <c r="U422" s="9">
        <f t="shared" si="32"/>
        <v>46174</v>
      </c>
      <c r="V422" t="str">
        <f ca="1">IF(OR([1]Planilha1!$B422="",[1]Planilha1!$B422="NÃO MAPEADO"),"",TRIM([1]Planilha1!$B422))</f>
        <v>OESTE</v>
      </c>
      <c r="W422" t="str">
        <f ca="1">IF([1]Planilha1!$C422="","",TRIM([1]Planilha1!$C422))</f>
        <v>PADRÃO</v>
      </c>
      <c r="X422" t="str">
        <f ca="1">IFERROR(VLOOKUP($C422,[1]Planilha2!$B:$H,7,FALSE),"")</f>
        <v>14000-001</v>
      </c>
    </row>
    <row r="423" spans="1:24" x14ac:dyDescent="0.35">
      <c r="A423" t="str">
        <f ca="1">IF(LEFT(TEXT([1]Planilha1!$L423,"0000000"),1)="5","MS","SP")</f>
        <v>SP</v>
      </c>
      <c r="B423" t="str">
        <f ca="1">IF(RIGHT([1]Planilha1!$A423,5)=" - MS",LEFT([1]Planilha1!$A423,LEN([1]Planilha1!$A423)-5),TRIM([1]Planilha1!$A423))</f>
        <v>RIBEIRAO PRETO</v>
      </c>
      <c r="C423" s="2">
        <f ca="1">[1]Planilha1!$L423</f>
        <v>3543402</v>
      </c>
      <c r="D423" t="str">
        <f>TRIM([1]Planilha1!$D423)</f>
        <v>Vivo</v>
      </c>
      <c r="E423" t="str">
        <f>IF(TRIM([1]Planilha1!$D423)="Claro","Claro","Concorrente")</f>
        <v>Concorrente</v>
      </c>
      <c r="F423" t="s">
        <v>25</v>
      </c>
      <c r="G423" t="str">
        <f t="shared" ca="1" si="28"/>
        <v>Banda Larga + Movel</v>
      </c>
      <c r="H423" t="s">
        <v>26</v>
      </c>
      <c r="I423" t="str">
        <f ca="1">IF([1]Planilha1!$F423="","",TRIM([1]Planilha1!$F423))</f>
        <v>Fibra</v>
      </c>
      <c r="J423" s="11" t="s">
        <v>27</v>
      </c>
      <c r="K423" s="4" cm="1">
        <f t="array" aca="1" ref="K423" ca="1">IFERROR(VALUE(_xlfn.REGEXEXTRACT([1]Planilha1!$E423,"\+\s*(\d+)GB",2)),"")</f>
        <v>70</v>
      </c>
      <c r="L423" s="5">
        <v>160</v>
      </c>
      <c r="M423" s="5" t="str">
        <f ca="1">IF([1]Planilha1!$I423="","",[1]Planilha1!$I423)</f>
        <v/>
      </c>
      <c r="N423" s="2" t="str" cm="1">
        <f t="array" aca="1" ref="N423" ca="1">IFERROR(VALUE(_xlfn.REGEXEXTRACT([1]Planilha1!$E423,"(\d+)\s*MESES",2)),IFERROR(VALUE(_xlfn.REGEXEXTRACT([1]Planilha1!$E423,"por\s*(\d+)\s*M",2)),IF(_xlfn.REGEXTEST([1]Planilha1!$E423,"1[ºª]"),1,"")))</f>
        <v/>
      </c>
      <c r="O423" s="6" t="str">
        <f t="shared" si="29"/>
        <v/>
      </c>
      <c r="P423" t="str">
        <f ca="1">IF([1]Planilha1!$J423="","",TRIM([1]Planilha1!$J423))</f>
        <v>0</v>
      </c>
      <c r="Q423" s="7">
        <f ca="1">IF($D423="Claro","",IFERROR($L423-VLOOKUP($B423&amp;"|Claro",[1]AUX_CLARO!$A:$C,2,FALSE),""))</f>
        <v>9.9999999999994316E-2</v>
      </c>
      <c r="R423" s="8" t="str">
        <f ca="1">IF($D423="Claro","",IFERROR($J423-VLOOKUP($B423&amp;"|Claro",[1]AUX_CLARO!$A:$C,3,FALSE),""))</f>
        <v/>
      </c>
      <c r="S423" t="str">
        <f t="shared" ca="1" si="30"/>
        <v>Claro mais barata</v>
      </c>
      <c r="T423" t="str">
        <f t="shared" ca="1" si="31"/>
        <v/>
      </c>
      <c r="U423" s="9">
        <f t="shared" si="32"/>
        <v>46174</v>
      </c>
      <c r="V423" t="str">
        <f ca="1">IF(OR([1]Planilha1!$B423="",[1]Planilha1!$B423="NÃO MAPEADO"),"",TRIM([1]Planilha1!$B423))</f>
        <v>OESTE</v>
      </c>
      <c r="W423" t="str">
        <f ca="1">IF([1]Planilha1!$C423="","",TRIM([1]Planilha1!$C423))</f>
        <v>PADRÃO</v>
      </c>
      <c r="X423" t="str">
        <f ca="1">IFERROR(VLOOKUP($C423,[1]Planilha2!$B:$H,7,FALSE),"")</f>
        <v>14000-001</v>
      </c>
    </row>
    <row r="424" spans="1:24" x14ac:dyDescent="0.35">
      <c r="A424" t="str">
        <f ca="1">IF(LEFT(TEXT([1]Planilha1!$L424,"0000000"),1)="5","MS","SP")</f>
        <v>SP</v>
      </c>
      <c r="B424" t="str">
        <f ca="1">IF(RIGHT([1]Planilha1!$A424,5)=" - MS",LEFT([1]Planilha1!$A424,LEN([1]Planilha1!$A424)-5),TRIM([1]Planilha1!$A424))</f>
        <v>RIBEIRAO PRETO</v>
      </c>
      <c r="C424" s="2">
        <f ca="1">[1]Planilha1!$L424</f>
        <v>3543402</v>
      </c>
      <c r="D424" t="str">
        <f>TRIM([1]Planilha1!$D424)</f>
        <v>Desktop</v>
      </c>
      <c r="E424" t="str">
        <f>IF(TRIM([1]Planilha1!$D424)="Claro","Claro","Concorrente")</f>
        <v>Concorrente</v>
      </c>
      <c r="F424" t="s">
        <v>29</v>
      </c>
      <c r="G424" t="str">
        <f t="shared" ca="1" si="28"/>
        <v>Banda Larga + Conteudo</v>
      </c>
      <c r="H424" t="str">
        <f ca="1">TRIM([1]Planilha1!$E424)</f>
        <v>600M=R$49,99 por 2M, após R$89,99</v>
      </c>
      <c r="I424" t="str">
        <f ca="1">IF([1]Planilha1!$F424="","",TRIM([1]Planilha1!$F424))</f>
        <v>Fibra</v>
      </c>
      <c r="J424" s="3">
        <f ca="1">IF([1]Planilha1!$G424="","",[1]Planilha1!$G424)</f>
        <v>600</v>
      </c>
      <c r="K424" s="4" t="str" cm="1">
        <f t="array" aca="1" ref="K424" ca="1">IFERROR(VALUE(_xlfn.REGEXEXTRACT([1]Planilha1!$E424,"\+\s*(\d+)GB",2)),"")</f>
        <v/>
      </c>
      <c r="L424" s="5">
        <f ca="1">IF([1]Planilha1!$H424="","",[1]Planilha1!$H424)</f>
        <v>89.99</v>
      </c>
      <c r="M424" s="5">
        <f ca="1">IF([1]Planilha1!$I424="","",[1]Planilha1!$I424)</f>
        <v>49.99</v>
      </c>
      <c r="N424" s="2" cm="1">
        <f t="array" aca="1" ref="N424" ca="1">IFERROR(VALUE(_xlfn.REGEXEXTRACT([1]Planilha1!$E424,"(\d+)\s*MESES",2)),IFERROR(VALUE(_xlfn.REGEXEXTRACT([1]Planilha1!$E424,"por\s*(\d+)\s*M",2)),IF(_xlfn.REGEXTEST([1]Planilha1!$E424,"1[ºª]"),1,"")))</f>
        <v>2</v>
      </c>
      <c r="O424" s="6">
        <f t="shared" ca="1" si="29"/>
        <v>0.14998333333333333</v>
      </c>
      <c r="P424" t="str">
        <f ca="1">IF([1]Planilha1!$J424="","",TRIM([1]Planilha1!$J424))</f>
        <v>0</v>
      </c>
      <c r="Q424" s="7">
        <f ca="1">IF($D424="Claro","",IFERROR($L424-VLOOKUP($B424&amp;"|Claro",[1]AUX_CLARO!$A:$C,2,FALSE),""))</f>
        <v>-69.910000000000011</v>
      </c>
      <c r="R424" s="8">
        <f ca="1">IF($D424="Claro","",IFERROR($J424-VLOOKUP($B424&amp;"|Claro",[1]AUX_CLARO!$A:$C,3,FALSE),""))</f>
        <v>0</v>
      </c>
      <c r="S424" t="str">
        <f t="shared" ca="1" si="30"/>
        <v>Claro mais cara</v>
      </c>
      <c r="T424" t="str">
        <f t="shared" ca="1" si="31"/>
        <v>Mesma velocidade</v>
      </c>
      <c r="U424" s="9">
        <f t="shared" si="32"/>
        <v>46174</v>
      </c>
      <c r="V424" t="str">
        <f ca="1">IF(OR([1]Planilha1!$B424="",[1]Planilha1!$B424="NÃO MAPEADO"),"",TRIM([1]Planilha1!$B424))</f>
        <v>OESTE</v>
      </c>
      <c r="W424" t="str">
        <f ca="1">IF([1]Planilha1!$C424="","",TRIM([1]Planilha1!$C424))</f>
        <v>PADRÃO</v>
      </c>
      <c r="X424" t="str">
        <f ca="1">IFERROR(VLOOKUP($C424,[1]Planilha2!$B:$H,7,FALSE),"")</f>
        <v>14000-001</v>
      </c>
    </row>
    <row r="425" spans="1:24" x14ac:dyDescent="0.35">
      <c r="A425" t="str">
        <f ca="1">IF(LEFT(TEXT([1]Planilha1!$L425,"0000000"),1)="5","MS","SP")</f>
        <v>SP</v>
      </c>
      <c r="B425" t="str">
        <f ca="1">IF(RIGHT([1]Planilha1!$A425,5)=" - MS",LEFT([1]Planilha1!$A425,LEN([1]Planilha1!$A425)-5),TRIM([1]Planilha1!$A425))</f>
        <v>RIBEIRAO PRETO</v>
      </c>
      <c r="C425" s="2">
        <f ca="1">[1]Planilha1!$L425</f>
        <v>3543402</v>
      </c>
      <c r="D425" t="str">
        <f>TRIM([1]Planilha1!$D425)</f>
        <v>Algar</v>
      </c>
      <c r="E425" t="str">
        <f>IF(TRIM([1]Planilha1!$D425)="Claro","Claro","Concorrente")</f>
        <v>Concorrente</v>
      </c>
      <c r="F425" t="s">
        <v>38</v>
      </c>
      <c r="G425" t="str">
        <f t="shared" ca="1" si="28"/>
        <v>Banda Larga + Conteudo</v>
      </c>
      <c r="H425" t="str">
        <f ca="1">TRIM([1]Planilha1!$E425)</f>
        <v>800M R$99,90</v>
      </c>
      <c r="I425" t="str">
        <f ca="1">IF([1]Planilha1!$F425="","",TRIM([1]Planilha1!$F425))</f>
        <v>Fibra</v>
      </c>
      <c r="J425" s="3">
        <f ca="1">IF([1]Planilha1!$G425="","",[1]Planilha1!$G425)</f>
        <v>800</v>
      </c>
      <c r="K425" s="4" t="str" cm="1">
        <f t="array" aca="1" ref="K425" ca="1">IFERROR(VALUE(_xlfn.REGEXEXTRACT([1]Planilha1!$E425,"\+\s*(\d+)GB",2)),"")</f>
        <v/>
      </c>
      <c r="L425" s="5">
        <f ca="1">IF([1]Planilha1!$H425="","",[1]Planilha1!$H425)</f>
        <v>99.9</v>
      </c>
      <c r="M425" s="5" t="str">
        <f ca="1">IF([1]Planilha1!$I425="","",[1]Planilha1!$I425)</f>
        <v/>
      </c>
      <c r="N425" s="2" t="str" cm="1">
        <f t="array" aca="1" ref="N425" ca="1">IFERROR(VALUE(_xlfn.REGEXEXTRACT([1]Planilha1!$E425,"(\d+)\s*MESES",2)),IFERROR(VALUE(_xlfn.REGEXEXTRACT([1]Planilha1!$E425,"por\s*(\d+)\s*M",2)),IF(_xlfn.REGEXTEST([1]Planilha1!$E425,"1[ºª]"),1,"")))</f>
        <v/>
      </c>
      <c r="O425" s="6">
        <f t="shared" ca="1" si="29"/>
        <v>0.12487500000000001</v>
      </c>
      <c r="P425" t="str">
        <f ca="1">IF([1]Planilha1!$J425="","",TRIM([1]Planilha1!$J425))</f>
        <v>0</v>
      </c>
      <c r="Q425" s="7">
        <f ca="1">IF($D425="Claro","",IFERROR($L425-VLOOKUP($B425&amp;"|Claro",[1]AUX_CLARO!$A:$C,2,FALSE),""))</f>
        <v>-60</v>
      </c>
      <c r="R425" s="8">
        <f ca="1">IF($D425="Claro","",IFERROR($J425-VLOOKUP($B425&amp;"|Claro",[1]AUX_CLARO!$A:$C,3,FALSE),""))</f>
        <v>200</v>
      </c>
      <c r="S425" t="str">
        <f t="shared" ca="1" si="30"/>
        <v>Claro mais cara</v>
      </c>
      <c r="T425" t="str">
        <f t="shared" ca="1" si="31"/>
        <v>Claro com menor velocidade</v>
      </c>
      <c r="U425" s="9">
        <f t="shared" si="32"/>
        <v>46174</v>
      </c>
      <c r="V425" t="str">
        <f ca="1">IF(OR([1]Planilha1!$B425="",[1]Planilha1!$B425="NÃO MAPEADO"),"",TRIM([1]Planilha1!$B425))</f>
        <v>OESTE</v>
      </c>
      <c r="W425" t="str">
        <f ca="1">IF([1]Planilha1!$C425="","",TRIM([1]Planilha1!$C425))</f>
        <v>PADRÃO</v>
      </c>
      <c r="X425" t="str">
        <f ca="1">IFERROR(VLOOKUP($C425,[1]Planilha2!$B:$H,7,FALSE),"")</f>
        <v>14000-001</v>
      </c>
    </row>
    <row r="426" spans="1:24" x14ac:dyDescent="0.35">
      <c r="A426" t="str">
        <f ca="1">IF(LEFT(TEXT([1]Planilha1!$L426,"0000000"),1)="5","MS","SP")</f>
        <v>SP</v>
      </c>
      <c r="B426" t="str">
        <f ca="1">IF(RIGHT([1]Planilha1!$A426,5)=" - MS",LEFT([1]Planilha1!$A426,LEN([1]Planilha1!$A426)-5),TRIM([1]Planilha1!$A426))</f>
        <v>RIBEIRAO PRETO</v>
      </c>
      <c r="C426" s="2">
        <f ca="1">[1]Planilha1!$L426</f>
        <v>3543402</v>
      </c>
      <c r="D426" t="str">
        <f>TRIM([1]Planilha1!$D426)</f>
        <v>Weclix</v>
      </c>
      <c r="E426" t="str">
        <f>IF(TRIM([1]Planilha1!$D426)="Claro","Claro","Concorrente")</f>
        <v>Concorrente</v>
      </c>
      <c r="F426" t="s">
        <v>34</v>
      </c>
      <c r="G426" t="str">
        <f t="shared" ca="1" si="28"/>
        <v>Banda Larga + Conteudo</v>
      </c>
      <c r="H426" t="str">
        <f ca="1">TRIM([1]Planilha1!$E426)</f>
        <v>1GB R$59,90 - 1ª MENSALIDADE, APÓS R$99,90</v>
      </c>
      <c r="I426" t="str">
        <f ca="1">IF([1]Planilha1!$F426="","",TRIM([1]Planilha1!$F426))</f>
        <v>Fibra</v>
      </c>
      <c r="J426" s="3">
        <f ca="1">IF([1]Planilha1!$G426="","",[1]Planilha1!$G426)</f>
        <v>1000</v>
      </c>
      <c r="K426" s="4" t="str" cm="1">
        <f t="array" aca="1" ref="K426" ca="1">IFERROR(VALUE(_xlfn.REGEXEXTRACT([1]Planilha1!$E426,"\+\s*(\d+)GB",2)),"")</f>
        <v/>
      </c>
      <c r="L426" s="5">
        <f ca="1">IF([1]Planilha1!$H426="","",[1]Planilha1!$H426)</f>
        <v>99.9</v>
      </c>
      <c r="M426" s="5">
        <f ca="1">IF([1]Planilha1!$I426="","",[1]Planilha1!$I426)</f>
        <v>59.9</v>
      </c>
      <c r="N426" s="2" cm="1">
        <f t="array" aca="1" ref="N426" ca="1">IFERROR(VALUE(_xlfn.REGEXEXTRACT([1]Planilha1!$E426,"(\d+)\s*MESES",2)),IFERROR(VALUE(_xlfn.REGEXEXTRACT([1]Planilha1!$E426,"por\s*(\d+)\s*M",2)),IF(_xlfn.REGEXTEST([1]Planilha1!$E426,"1[ºª]"),1,"")))</f>
        <v>1</v>
      </c>
      <c r="O426" s="6">
        <f t="shared" ca="1" si="29"/>
        <v>9.9900000000000003E-2</v>
      </c>
      <c r="P426" t="str">
        <f ca="1">IF([1]Planilha1!$J426="","",TRIM([1]Planilha1!$J426))</f>
        <v>0</v>
      </c>
      <c r="Q426" s="7">
        <f ca="1">IF($D426="Claro","",IFERROR($L426-VLOOKUP($B426&amp;"|Claro",[1]AUX_CLARO!$A:$C,2,FALSE),""))</f>
        <v>-60</v>
      </c>
      <c r="R426" s="8">
        <f ca="1">IF($D426="Claro","",IFERROR($J426-VLOOKUP($B426&amp;"|Claro",[1]AUX_CLARO!$A:$C,3,FALSE),""))</f>
        <v>400</v>
      </c>
      <c r="S426" t="str">
        <f t="shared" ca="1" si="30"/>
        <v>Claro mais cara</v>
      </c>
      <c r="T426" t="str">
        <f t="shared" ca="1" si="31"/>
        <v>Claro com menor velocidade</v>
      </c>
      <c r="U426" s="9">
        <f t="shared" si="32"/>
        <v>46174</v>
      </c>
      <c r="V426" t="str">
        <f ca="1">IF(OR([1]Planilha1!$B426="",[1]Planilha1!$B426="NÃO MAPEADO"),"",TRIM([1]Planilha1!$B426))</f>
        <v>OESTE</v>
      </c>
      <c r="W426" t="str">
        <f ca="1">IF([1]Planilha1!$C426="","",TRIM([1]Planilha1!$C426))</f>
        <v>PADRÃO</v>
      </c>
      <c r="X426" t="str">
        <f ca="1">IFERROR(VLOOKUP($C426,[1]Planilha2!$B:$H,7,FALSE),"")</f>
        <v>14000-001</v>
      </c>
    </row>
    <row r="427" spans="1:24" x14ac:dyDescent="0.35">
      <c r="A427" t="str">
        <f ca="1">IF(LEFT(TEXT([1]Planilha1!$L427,"0000000"),1)="5","MS","SP")</f>
        <v>SP</v>
      </c>
      <c r="B427" t="str">
        <f ca="1">IF(RIGHT([1]Planilha1!$A427,5)=" - MS",LEFT([1]Planilha1!$A427,LEN([1]Planilha1!$A427)-5),TRIM([1]Planilha1!$A427))</f>
        <v>RIBEIRAO PRETO</v>
      </c>
      <c r="C427" s="2">
        <f ca="1">[1]Planilha1!$L427</f>
        <v>3543402</v>
      </c>
      <c r="D427" t="str">
        <f>TRIM([1]Planilha1!$D427)</f>
        <v>ISP LOCAL</v>
      </c>
      <c r="E427" t="str">
        <f>IF(TRIM([1]Planilha1!$D427)="Claro","Claro","Concorrente")</f>
        <v>Concorrente</v>
      </c>
      <c r="F427" t="s">
        <v>45</v>
      </c>
      <c r="G427" t="str">
        <f t="shared" ca="1" si="28"/>
        <v>Banda Larga + Conteudo</v>
      </c>
      <c r="H427" t="str">
        <f ca="1">TRIM([1]Planilha1!$E427)</f>
        <v>ALCANS - 1GB R$109,00</v>
      </c>
      <c r="I427" t="str">
        <f ca="1">IF([1]Planilha1!$F427="","",TRIM([1]Planilha1!$F427))</f>
        <v>Fibra</v>
      </c>
      <c r="J427" s="3">
        <f ca="1">IF([1]Planilha1!$G427="","",[1]Planilha1!$G427)</f>
        <v>1000</v>
      </c>
      <c r="K427" s="4" t="str" cm="1">
        <f t="array" aca="1" ref="K427" ca="1">IFERROR(VALUE(_xlfn.REGEXEXTRACT([1]Planilha1!$E427,"\+\s*(\d+)GB",2)),"")</f>
        <v/>
      </c>
      <c r="L427" s="5">
        <f ca="1">IF([1]Planilha1!$H427="","",[1]Planilha1!$H427)</f>
        <v>109</v>
      </c>
      <c r="M427" s="5" t="str">
        <f ca="1">IF([1]Planilha1!$I427="","",[1]Planilha1!$I427)</f>
        <v/>
      </c>
      <c r="N427" s="2" t="str" cm="1">
        <f t="array" aca="1" ref="N427" ca="1">IFERROR(VALUE(_xlfn.REGEXEXTRACT([1]Planilha1!$E427,"(\d+)\s*MESES",2)),IFERROR(VALUE(_xlfn.REGEXEXTRACT([1]Planilha1!$E427,"por\s*(\d+)\s*M",2)),IF(_xlfn.REGEXTEST([1]Planilha1!$E427,"1[ºª]"),1,"")))</f>
        <v/>
      </c>
      <c r="O427" s="6">
        <f t="shared" ca="1" si="29"/>
        <v>0.109</v>
      </c>
      <c r="P427" t="str">
        <f ca="1">IF([1]Planilha1!$J427="","",TRIM([1]Planilha1!$J427))</f>
        <v>0</v>
      </c>
      <c r="Q427" s="7">
        <f ca="1">IF($D427="Claro","",IFERROR($L427-VLOOKUP($B427&amp;"|Claro",[1]AUX_CLARO!$A:$C,2,FALSE),""))</f>
        <v>-50.900000000000006</v>
      </c>
      <c r="R427" s="8">
        <f ca="1">IF($D427="Claro","",IFERROR($J427-VLOOKUP($B427&amp;"|Claro",[1]AUX_CLARO!$A:$C,3,FALSE),""))</f>
        <v>400</v>
      </c>
      <c r="S427" t="str">
        <f t="shared" ca="1" si="30"/>
        <v>Claro mais cara</v>
      </c>
      <c r="T427" t="str">
        <f t="shared" ca="1" si="31"/>
        <v>Claro com menor velocidade</v>
      </c>
      <c r="U427" s="9">
        <f t="shared" si="32"/>
        <v>46174</v>
      </c>
      <c r="V427" t="str">
        <f ca="1">IF(OR([1]Planilha1!$B427="",[1]Planilha1!$B427="NÃO MAPEADO"),"",TRIM([1]Planilha1!$B427))</f>
        <v>OESTE</v>
      </c>
      <c r="W427" t="str">
        <f ca="1">IF([1]Planilha1!$C427="","",TRIM([1]Planilha1!$C427))</f>
        <v>PADRÃO</v>
      </c>
      <c r="X427" t="str">
        <f ca="1">IFERROR(VLOOKUP($C427,[1]Planilha2!$B:$H,7,FALSE),"")</f>
        <v>14000-001</v>
      </c>
    </row>
    <row r="428" spans="1:24" x14ac:dyDescent="0.35">
      <c r="A428" t="str">
        <f ca="1">IF(LEFT(TEXT([1]Planilha1!$L428,"0000000"),1)="5","MS","SP")</f>
        <v>SP</v>
      </c>
      <c r="B428" t="str">
        <f ca="1">IF(RIGHT([1]Planilha1!$A428,5)=" - MS",LEFT([1]Planilha1!$A428,LEN([1]Planilha1!$A428)-5),TRIM([1]Planilha1!$A428))</f>
        <v>RIO CLARO</v>
      </c>
      <c r="C428" s="2">
        <f ca="1">[1]Planilha1!$L428</f>
        <v>3543907</v>
      </c>
      <c r="D428" t="str">
        <f>TRIM([1]Planilha1!$D428)</f>
        <v>Claro</v>
      </c>
      <c r="E428" t="str">
        <f>IF(TRIM([1]Planilha1!$D428)="Claro","Claro","Concorrente")</f>
        <v>Claro</v>
      </c>
      <c r="F428" t="s">
        <v>24</v>
      </c>
      <c r="G428" t="str">
        <f t="shared" ca="1" si="28"/>
        <v>Banda Larga + Movel</v>
      </c>
      <c r="H428" t="str">
        <f ca="1">TRIM([1]Planilha1!$E428)</f>
        <v>600M+100GB=R$159,90</v>
      </c>
      <c r="I428" t="str">
        <f ca="1">IF([1]Planilha1!$F428="","",TRIM([1]Planilha1!$F428))</f>
        <v>Fibra</v>
      </c>
      <c r="J428" s="3">
        <f ca="1">IF([1]Planilha1!$G428="","",[1]Planilha1!$G428)</f>
        <v>600</v>
      </c>
      <c r="K428" s="4" cm="1">
        <f t="array" aca="1" ref="K428" ca="1">IFERROR(VALUE(_xlfn.REGEXEXTRACT([1]Planilha1!$E428,"\+\s*(\d+)GB",2)),"")</f>
        <v>100</v>
      </c>
      <c r="L428" s="5">
        <f ca="1">IF([1]Planilha1!$H428="","",[1]Planilha1!$H428)</f>
        <v>159.9</v>
      </c>
      <c r="M428" s="5" t="str">
        <f ca="1">IF([1]Planilha1!$I428="","",[1]Planilha1!$I428)</f>
        <v/>
      </c>
      <c r="N428" s="2" t="str" cm="1">
        <f t="array" aca="1" ref="N428" ca="1">IFERROR(VALUE(_xlfn.REGEXEXTRACT([1]Planilha1!$E428,"(\d+)\s*MESES",2)),IFERROR(VALUE(_xlfn.REGEXEXTRACT([1]Planilha1!$E428,"por\s*(\d+)\s*M",2)),IF(_xlfn.REGEXTEST([1]Planilha1!$E428,"1[ºª]"),1,"")))</f>
        <v/>
      </c>
      <c r="O428" s="6">
        <f t="shared" ca="1" si="29"/>
        <v>0.26650000000000001</v>
      </c>
      <c r="P428" t="str">
        <f ca="1">IF([1]Planilha1!$J428="","",TRIM([1]Planilha1!$J428))</f>
        <v>GLOBOPLAY</v>
      </c>
      <c r="Q428" s="7" t="str">
        <f>IF($D428="Claro","",IFERROR($L428-VLOOKUP($B428&amp;"|Claro",[1]AUX_CLARO!$A:$C,2,FALSE),""))</f>
        <v/>
      </c>
      <c r="R428" s="8" t="str">
        <f>IF($D428="Claro","",IFERROR($J428-VLOOKUP($B428&amp;"|Claro",[1]AUX_CLARO!$A:$C,3,FALSE),""))</f>
        <v/>
      </c>
      <c r="S428" t="str">
        <f t="shared" si="30"/>
        <v/>
      </c>
      <c r="T428" t="str">
        <f t="shared" si="31"/>
        <v/>
      </c>
      <c r="U428" s="9">
        <f t="shared" si="32"/>
        <v>46174</v>
      </c>
      <c r="V428" t="str">
        <f ca="1">IF(OR([1]Planilha1!$B428="",[1]Planilha1!$B428="NÃO MAPEADO"),"",TRIM([1]Planilha1!$B428))</f>
        <v>CENTRAL</v>
      </c>
      <c r="W428" t="str">
        <f ca="1">IF([1]Planilha1!$C428="","",TRIM([1]Planilha1!$C428))</f>
        <v>PADRÃO</v>
      </c>
      <c r="X428" t="str">
        <f ca="1">IFERROR(VLOOKUP($C428,[1]Planilha2!$B:$H,7,FALSE),"")</f>
        <v>13500-001</v>
      </c>
    </row>
    <row r="429" spans="1:24" x14ac:dyDescent="0.35">
      <c r="A429" t="str">
        <f ca="1">IF(LEFT(TEXT([1]Planilha1!$L429,"0000000"),1)="5","MS","SP")</f>
        <v>SP</v>
      </c>
      <c r="B429" t="str">
        <f ca="1">IF(RIGHT([1]Planilha1!$A429,5)=" - MS",LEFT([1]Planilha1!$A429,LEN([1]Planilha1!$A429)-5),TRIM([1]Planilha1!$A429))</f>
        <v>RIO CLARO</v>
      </c>
      <c r="C429" s="2">
        <f ca="1">[1]Planilha1!$L429</f>
        <v>3543907</v>
      </c>
      <c r="D429" t="str">
        <f>TRIM([1]Planilha1!$D429)</f>
        <v>Vivo</v>
      </c>
      <c r="E429" t="str">
        <f>IF(TRIM([1]Planilha1!$D429)="Claro","Claro","Concorrente")</f>
        <v>Concorrente</v>
      </c>
      <c r="F429" t="s">
        <v>25</v>
      </c>
      <c r="G429" t="str">
        <f t="shared" ca="1" si="28"/>
        <v>Banda Larga + Movel</v>
      </c>
      <c r="H429" t="s">
        <v>26</v>
      </c>
      <c r="I429" t="str">
        <f ca="1">IF([1]Planilha1!$F429="","",TRIM([1]Planilha1!$F429))</f>
        <v>Fibra</v>
      </c>
      <c r="J429" s="11" t="s">
        <v>27</v>
      </c>
      <c r="K429" s="4" cm="1">
        <f t="array" aca="1" ref="K429" ca="1">IFERROR(VALUE(_xlfn.REGEXEXTRACT([1]Planilha1!$E429,"\+\s*(\d+)GB",2)),"")</f>
        <v>70</v>
      </c>
      <c r="L429" s="5">
        <v>160</v>
      </c>
      <c r="M429" s="5" t="str">
        <f ca="1">IF([1]Planilha1!$I429="","",[1]Planilha1!$I429)</f>
        <v/>
      </c>
      <c r="N429" s="2" t="str" cm="1">
        <f t="array" aca="1" ref="N429" ca="1">IFERROR(VALUE(_xlfn.REGEXEXTRACT([1]Planilha1!$E429,"(\d+)\s*MESES",2)),IFERROR(VALUE(_xlfn.REGEXEXTRACT([1]Planilha1!$E429,"por\s*(\d+)\s*M",2)),IF(_xlfn.REGEXTEST([1]Planilha1!$E429,"1[ºª]"),1,"")))</f>
        <v/>
      </c>
      <c r="O429" s="6" t="str">
        <f t="shared" si="29"/>
        <v/>
      </c>
      <c r="P429" t="str">
        <f ca="1">IF([1]Planilha1!$J429="","",TRIM([1]Planilha1!$J429))</f>
        <v>0</v>
      </c>
      <c r="Q429" s="7">
        <f ca="1">IF($D429="Claro","",IFERROR($L429-VLOOKUP($B429&amp;"|Claro",[1]AUX_CLARO!$A:$C,2,FALSE),""))</f>
        <v>9.9999999999994316E-2</v>
      </c>
      <c r="R429" s="8" t="str">
        <f ca="1">IF($D429="Claro","",IFERROR($J429-VLOOKUP($B429&amp;"|Claro",[1]AUX_CLARO!$A:$C,3,FALSE),""))</f>
        <v/>
      </c>
      <c r="S429" t="str">
        <f t="shared" ca="1" si="30"/>
        <v>Claro mais barata</v>
      </c>
      <c r="T429" t="str">
        <f t="shared" ca="1" si="31"/>
        <v/>
      </c>
      <c r="U429" s="9">
        <f t="shared" si="32"/>
        <v>46174</v>
      </c>
      <c r="V429" t="str">
        <f ca="1">IF(OR([1]Planilha1!$B429="",[1]Planilha1!$B429="NÃO MAPEADO"),"",TRIM([1]Planilha1!$B429))</f>
        <v>CENTRAL</v>
      </c>
      <c r="W429" t="str">
        <f ca="1">IF([1]Planilha1!$C429="","",TRIM([1]Planilha1!$C429))</f>
        <v>PADRÃO</v>
      </c>
      <c r="X429" t="str">
        <f ca="1">IFERROR(VLOOKUP($C429,[1]Planilha2!$B:$H,7,FALSE),"")</f>
        <v>13500-001</v>
      </c>
    </row>
    <row r="430" spans="1:24" x14ac:dyDescent="0.35">
      <c r="A430" t="str">
        <f ca="1">IF(LEFT(TEXT([1]Planilha1!$L430,"0000000"),1)="5","MS","SP")</f>
        <v>SP</v>
      </c>
      <c r="B430" t="str">
        <f ca="1">IF(RIGHT([1]Planilha1!$A430,5)=" - MS",LEFT([1]Planilha1!$A430,LEN([1]Planilha1!$A430)-5),TRIM([1]Planilha1!$A430))</f>
        <v>RIO CLARO</v>
      </c>
      <c r="C430" s="2">
        <f ca="1">[1]Planilha1!$L430</f>
        <v>3543907</v>
      </c>
      <c r="D430" t="str">
        <f>TRIM([1]Planilha1!$D430)</f>
        <v>Desktop</v>
      </c>
      <c r="E430" t="str">
        <f>IF(TRIM([1]Planilha1!$D430)="Claro","Claro","Concorrente")</f>
        <v>Concorrente</v>
      </c>
      <c r="F430" t="s">
        <v>29</v>
      </c>
      <c r="G430" t="str">
        <f t="shared" ca="1" si="28"/>
        <v>Banda Larga + Conteudo</v>
      </c>
      <c r="H430" t="str">
        <f ca="1">TRIM([1]Planilha1!$E430)</f>
        <v>600M=R$49,99 por 2M, após R$89,99</v>
      </c>
      <c r="I430" t="str">
        <f ca="1">IF([1]Planilha1!$F430="","",TRIM([1]Planilha1!$F430))</f>
        <v>Fibra</v>
      </c>
      <c r="J430" s="3">
        <f ca="1">IF([1]Planilha1!$G430="","",[1]Planilha1!$G430)</f>
        <v>600</v>
      </c>
      <c r="K430" s="4" t="str" cm="1">
        <f t="array" aca="1" ref="K430" ca="1">IFERROR(VALUE(_xlfn.REGEXEXTRACT([1]Planilha1!$E430,"\+\s*(\d+)GB",2)),"")</f>
        <v/>
      </c>
      <c r="L430" s="5">
        <f ca="1">IF([1]Planilha1!$H430="","",[1]Planilha1!$H430)</f>
        <v>89.99</v>
      </c>
      <c r="M430" s="5">
        <f ca="1">IF([1]Planilha1!$I430="","",[1]Planilha1!$I430)</f>
        <v>49.99</v>
      </c>
      <c r="N430" s="2" cm="1">
        <f t="array" aca="1" ref="N430" ca="1">IFERROR(VALUE(_xlfn.REGEXEXTRACT([1]Planilha1!$E430,"(\d+)\s*MESES",2)),IFERROR(VALUE(_xlfn.REGEXEXTRACT([1]Planilha1!$E430,"por\s*(\d+)\s*M",2)),IF(_xlfn.REGEXTEST([1]Planilha1!$E430,"1[ºª]"),1,"")))</f>
        <v>2</v>
      </c>
      <c r="O430" s="6">
        <f t="shared" ca="1" si="29"/>
        <v>0.14998333333333333</v>
      </c>
      <c r="P430" t="str">
        <f ca="1">IF([1]Planilha1!$J430="","",TRIM([1]Planilha1!$J430))</f>
        <v>0</v>
      </c>
      <c r="Q430" s="7">
        <f ca="1">IF($D430="Claro","",IFERROR($L430-VLOOKUP($B430&amp;"|Claro",[1]AUX_CLARO!$A:$C,2,FALSE),""))</f>
        <v>-69.910000000000011</v>
      </c>
      <c r="R430" s="8">
        <f ca="1">IF($D430="Claro","",IFERROR($J430-VLOOKUP($B430&amp;"|Claro",[1]AUX_CLARO!$A:$C,3,FALSE),""))</f>
        <v>0</v>
      </c>
      <c r="S430" t="str">
        <f t="shared" ca="1" si="30"/>
        <v>Claro mais cara</v>
      </c>
      <c r="T430" t="str">
        <f t="shared" ca="1" si="31"/>
        <v>Mesma velocidade</v>
      </c>
      <c r="U430" s="9">
        <f t="shared" si="32"/>
        <v>46174</v>
      </c>
      <c r="V430" t="str">
        <f ca="1">IF(OR([1]Planilha1!$B430="",[1]Planilha1!$B430="NÃO MAPEADO"),"",TRIM([1]Planilha1!$B430))</f>
        <v>CENTRAL</v>
      </c>
      <c r="W430" t="str">
        <f ca="1">IF([1]Planilha1!$C430="","",TRIM([1]Planilha1!$C430))</f>
        <v>PADRÃO</v>
      </c>
      <c r="X430" t="str">
        <f ca="1">IFERROR(VLOOKUP($C430,[1]Planilha2!$B:$H,7,FALSE),"")</f>
        <v>13500-001</v>
      </c>
    </row>
    <row r="431" spans="1:24" x14ac:dyDescent="0.35">
      <c r="A431" t="str">
        <f ca="1">IF(LEFT(TEXT([1]Planilha1!$L431,"0000000"),1)="5","MS","SP")</f>
        <v>SP</v>
      </c>
      <c r="B431" t="str">
        <f ca="1">IF(RIGHT([1]Planilha1!$A431,5)=" - MS",LEFT([1]Planilha1!$A431,LEN([1]Planilha1!$A431)-5),TRIM([1]Planilha1!$A431))</f>
        <v>RIO CLARO</v>
      </c>
      <c r="C431" s="2">
        <f ca="1">[1]Planilha1!$L431</f>
        <v>3543907</v>
      </c>
      <c r="D431" t="str">
        <f>TRIM([1]Planilha1!$D431)</f>
        <v>Alares</v>
      </c>
      <c r="E431" t="str">
        <f>IF(TRIM([1]Planilha1!$D431)="Claro","Claro","Concorrente")</f>
        <v>Concorrente</v>
      </c>
      <c r="F431" t="s">
        <v>32</v>
      </c>
      <c r="G431" t="str">
        <f t="shared" ca="1" si="28"/>
        <v>Banda Larga + Conteudo</v>
      </c>
      <c r="H431" t="str">
        <f ca="1">TRIM([1]Planilha1!$E431)</f>
        <v>1GB + GLOBOPLAY R$99,90</v>
      </c>
      <c r="I431" t="str">
        <f ca="1">IF([1]Planilha1!$F431="","",TRIM([1]Planilha1!$F431))</f>
        <v>Fibra</v>
      </c>
      <c r="J431" s="3">
        <f ca="1">IF([1]Planilha1!$G431="","",[1]Planilha1!$G431)</f>
        <v>1000</v>
      </c>
      <c r="K431" s="4" t="str" cm="1">
        <f t="array" aca="1" ref="K431" ca="1">IFERROR(VALUE(_xlfn.REGEXEXTRACT([1]Planilha1!$E431,"\+\s*(\d+)GB",2)),"")</f>
        <v/>
      </c>
      <c r="L431" s="5">
        <f ca="1">IF([1]Planilha1!$H431="","",[1]Planilha1!$H431)</f>
        <v>99.9</v>
      </c>
      <c r="M431" s="5" t="str">
        <f ca="1">IF([1]Planilha1!$I431="","",[1]Planilha1!$I431)</f>
        <v/>
      </c>
      <c r="N431" s="2" t="str" cm="1">
        <f t="array" aca="1" ref="N431" ca="1">IFERROR(VALUE(_xlfn.REGEXEXTRACT([1]Planilha1!$E431,"(\d+)\s*MESES",2)),IFERROR(VALUE(_xlfn.REGEXEXTRACT([1]Planilha1!$E431,"por\s*(\d+)\s*M",2)),IF(_xlfn.REGEXTEST([1]Planilha1!$E431,"1[ºª]"),1,"")))</f>
        <v/>
      </c>
      <c r="O431" s="6">
        <f t="shared" ca="1" si="29"/>
        <v>9.9900000000000003E-2</v>
      </c>
      <c r="P431" t="str">
        <f ca="1">IF([1]Planilha1!$J431="","",TRIM([1]Planilha1!$J431))</f>
        <v>GLOBOPLAY</v>
      </c>
      <c r="Q431" s="7">
        <f ca="1">IF($D431="Claro","",IFERROR($L431-VLOOKUP($B431&amp;"|Claro",[1]AUX_CLARO!$A:$C,2,FALSE),""))</f>
        <v>-60</v>
      </c>
      <c r="R431" s="8">
        <f ca="1">IF($D431="Claro","",IFERROR($J431-VLOOKUP($B431&amp;"|Claro",[1]AUX_CLARO!$A:$C,3,FALSE),""))</f>
        <v>400</v>
      </c>
      <c r="S431" t="str">
        <f t="shared" ca="1" si="30"/>
        <v>Claro mais cara</v>
      </c>
      <c r="T431" t="str">
        <f t="shared" ca="1" si="31"/>
        <v>Claro com menor velocidade</v>
      </c>
      <c r="U431" s="9">
        <f t="shared" si="32"/>
        <v>46174</v>
      </c>
      <c r="V431" t="str">
        <f ca="1">IF(OR([1]Planilha1!$B431="",[1]Planilha1!$B431="NÃO MAPEADO"),"",TRIM([1]Planilha1!$B431))</f>
        <v>CENTRAL</v>
      </c>
      <c r="W431" t="str">
        <f ca="1">IF([1]Planilha1!$C431="","",TRIM([1]Planilha1!$C431))</f>
        <v>PADRÃO</v>
      </c>
      <c r="X431" t="str">
        <f ca="1">IFERROR(VLOOKUP($C431,[1]Planilha2!$B:$H,7,FALSE),"")</f>
        <v>13500-001</v>
      </c>
    </row>
    <row r="432" spans="1:24" x14ac:dyDescent="0.35">
      <c r="A432" t="str">
        <f ca="1">IF(LEFT(TEXT([1]Planilha1!$L432,"0000000"),1)="5","MS","SP")</f>
        <v>SP</v>
      </c>
      <c r="B432" t="str">
        <f ca="1">IF(RIGHT([1]Planilha1!$A432,5)=" - MS",LEFT([1]Planilha1!$A432,LEN([1]Planilha1!$A432)-5),TRIM([1]Planilha1!$A432))</f>
        <v>RIO CLARO</v>
      </c>
      <c r="C432" s="2">
        <f ca="1">[1]Planilha1!$L432</f>
        <v>3543907</v>
      </c>
      <c r="D432" t="str">
        <f>TRIM([1]Planilha1!$D432)</f>
        <v>ISP LOCAL</v>
      </c>
      <c r="E432" t="str">
        <f>IF(TRIM([1]Planilha1!$D432)="Claro","Claro","Concorrente")</f>
        <v>Concorrente</v>
      </c>
      <c r="F432" t="s">
        <v>84</v>
      </c>
      <c r="G432" t="str">
        <f t="shared" ca="1" si="28"/>
        <v>Banda Larga + Conteudo</v>
      </c>
      <c r="H432" t="str">
        <f ca="1">TRIM([1]Planilha1!$E432)</f>
        <v>TALKLINK - 700M R$99,90, 2 MESES, APÓS R$139,90</v>
      </c>
      <c r="I432" t="str">
        <f ca="1">IF([1]Planilha1!$F432="","",TRIM([1]Planilha1!$F432))</f>
        <v>Fibra</v>
      </c>
      <c r="J432" s="3">
        <f ca="1">IF([1]Planilha1!$G432="","",[1]Planilha1!$G432)</f>
        <v>700</v>
      </c>
      <c r="K432" s="4" t="str" cm="1">
        <f t="array" aca="1" ref="K432" ca="1">IFERROR(VALUE(_xlfn.REGEXEXTRACT([1]Planilha1!$E432,"\+\s*(\d+)GB",2)),"")</f>
        <v/>
      </c>
      <c r="L432" s="5">
        <f ca="1">IF([1]Planilha1!$H432="","",[1]Planilha1!$H432)</f>
        <v>139.9</v>
      </c>
      <c r="M432" s="5">
        <f ca="1">IF([1]Planilha1!$I432="","",[1]Planilha1!$I432)</f>
        <v>99.9</v>
      </c>
      <c r="N432" s="2" cm="1">
        <f t="array" aca="1" ref="N432" ca="1">IFERROR(VALUE(_xlfn.REGEXEXTRACT([1]Planilha1!$E432,"(\d+)\s*MESES",2)),IFERROR(VALUE(_xlfn.REGEXEXTRACT([1]Planilha1!$E432,"por\s*(\d+)\s*M",2)),IF(_xlfn.REGEXTEST([1]Planilha1!$E432,"1[ºª]"),1,"")))</f>
        <v>2</v>
      </c>
      <c r="O432" s="6">
        <f t="shared" ca="1" si="29"/>
        <v>0.19985714285714287</v>
      </c>
      <c r="P432" t="str">
        <f ca="1">IF([1]Planilha1!$J432="","",TRIM([1]Planilha1!$J432))</f>
        <v>0</v>
      </c>
      <c r="Q432" s="7">
        <f ca="1">IF($D432="Claro","",IFERROR($L432-VLOOKUP($B432&amp;"|Claro",[1]AUX_CLARO!$A:$C,2,FALSE),""))</f>
        <v>-20</v>
      </c>
      <c r="R432" s="8">
        <f ca="1">IF($D432="Claro","",IFERROR($J432-VLOOKUP($B432&amp;"|Claro",[1]AUX_CLARO!$A:$C,3,FALSE),""))</f>
        <v>100</v>
      </c>
      <c r="S432" t="str">
        <f t="shared" ca="1" si="30"/>
        <v>Claro mais cara</v>
      </c>
      <c r="T432" t="str">
        <f t="shared" ca="1" si="31"/>
        <v>Claro com menor velocidade</v>
      </c>
      <c r="U432" s="9">
        <f t="shared" si="32"/>
        <v>46174</v>
      </c>
      <c r="V432" t="str">
        <f ca="1">IF(OR([1]Planilha1!$B432="",[1]Planilha1!$B432="NÃO MAPEADO"),"",TRIM([1]Planilha1!$B432))</f>
        <v>CENTRAL</v>
      </c>
      <c r="W432" t="str">
        <f ca="1">IF([1]Planilha1!$C432="","",TRIM([1]Planilha1!$C432))</f>
        <v>PADRÃO</v>
      </c>
      <c r="X432" t="str">
        <f ca="1">IFERROR(VLOOKUP($C432,[1]Planilha2!$B:$H,7,FALSE),"")</f>
        <v>13500-001</v>
      </c>
    </row>
    <row r="433" spans="1:24" x14ac:dyDescent="0.35">
      <c r="A433" t="str">
        <f ca="1">IF(LEFT(TEXT([1]Planilha1!$L433,"0000000"),1)="5","MS","SP")</f>
        <v>SP</v>
      </c>
      <c r="B433" t="str">
        <f ca="1">IF(RIGHT([1]Planilha1!$A433,5)=" - MS",LEFT([1]Planilha1!$A433,LEN([1]Planilha1!$A433)-5),TRIM([1]Planilha1!$A433))</f>
        <v>SANTA BARBARA D OESTE</v>
      </c>
      <c r="C433" s="2">
        <f ca="1">[1]Planilha1!$L433</f>
        <v>3545803</v>
      </c>
      <c r="D433" t="str">
        <f>TRIM([1]Planilha1!$D433)</f>
        <v>Claro</v>
      </c>
      <c r="E433" t="str">
        <f>IF(TRIM([1]Planilha1!$D433)="Claro","Claro","Concorrente")</f>
        <v>Claro</v>
      </c>
      <c r="F433" t="s">
        <v>24</v>
      </c>
      <c r="G433" t="str">
        <f t="shared" ca="1" si="28"/>
        <v>Banda Larga + Movel</v>
      </c>
      <c r="H433" t="str">
        <f ca="1">TRIM([1]Planilha1!$E433)</f>
        <v>600M+100GB=R$159,90</v>
      </c>
      <c r="I433" t="str">
        <f ca="1">IF([1]Planilha1!$F433="","",TRIM([1]Planilha1!$F433))</f>
        <v>Fibra</v>
      </c>
      <c r="J433" s="3">
        <f ca="1">IF([1]Planilha1!$G433="","",[1]Planilha1!$G433)</f>
        <v>600</v>
      </c>
      <c r="K433" s="4" cm="1">
        <f t="array" aca="1" ref="K433" ca="1">IFERROR(VALUE(_xlfn.REGEXEXTRACT([1]Planilha1!$E433,"\+\s*(\d+)GB",2)),"")</f>
        <v>100</v>
      </c>
      <c r="L433" s="5">
        <f ca="1">IF([1]Planilha1!$H433="","",[1]Planilha1!$H433)</f>
        <v>159.9</v>
      </c>
      <c r="M433" s="5" t="str">
        <f ca="1">IF([1]Planilha1!$I433="","",[1]Planilha1!$I433)</f>
        <v/>
      </c>
      <c r="N433" s="2" t="str" cm="1">
        <f t="array" aca="1" ref="N433" ca="1">IFERROR(VALUE(_xlfn.REGEXEXTRACT([1]Planilha1!$E433,"(\d+)\s*MESES",2)),IFERROR(VALUE(_xlfn.REGEXEXTRACT([1]Planilha1!$E433,"por\s*(\d+)\s*M",2)),IF(_xlfn.REGEXTEST([1]Planilha1!$E433,"1[ºª]"),1,"")))</f>
        <v/>
      </c>
      <c r="O433" s="6">
        <f t="shared" ca="1" si="29"/>
        <v>0.26650000000000001</v>
      </c>
      <c r="P433" t="str">
        <f ca="1">IF([1]Planilha1!$J433="","",TRIM([1]Planilha1!$J433))</f>
        <v>GLOBOPLAY</v>
      </c>
      <c r="Q433" s="7" t="str">
        <f>IF($D433="Claro","",IFERROR($L433-VLOOKUP($B433&amp;"|Claro",[1]AUX_CLARO!$A:$C,2,FALSE),""))</f>
        <v/>
      </c>
      <c r="R433" s="8" t="str">
        <f>IF($D433="Claro","",IFERROR($J433-VLOOKUP($B433&amp;"|Claro",[1]AUX_CLARO!$A:$C,3,FALSE),""))</f>
        <v/>
      </c>
      <c r="S433" t="str">
        <f t="shared" si="30"/>
        <v/>
      </c>
      <c r="T433" t="str">
        <f t="shared" si="31"/>
        <v/>
      </c>
      <c r="U433" s="9">
        <f t="shared" si="32"/>
        <v>46174</v>
      </c>
      <c r="V433" t="str">
        <f ca="1">IF(OR([1]Planilha1!$B433="",[1]Planilha1!$B433="NÃO MAPEADO"),"",TRIM([1]Planilha1!$B433))</f>
        <v>CENTRAL</v>
      </c>
      <c r="W433" t="str">
        <f ca="1">IF([1]Planilha1!$C433="","",TRIM([1]Planilha1!$C433))</f>
        <v>PADRÃO</v>
      </c>
      <c r="X433" t="str">
        <f ca="1">IFERROR(VLOOKUP($C433,[1]Planilha2!$B:$H,7,FALSE),"")</f>
        <v>13450-001</v>
      </c>
    </row>
    <row r="434" spans="1:24" x14ac:dyDescent="0.35">
      <c r="A434" t="str">
        <f ca="1">IF(LEFT(TEXT([1]Planilha1!$L434,"0000000"),1)="5","MS","SP")</f>
        <v>SP</v>
      </c>
      <c r="B434" t="str">
        <f ca="1">IF(RIGHT([1]Planilha1!$A434,5)=" - MS",LEFT([1]Planilha1!$A434,LEN([1]Planilha1!$A434)-5),TRIM([1]Planilha1!$A434))</f>
        <v>SANTA BARBARA D OESTE</v>
      </c>
      <c r="C434" s="2">
        <f ca="1">[1]Planilha1!$L434</f>
        <v>3545803</v>
      </c>
      <c r="D434" t="str">
        <f>TRIM([1]Planilha1!$D434)</f>
        <v>Vivo</v>
      </c>
      <c r="E434" t="str">
        <f>IF(TRIM([1]Planilha1!$D434)="Claro","Claro","Concorrente")</f>
        <v>Concorrente</v>
      </c>
      <c r="F434" t="s">
        <v>25</v>
      </c>
      <c r="G434" t="str">
        <f t="shared" ca="1" si="28"/>
        <v>Banda Larga + Movel</v>
      </c>
      <c r="H434" t="s">
        <v>26</v>
      </c>
      <c r="I434" t="str">
        <f ca="1">IF([1]Planilha1!$F434="","",TRIM([1]Planilha1!$F434))</f>
        <v>Fibra</v>
      </c>
      <c r="J434" s="11" t="s">
        <v>27</v>
      </c>
      <c r="K434" s="4" cm="1">
        <f t="array" aca="1" ref="K434" ca="1">IFERROR(VALUE(_xlfn.REGEXEXTRACT([1]Planilha1!$E434,"\+\s*(\d+)GB",2)),"")</f>
        <v>70</v>
      </c>
      <c r="L434" s="5">
        <v>160</v>
      </c>
      <c r="M434" s="5" t="str">
        <f ca="1">IF([1]Planilha1!$I434="","",[1]Planilha1!$I434)</f>
        <v/>
      </c>
      <c r="N434" s="2" t="str" cm="1">
        <f t="array" aca="1" ref="N434" ca="1">IFERROR(VALUE(_xlfn.REGEXEXTRACT([1]Planilha1!$E434,"(\d+)\s*MESES",2)),IFERROR(VALUE(_xlfn.REGEXEXTRACT([1]Planilha1!$E434,"por\s*(\d+)\s*M",2)),IF(_xlfn.REGEXTEST([1]Planilha1!$E434,"1[ºª]"),1,"")))</f>
        <v/>
      </c>
      <c r="O434" s="6" t="str">
        <f t="shared" si="29"/>
        <v/>
      </c>
      <c r="P434" t="str">
        <f ca="1">IF([1]Planilha1!$J434="","",TRIM([1]Planilha1!$J434))</f>
        <v>0</v>
      </c>
      <c r="Q434" s="7">
        <f ca="1">IF($D434="Claro","",IFERROR($L434-VLOOKUP($B434&amp;"|Claro",[1]AUX_CLARO!$A:$C,2,FALSE),""))</f>
        <v>9.9999999999994316E-2</v>
      </c>
      <c r="R434" s="8" t="str">
        <f ca="1">IF($D434="Claro","",IFERROR($J434-VLOOKUP($B434&amp;"|Claro",[1]AUX_CLARO!$A:$C,3,FALSE),""))</f>
        <v/>
      </c>
      <c r="S434" t="str">
        <f t="shared" ca="1" si="30"/>
        <v>Claro mais barata</v>
      </c>
      <c r="T434" t="str">
        <f t="shared" ca="1" si="31"/>
        <v/>
      </c>
      <c r="U434" s="9">
        <f t="shared" si="32"/>
        <v>46174</v>
      </c>
      <c r="V434" t="str">
        <f ca="1">IF(OR([1]Planilha1!$B434="",[1]Planilha1!$B434="NÃO MAPEADO"),"",TRIM([1]Planilha1!$B434))</f>
        <v>CENTRAL</v>
      </c>
      <c r="W434" t="str">
        <f ca="1">IF([1]Planilha1!$C434="","",TRIM([1]Planilha1!$C434))</f>
        <v>PADRÃO</v>
      </c>
      <c r="X434" t="str">
        <f ca="1">IFERROR(VLOOKUP($C434,[1]Planilha2!$B:$H,7,FALSE),"")</f>
        <v>13450-001</v>
      </c>
    </row>
    <row r="435" spans="1:24" x14ac:dyDescent="0.35">
      <c r="A435" t="str">
        <f ca="1">IF(LEFT(TEXT([1]Planilha1!$L435,"0000000"),1)="5","MS","SP")</f>
        <v>SP</v>
      </c>
      <c r="B435" t="str">
        <f ca="1">IF(RIGHT([1]Planilha1!$A435,5)=" - MS",LEFT([1]Planilha1!$A435,LEN([1]Planilha1!$A435)-5),TRIM([1]Planilha1!$A435))</f>
        <v>SANTA BARBARA D OESTE</v>
      </c>
      <c r="C435" s="2">
        <f ca="1">[1]Planilha1!$L435</f>
        <v>3545803</v>
      </c>
      <c r="D435" t="str">
        <f>TRIM([1]Planilha1!$D435)</f>
        <v>Desktop</v>
      </c>
      <c r="E435" t="str">
        <f>IF(TRIM([1]Planilha1!$D435)="Claro","Claro","Concorrente")</f>
        <v>Concorrente</v>
      </c>
      <c r="F435" t="s">
        <v>29</v>
      </c>
      <c r="G435" t="str">
        <f t="shared" ca="1" si="28"/>
        <v>Banda Larga + Movel</v>
      </c>
      <c r="H435" t="str">
        <f ca="1">TRIM([1]Planilha1!$E435)</f>
        <v>600M+15GB=R$129,99 - 6 MESES, APÓS R$139,99</v>
      </c>
      <c r="I435" t="str">
        <f ca="1">IF([1]Planilha1!$F435="","",TRIM([1]Planilha1!$F435))</f>
        <v>Fibra</v>
      </c>
      <c r="J435" s="3">
        <f ca="1">IF([1]Planilha1!$G435="","",[1]Planilha1!$G435)</f>
        <v>600</v>
      </c>
      <c r="K435" s="4" cm="1">
        <f t="array" aca="1" ref="K435" ca="1">IFERROR(VALUE(_xlfn.REGEXEXTRACT([1]Planilha1!$E435,"\+\s*(\d+)GB",2)),"")</f>
        <v>15</v>
      </c>
      <c r="L435" s="5">
        <f ca="1">IF([1]Planilha1!$H435="","",[1]Planilha1!$H435)</f>
        <v>139.99</v>
      </c>
      <c r="M435" s="5">
        <f ca="1">IF([1]Planilha1!$I435="","",[1]Planilha1!$I435)</f>
        <v>129.99</v>
      </c>
      <c r="N435" s="2" cm="1">
        <f t="array" aca="1" ref="N435" ca="1">IFERROR(VALUE(_xlfn.REGEXEXTRACT([1]Planilha1!$E435,"(\d+)\s*MESES",2)),IFERROR(VALUE(_xlfn.REGEXEXTRACT([1]Planilha1!$E435,"por\s*(\d+)\s*M",2)),IF(_xlfn.REGEXTEST([1]Planilha1!$E435,"1[ºª]"),1,"")))</f>
        <v>6</v>
      </c>
      <c r="O435" s="6">
        <f t="shared" ca="1" si="29"/>
        <v>0.23331666666666667</v>
      </c>
      <c r="P435" t="str">
        <f ca="1">IF([1]Planilha1!$J435="","",TRIM([1]Planilha1!$J435))</f>
        <v>0</v>
      </c>
      <c r="Q435" s="7">
        <f ca="1">IF($D435="Claro","",IFERROR($L435-VLOOKUP($B435&amp;"|Claro",[1]AUX_CLARO!$A:$C,2,FALSE),""))</f>
        <v>-19.909999999999997</v>
      </c>
      <c r="R435" s="8">
        <f ca="1">IF($D435="Claro","",IFERROR($J435-VLOOKUP($B435&amp;"|Claro",[1]AUX_CLARO!$A:$C,3,FALSE),""))</f>
        <v>0</v>
      </c>
      <c r="S435" t="str">
        <f t="shared" ca="1" si="30"/>
        <v>Claro mais cara</v>
      </c>
      <c r="T435" t="str">
        <f t="shared" ca="1" si="31"/>
        <v>Mesma velocidade</v>
      </c>
      <c r="U435" s="9">
        <f t="shared" si="32"/>
        <v>46174</v>
      </c>
      <c r="V435" t="str">
        <f ca="1">IF(OR([1]Planilha1!$B435="",[1]Planilha1!$B435="NÃO MAPEADO"),"",TRIM([1]Planilha1!$B435))</f>
        <v>CENTRAL</v>
      </c>
      <c r="W435" t="str">
        <f ca="1">IF([1]Planilha1!$C435="","",TRIM([1]Planilha1!$C435))</f>
        <v>PADRÃO</v>
      </c>
      <c r="X435" t="str">
        <f ca="1">IFERROR(VLOOKUP($C435,[1]Planilha2!$B:$H,7,FALSE),"")</f>
        <v>13450-001</v>
      </c>
    </row>
    <row r="436" spans="1:24" x14ac:dyDescent="0.35">
      <c r="A436" t="str">
        <f ca="1">IF(LEFT(TEXT([1]Planilha1!$L436,"0000000"),1)="5","MS","SP")</f>
        <v>SP</v>
      </c>
      <c r="B436" t="str">
        <f ca="1">IF(RIGHT([1]Planilha1!$A436,5)=" - MS",LEFT([1]Planilha1!$A436,LEN([1]Planilha1!$A436)-5),TRIM([1]Planilha1!$A436))</f>
        <v>SANTA BARBARA D OESTE</v>
      </c>
      <c r="C436" s="2">
        <f ca="1">[1]Planilha1!$L436</f>
        <v>3545803</v>
      </c>
      <c r="D436" t="str">
        <f>TRIM([1]Planilha1!$D436)</f>
        <v>Vero</v>
      </c>
      <c r="E436" t="str">
        <f>IF(TRIM([1]Planilha1!$D436)="Claro","Claro","Concorrente")</f>
        <v>Concorrente</v>
      </c>
      <c r="F436" t="s">
        <v>30</v>
      </c>
      <c r="G436" t="str">
        <f t="shared" ca="1" si="28"/>
        <v>Banda Larga + Movel</v>
      </c>
      <c r="H436" t="str">
        <f ca="1">TRIM([1]Planilha1!$E436)</f>
        <v>850M+60GB=R$149,99 (C/ GLOBOPLAY, HBO, DISNEY+)</v>
      </c>
      <c r="I436" t="str">
        <f ca="1">IF([1]Planilha1!$F436="","",TRIM([1]Planilha1!$F436))</f>
        <v>Fibra</v>
      </c>
      <c r="J436" s="3">
        <f ca="1">IF([1]Planilha1!$G436="","",[1]Planilha1!$G436)</f>
        <v>850</v>
      </c>
      <c r="K436" s="4" cm="1">
        <f t="array" aca="1" ref="K436" ca="1">IFERROR(VALUE(_xlfn.REGEXEXTRACT([1]Planilha1!$E436,"\+\s*(\d+)GB",2)),"")</f>
        <v>60</v>
      </c>
      <c r="L436" s="5">
        <f ca="1">IF([1]Planilha1!$H436="","",[1]Planilha1!$H436)</f>
        <v>149.99</v>
      </c>
      <c r="M436" s="5" t="str">
        <f ca="1">IF([1]Planilha1!$I436="","",[1]Planilha1!$I436)</f>
        <v/>
      </c>
      <c r="N436" s="2" t="str" cm="1">
        <f t="array" aca="1" ref="N436" ca="1">IFERROR(VALUE(_xlfn.REGEXEXTRACT([1]Planilha1!$E436,"(\d+)\s*MESES",2)),IFERROR(VALUE(_xlfn.REGEXEXTRACT([1]Planilha1!$E436,"por\s*(\d+)\s*M",2)),IF(_xlfn.REGEXTEST([1]Planilha1!$E436,"1[ºª]"),1,"")))</f>
        <v/>
      </c>
      <c r="O436" s="6">
        <f t="shared" ca="1" si="29"/>
        <v>0.17645882352941178</v>
      </c>
      <c r="P436" t="str">
        <f ca="1">IF([1]Planilha1!$J436="","",TRIM([1]Planilha1!$J436))</f>
        <v>GLOBOPLAY, HBO, DISNEY+</v>
      </c>
      <c r="Q436" s="7">
        <f ca="1">IF($D436="Claro","",IFERROR($L436-VLOOKUP($B436&amp;"|Claro",[1]AUX_CLARO!$A:$C,2,FALSE),""))</f>
        <v>-9.9099999999999966</v>
      </c>
      <c r="R436" s="8">
        <f ca="1">IF($D436="Claro","",IFERROR($J436-VLOOKUP($B436&amp;"|Claro",[1]AUX_CLARO!$A:$C,3,FALSE),""))</f>
        <v>250</v>
      </c>
      <c r="S436" t="str">
        <f t="shared" ca="1" si="30"/>
        <v>Claro mais cara</v>
      </c>
      <c r="T436" t="str">
        <f t="shared" ca="1" si="31"/>
        <v>Claro com menor velocidade</v>
      </c>
      <c r="U436" s="9">
        <f t="shared" si="32"/>
        <v>46174</v>
      </c>
      <c r="V436" t="str">
        <f ca="1">IF(OR([1]Planilha1!$B436="",[1]Planilha1!$B436="NÃO MAPEADO"),"",TRIM([1]Planilha1!$B436))</f>
        <v>CENTRAL</v>
      </c>
      <c r="W436" t="str">
        <f ca="1">IF([1]Planilha1!$C436="","",TRIM([1]Planilha1!$C436))</f>
        <v>PADRÃO</v>
      </c>
      <c r="X436" t="str">
        <f ca="1">IFERROR(VLOOKUP($C436,[1]Planilha2!$B:$H,7,FALSE),"")</f>
        <v>13450-001</v>
      </c>
    </row>
    <row r="437" spans="1:24" x14ac:dyDescent="0.35">
      <c r="A437" t="str">
        <f ca="1">IF(LEFT(TEXT([1]Planilha1!$L437,"0000000"),1)="5","MS","SP")</f>
        <v>SP</v>
      </c>
      <c r="B437" t="str">
        <f ca="1">IF(RIGHT([1]Planilha1!$A437,5)=" - MS",LEFT([1]Planilha1!$A437,LEN([1]Planilha1!$A437)-5),TRIM([1]Planilha1!$A437))</f>
        <v>SANTA BARBARA D OESTE</v>
      </c>
      <c r="C437" s="2">
        <f ca="1">[1]Planilha1!$L437</f>
        <v>3545803</v>
      </c>
      <c r="D437" t="str">
        <f>TRIM([1]Planilha1!$D437)</f>
        <v>ISP LOCAL</v>
      </c>
      <c r="E437" t="str">
        <f>IF(TRIM([1]Planilha1!$D437)="Claro","Claro","Concorrente")</f>
        <v>Concorrente</v>
      </c>
      <c r="F437" t="s">
        <v>33</v>
      </c>
      <c r="G437" t="str">
        <f t="shared" ca="1" si="28"/>
        <v>Banda Larga + Conteudo</v>
      </c>
      <c r="H437" t="str">
        <f ca="1">TRIM([1]Planilha1!$E437)</f>
        <v>SOS - 500M R$115,80</v>
      </c>
      <c r="I437" t="str">
        <f ca="1">IF([1]Planilha1!$F437="","",TRIM([1]Planilha1!$F437))</f>
        <v>Fibra</v>
      </c>
      <c r="J437" s="3">
        <f ca="1">IF([1]Planilha1!$G437="","",[1]Planilha1!$G437)</f>
        <v>500</v>
      </c>
      <c r="K437" s="4" t="str" cm="1">
        <f t="array" aca="1" ref="K437" ca="1">IFERROR(VALUE(_xlfn.REGEXEXTRACT([1]Planilha1!$E437,"\+\s*(\d+)GB",2)),"")</f>
        <v/>
      </c>
      <c r="L437" s="5">
        <f ca="1">IF([1]Planilha1!$H437="","",[1]Planilha1!$H437)</f>
        <v>115.8</v>
      </c>
      <c r="M437" s="5" t="str">
        <f ca="1">IF([1]Planilha1!$I437="","",[1]Planilha1!$I437)</f>
        <v/>
      </c>
      <c r="N437" s="2" t="str" cm="1">
        <f t="array" aca="1" ref="N437" ca="1">IFERROR(VALUE(_xlfn.REGEXEXTRACT([1]Planilha1!$E437,"(\d+)\s*MESES",2)),IFERROR(VALUE(_xlfn.REGEXEXTRACT([1]Planilha1!$E437,"por\s*(\d+)\s*M",2)),IF(_xlfn.REGEXTEST([1]Planilha1!$E437,"1[ºª]"),1,"")))</f>
        <v/>
      </c>
      <c r="O437" s="6">
        <f t="shared" ca="1" si="29"/>
        <v>0.2316</v>
      </c>
      <c r="P437" t="str">
        <f ca="1">IF([1]Planilha1!$J437="","",TRIM([1]Planilha1!$J437))</f>
        <v>0</v>
      </c>
      <c r="Q437" s="7">
        <f ca="1">IF($D437="Claro","",IFERROR($L437-VLOOKUP($B437&amp;"|Claro",[1]AUX_CLARO!$A:$C,2,FALSE),""))</f>
        <v>-44.100000000000009</v>
      </c>
      <c r="R437" s="8">
        <f ca="1">IF($D437="Claro","",IFERROR($J437-VLOOKUP($B437&amp;"|Claro",[1]AUX_CLARO!$A:$C,3,FALSE),""))</f>
        <v>-100</v>
      </c>
      <c r="S437" t="str">
        <f t="shared" ca="1" si="30"/>
        <v>Claro mais cara</v>
      </c>
      <c r="T437" t="str">
        <f t="shared" ca="1" si="31"/>
        <v>Claro com maior velocidade</v>
      </c>
      <c r="U437" s="9">
        <f t="shared" si="32"/>
        <v>46174</v>
      </c>
      <c r="V437" t="str">
        <f ca="1">IF(OR([1]Planilha1!$B437="",[1]Planilha1!$B437="NÃO MAPEADO"),"",TRIM([1]Planilha1!$B437))</f>
        <v>CENTRAL</v>
      </c>
      <c r="W437" t="str">
        <f ca="1">IF([1]Planilha1!$C437="","",TRIM([1]Planilha1!$C437))</f>
        <v>PADRÃO</v>
      </c>
      <c r="X437" t="str">
        <f ca="1">IFERROR(VLOOKUP($C437,[1]Planilha2!$B:$H,7,FALSE),"")</f>
        <v>13450-001</v>
      </c>
    </row>
    <row r="438" spans="1:24" x14ac:dyDescent="0.35">
      <c r="A438" t="str">
        <f ca="1">IF(LEFT(TEXT([1]Planilha1!$L438,"0000000"),1)="5","MS","SP")</f>
        <v>SP</v>
      </c>
      <c r="B438" t="str">
        <f ca="1">IF(RIGHT([1]Planilha1!$A438,5)=" - MS",LEFT([1]Planilha1!$A438,LEN([1]Planilha1!$A438)-5),TRIM([1]Planilha1!$A438))</f>
        <v>SANTA CRUZ DAS PALMEIRAS</v>
      </c>
      <c r="C438" s="2">
        <f ca="1">[1]Planilha1!$L438</f>
        <v>3546306</v>
      </c>
      <c r="D438" t="str">
        <f>TRIM([1]Planilha1!$D438)</f>
        <v>Claro</v>
      </c>
      <c r="E438" t="str">
        <f>IF(TRIM([1]Planilha1!$D438)="Claro","Claro","Concorrente")</f>
        <v>Claro</v>
      </c>
      <c r="F438" t="s">
        <v>24</v>
      </c>
      <c r="G438" t="str">
        <f t="shared" ca="1" si="28"/>
        <v>Banda Larga + Movel</v>
      </c>
      <c r="H438" t="str">
        <f ca="1">TRIM([1]Planilha1!$E438)</f>
        <v>600M+100GB=R$109,90 por 6M, após R$139,90</v>
      </c>
      <c r="I438" t="str">
        <f ca="1">IF([1]Planilha1!$F438="","",TRIM([1]Planilha1!$F438))</f>
        <v>Fibra</v>
      </c>
      <c r="J438" s="3">
        <f ca="1">IF([1]Planilha1!$G438="","",[1]Planilha1!$G438)</f>
        <v>600</v>
      </c>
      <c r="K438" s="4" cm="1">
        <f t="array" aca="1" ref="K438" ca="1">IFERROR(VALUE(_xlfn.REGEXEXTRACT([1]Planilha1!$E438,"\+\s*(\d+)GB",2)),"")</f>
        <v>100</v>
      </c>
      <c r="L438" s="5">
        <f ca="1">IF([1]Planilha1!$H438="","",[1]Planilha1!$H438)</f>
        <v>139.9</v>
      </c>
      <c r="M438" s="5">
        <f ca="1">IF([1]Planilha1!$I438="","",[1]Planilha1!$I438)</f>
        <v>109.9</v>
      </c>
      <c r="N438" s="2" cm="1">
        <f t="array" aca="1" ref="N438" ca="1">IFERROR(VALUE(_xlfn.REGEXEXTRACT([1]Planilha1!$E438,"(\d+)\s*MESES",2)),IFERROR(VALUE(_xlfn.REGEXEXTRACT([1]Planilha1!$E438,"por\s*(\d+)\s*M",2)),IF(_xlfn.REGEXTEST([1]Planilha1!$E438,"1[ºª]"),1,"")))</f>
        <v>6</v>
      </c>
      <c r="O438" s="6">
        <f t="shared" ca="1" si="29"/>
        <v>0.23316666666666669</v>
      </c>
      <c r="P438" t="str">
        <f ca="1">IF([1]Planilha1!$J438="","",TRIM([1]Planilha1!$J438))</f>
        <v>GLOBOPLAY</v>
      </c>
      <c r="Q438" s="7" t="str">
        <f>IF($D438="Claro","",IFERROR($L438-VLOOKUP($B438&amp;"|Claro",[1]AUX_CLARO!$A:$C,2,FALSE),""))</f>
        <v/>
      </c>
      <c r="R438" s="8" t="str">
        <f>IF($D438="Claro","",IFERROR($J438-VLOOKUP($B438&amp;"|Claro",[1]AUX_CLARO!$A:$C,3,FALSE),""))</f>
        <v/>
      </c>
      <c r="S438" t="str">
        <f t="shared" si="30"/>
        <v/>
      </c>
      <c r="T438" t="str">
        <f t="shared" si="31"/>
        <v/>
      </c>
      <c r="U438" s="9">
        <f t="shared" si="32"/>
        <v>46174</v>
      </c>
      <c r="V438" t="str">
        <f ca="1">IF(OR([1]Planilha1!$B438="",[1]Planilha1!$B438="NÃO MAPEADO"),"",TRIM([1]Planilha1!$B438))</f>
        <v>SUDESTE</v>
      </c>
      <c r="W438" t="str">
        <f ca="1">IF([1]Planilha1!$C438="","",TRIM([1]Planilha1!$C438))</f>
        <v>MD 2</v>
      </c>
      <c r="X438" s="12" t="str">
        <f ca="1">IFERROR(VLOOKUP($C438,[1]Planilha2!$B:$H,7,FALSE),"")</f>
        <v>13650-001</v>
      </c>
    </row>
    <row r="439" spans="1:24" x14ac:dyDescent="0.35">
      <c r="A439" t="str">
        <f ca="1">IF(LEFT(TEXT([1]Planilha1!$L439,"0000000"),1)="5","MS","SP")</f>
        <v>SP</v>
      </c>
      <c r="B439" t="str">
        <f ca="1">IF(RIGHT([1]Planilha1!$A439,5)=" - MS",LEFT([1]Planilha1!$A439,LEN([1]Planilha1!$A439)-5),TRIM([1]Planilha1!$A439))</f>
        <v>SANTA CRUZ DAS PALMEIRAS</v>
      </c>
      <c r="C439" s="2">
        <f ca="1">[1]Planilha1!$L439</f>
        <v>3546306</v>
      </c>
      <c r="D439" t="str">
        <f>TRIM([1]Planilha1!$D439)</f>
        <v>Desktop</v>
      </c>
      <c r="E439" t="str">
        <f>IF(TRIM([1]Planilha1!$D439)="Claro","Claro","Concorrente")</f>
        <v>Concorrente</v>
      </c>
      <c r="F439" t="s">
        <v>29</v>
      </c>
      <c r="G439" t="str">
        <f t="shared" ca="1" si="28"/>
        <v>Banda Larga + Conteudo</v>
      </c>
      <c r="H439" t="str">
        <f ca="1">TRIM([1]Planilha1!$E439)</f>
        <v>600M=R$49,99 por 2M, após R$89,99</v>
      </c>
      <c r="I439" t="str">
        <f ca="1">IF([1]Planilha1!$F439="","",TRIM([1]Planilha1!$F439))</f>
        <v>Fibra</v>
      </c>
      <c r="J439" s="3">
        <f ca="1">IF([1]Planilha1!$G439="","",[1]Planilha1!$G439)</f>
        <v>600</v>
      </c>
      <c r="K439" s="4" t="str" cm="1">
        <f t="array" aca="1" ref="K439" ca="1">IFERROR(VALUE(_xlfn.REGEXEXTRACT([1]Planilha1!$E439,"\+\s*(\d+)GB",2)),"")</f>
        <v/>
      </c>
      <c r="L439" s="5">
        <f ca="1">IF([1]Planilha1!$H439="","",[1]Planilha1!$H439)</f>
        <v>89.99</v>
      </c>
      <c r="M439" s="5">
        <f ca="1">IF([1]Planilha1!$I439="","",[1]Planilha1!$I439)</f>
        <v>49.99</v>
      </c>
      <c r="N439" s="2" cm="1">
        <f t="array" aca="1" ref="N439" ca="1">IFERROR(VALUE(_xlfn.REGEXEXTRACT([1]Planilha1!$E439,"(\d+)\s*MESES",2)),IFERROR(VALUE(_xlfn.REGEXEXTRACT([1]Planilha1!$E439,"por\s*(\d+)\s*M",2)),IF(_xlfn.REGEXTEST([1]Planilha1!$E439,"1[ºª]"),1,"")))</f>
        <v>2</v>
      </c>
      <c r="O439" s="6">
        <f t="shared" ca="1" si="29"/>
        <v>0.14998333333333333</v>
      </c>
      <c r="P439" t="str">
        <f ca="1">IF([1]Planilha1!$J439="","",TRIM([1]Planilha1!$J439))</f>
        <v>0</v>
      </c>
      <c r="Q439" s="7">
        <f ca="1">IF($D439="Claro","",IFERROR($L439-VLOOKUP($B439&amp;"|Claro",[1]AUX_CLARO!$A:$C,2,FALSE),""))</f>
        <v>-49.910000000000011</v>
      </c>
      <c r="R439" s="8">
        <f ca="1">IF($D439="Claro","",IFERROR($J439-VLOOKUP($B439&amp;"|Claro",[1]AUX_CLARO!$A:$C,3,FALSE),""))</f>
        <v>0</v>
      </c>
      <c r="S439" t="str">
        <f t="shared" ca="1" si="30"/>
        <v>Claro mais cara</v>
      </c>
      <c r="T439" t="str">
        <f t="shared" ca="1" si="31"/>
        <v>Mesma velocidade</v>
      </c>
      <c r="U439" s="9">
        <f t="shared" si="32"/>
        <v>46174</v>
      </c>
      <c r="V439" t="str">
        <f ca="1">IF(OR([1]Planilha1!$B439="",[1]Planilha1!$B439="NÃO MAPEADO"),"",TRIM([1]Planilha1!$B439))</f>
        <v>SUDESTE</v>
      </c>
      <c r="W439" t="str">
        <f ca="1">IF([1]Planilha1!$C439="","",TRIM([1]Planilha1!$C439))</f>
        <v>MD 2</v>
      </c>
      <c r="X439" s="12" t="str">
        <f ca="1">IFERROR(VLOOKUP($C439,[1]Planilha2!$B:$H,7,FALSE),"")</f>
        <v>13650-001</v>
      </c>
    </row>
    <row r="440" spans="1:24" x14ac:dyDescent="0.35">
      <c r="A440" t="str">
        <f ca="1">IF(LEFT(TEXT([1]Planilha1!$L440,"0000000"),1)="5","MS","SP")</f>
        <v>SP</v>
      </c>
      <c r="B440" t="str">
        <f ca="1">IF(RIGHT([1]Planilha1!$A440,5)=" - MS",LEFT([1]Planilha1!$A440,LEN([1]Planilha1!$A440)-5),TRIM([1]Planilha1!$A440))</f>
        <v>SANTA CRUZ DAS PALMEIRAS</v>
      </c>
      <c r="C440" s="2">
        <f ca="1">[1]Planilha1!$L440</f>
        <v>3546306</v>
      </c>
      <c r="D440" t="str">
        <f>TRIM([1]Planilha1!$D440)</f>
        <v>ISP LOCAL</v>
      </c>
      <c r="E440" t="str">
        <f>IF(TRIM([1]Planilha1!$D440)="Claro","Claro","Concorrente")</f>
        <v>Concorrente</v>
      </c>
      <c r="G440" t="str">
        <f t="shared" ca="1" si="28"/>
        <v>Banda Larga + Conteudo</v>
      </c>
      <c r="H440" t="str">
        <f ca="1">TRIM([1]Planilha1!$E440)</f>
        <v>BS NEWS - 400M R$99,90</v>
      </c>
      <c r="I440" t="str">
        <f ca="1">IF([1]Planilha1!$F440="","",TRIM([1]Planilha1!$F440))</f>
        <v>Fibra</v>
      </c>
      <c r="J440" s="3">
        <f ca="1">IF([1]Planilha1!$G440="","",[1]Planilha1!$G440)</f>
        <v>400</v>
      </c>
      <c r="K440" s="4" t="str" cm="1">
        <f t="array" aca="1" ref="K440" ca="1">IFERROR(VALUE(_xlfn.REGEXEXTRACT([1]Planilha1!$E440,"\+\s*(\d+)GB",2)),"")</f>
        <v/>
      </c>
      <c r="L440" s="5">
        <f ca="1">IF([1]Planilha1!$H440="","",[1]Planilha1!$H440)</f>
        <v>99.9</v>
      </c>
      <c r="M440" s="5" t="str">
        <f ca="1">IF([1]Planilha1!$I440="","",[1]Planilha1!$I440)</f>
        <v/>
      </c>
      <c r="N440" s="2" t="str" cm="1">
        <f t="array" aca="1" ref="N440" ca="1">IFERROR(VALUE(_xlfn.REGEXEXTRACT([1]Planilha1!$E440,"(\d+)\s*MESES",2)),IFERROR(VALUE(_xlfn.REGEXEXTRACT([1]Planilha1!$E440,"por\s*(\d+)\s*M",2)),IF(_xlfn.REGEXTEST([1]Planilha1!$E440,"1[ºª]"),1,"")))</f>
        <v/>
      </c>
      <c r="O440" s="6">
        <f t="shared" ca="1" si="29"/>
        <v>0.24975000000000003</v>
      </c>
      <c r="P440" t="str">
        <f ca="1">IF([1]Planilha1!$J440="","",TRIM([1]Planilha1!$J440))</f>
        <v>0</v>
      </c>
      <c r="Q440" s="7">
        <f ca="1">IF($D440="Claro","",IFERROR($L440-VLOOKUP($B440&amp;"|Claro",[1]AUX_CLARO!$A:$C,2,FALSE),""))</f>
        <v>-40</v>
      </c>
      <c r="R440" s="8">
        <f ca="1">IF($D440="Claro","",IFERROR($J440-VLOOKUP($B440&amp;"|Claro",[1]AUX_CLARO!$A:$C,3,FALSE),""))</f>
        <v>-200</v>
      </c>
      <c r="S440" t="str">
        <f t="shared" ca="1" si="30"/>
        <v>Claro mais cara</v>
      </c>
      <c r="T440" t="str">
        <f t="shared" ca="1" si="31"/>
        <v>Claro com maior velocidade</v>
      </c>
      <c r="U440" s="9">
        <f t="shared" si="32"/>
        <v>46174</v>
      </c>
      <c r="V440" t="str">
        <f ca="1">IF(OR([1]Planilha1!$B440="",[1]Planilha1!$B440="NÃO MAPEADO"),"",TRIM([1]Planilha1!$B440))</f>
        <v>SUDESTE</v>
      </c>
      <c r="W440" t="str">
        <f ca="1">IF([1]Planilha1!$C440="","",TRIM([1]Planilha1!$C440))</f>
        <v>MD 2</v>
      </c>
      <c r="X440" s="12" t="str">
        <f ca="1">IFERROR(VLOOKUP($C440,[1]Planilha2!$B:$H,7,FALSE),"")</f>
        <v>13650-001</v>
      </c>
    </row>
    <row r="441" spans="1:24" x14ac:dyDescent="0.35">
      <c r="A441" t="str">
        <f ca="1">IF(LEFT(TEXT([1]Planilha1!$L441,"0000000"),1)="5","MS","SP")</f>
        <v>SP</v>
      </c>
      <c r="B441" t="str">
        <f ca="1">IF(RIGHT([1]Planilha1!$A441,5)=" - MS",LEFT([1]Planilha1!$A441,LEN([1]Planilha1!$A441)-5),TRIM([1]Planilha1!$A441))</f>
        <v>SANTA CRUZ DO RIO PARDO</v>
      </c>
      <c r="C441" s="2">
        <f ca="1">[1]Planilha1!$L441</f>
        <v>3546405</v>
      </c>
      <c r="D441" t="str">
        <f>TRIM([1]Planilha1!$D441)</f>
        <v>Claro</v>
      </c>
      <c r="E441" t="str">
        <f>IF(TRIM([1]Planilha1!$D441)="Claro","Claro","Concorrente")</f>
        <v>Claro</v>
      </c>
      <c r="F441" t="s">
        <v>24</v>
      </c>
      <c r="G441" t="str">
        <f t="shared" ca="1" si="28"/>
        <v>Banda Larga + Movel</v>
      </c>
      <c r="H441" t="str">
        <f ca="1">TRIM([1]Planilha1!$E441)</f>
        <v>600M+100GB=R$109,90 por 6M, após R$139,90</v>
      </c>
      <c r="I441" t="str">
        <f ca="1">IF([1]Planilha1!$F441="","",TRIM([1]Planilha1!$F441))</f>
        <v>Fibra</v>
      </c>
      <c r="J441" s="3">
        <f ca="1">IF([1]Planilha1!$G441="","",[1]Planilha1!$G441)</f>
        <v>600</v>
      </c>
      <c r="K441" s="4" cm="1">
        <f t="array" aca="1" ref="K441" ca="1">IFERROR(VALUE(_xlfn.REGEXEXTRACT([1]Planilha1!$E441,"\+\s*(\d+)GB",2)),"")</f>
        <v>100</v>
      </c>
      <c r="L441" s="5">
        <f ca="1">IF([1]Planilha1!$H441="","",[1]Planilha1!$H441)</f>
        <v>139.9</v>
      </c>
      <c r="M441" s="5">
        <f ca="1">IF([1]Planilha1!$I441="","",[1]Planilha1!$I441)</f>
        <v>109.9</v>
      </c>
      <c r="N441" s="2" cm="1">
        <f t="array" aca="1" ref="N441" ca="1">IFERROR(VALUE(_xlfn.REGEXEXTRACT([1]Planilha1!$E441,"(\d+)\s*MESES",2)),IFERROR(VALUE(_xlfn.REGEXEXTRACT([1]Planilha1!$E441,"por\s*(\d+)\s*M",2)),IF(_xlfn.REGEXTEST([1]Planilha1!$E441,"1[ºª]"),1,"")))</f>
        <v>6</v>
      </c>
      <c r="O441" s="6">
        <f t="shared" ca="1" si="29"/>
        <v>0.23316666666666669</v>
      </c>
      <c r="P441" t="str">
        <f ca="1">IF([1]Planilha1!$J441="","",TRIM([1]Planilha1!$J441))</f>
        <v>GLOBOPLAY</v>
      </c>
      <c r="Q441" s="7" t="str">
        <f>IF($D441="Claro","",IFERROR($L441-VLOOKUP($B441&amp;"|Claro",[1]AUX_CLARO!$A:$C,2,FALSE),""))</f>
        <v/>
      </c>
      <c r="R441" s="8" t="str">
        <f>IF($D441="Claro","",IFERROR($J441-VLOOKUP($B441&amp;"|Claro",[1]AUX_CLARO!$A:$C,3,FALSE),""))</f>
        <v/>
      </c>
      <c r="S441" t="str">
        <f t="shared" si="30"/>
        <v/>
      </c>
      <c r="T441" t="str">
        <f t="shared" si="31"/>
        <v/>
      </c>
      <c r="U441" s="9">
        <f t="shared" si="32"/>
        <v>46174</v>
      </c>
      <c r="V441" t="str">
        <f ca="1">IF(OR([1]Planilha1!$B441="",[1]Planilha1!$B441="NÃO MAPEADO"),"",TRIM([1]Planilha1!$B441))</f>
        <v>NOROESTE</v>
      </c>
      <c r="W441" t="str">
        <f ca="1">IF([1]Planilha1!$C441="","",TRIM([1]Planilha1!$C441))</f>
        <v>MD 2</v>
      </c>
      <c r="X441" t="str">
        <f ca="1">IFERROR(VLOOKUP($C441,[1]Planilha2!$B:$H,7,FALSE),"")</f>
        <v>18900-001</v>
      </c>
    </row>
    <row r="442" spans="1:24" x14ac:dyDescent="0.35">
      <c r="A442" t="str">
        <f ca="1">IF(LEFT(TEXT([1]Planilha1!$L442,"0000000"),1)="5","MS","SP")</f>
        <v>SP</v>
      </c>
      <c r="B442" t="str">
        <f ca="1">IF(RIGHT([1]Planilha1!$A442,5)=" - MS",LEFT([1]Planilha1!$A442,LEN([1]Planilha1!$A442)-5),TRIM([1]Planilha1!$A442))</f>
        <v>SANTA CRUZ DO RIO PARDO</v>
      </c>
      <c r="C442" s="2">
        <f ca="1">[1]Planilha1!$L442</f>
        <v>3546405</v>
      </c>
      <c r="D442" t="str">
        <f>TRIM([1]Planilha1!$D442)</f>
        <v>Vivo</v>
      </c>
      <c r="E442" t="str">
        <f>IF(TRIM([1]Planilha1!$D442)="Claro","Claro","Concorrente")</f>
        <v>Concorrente</v>
      </c>
      <c r="F442" t="s">
        <v>25</v>
      </c>
      <c r="G442" t="str">
        <f t="shared" ca="1" si="28"/>
        <v>Banda Larga + Movel</v>
      </c>
      <c r="H442" t="s">
        <v>26</v>
      </c>
      <c r="I442" t="str">
        <f ca="1">IF([1]Planilha1!$F442="","",TRIM([1]Planilha1!$F442))</f>
        <v>Fibra</v>
      </c>
      <c r="J442" s="11" t="s">
        <v>27</v>
      </c>
      <c r="K442" s="4" cm="1">
        <f t="array" aca="1" ref="K442" ca="1">IFERROR(VALUE(_xlfn.REGEXEXTRACT([1]Planilha1!$E442,"\+\s*(\d+)GB",2)),"")</f>
        <v>70</v>
      </c>
      <c r="L442" s="5">
        <v>160</v>
      </c>
      <c r="M442" s="5" t="str">
        <f ca="1">IF([1]Planilha1!$I442="","",[1]Planilha1!$I442)</f>
        <v/>
      </c>
      <c r="N442" s="2" t="str" cm="1">
        <f t="array" aca="1" ref="N442" ca="1">IFERROR(VALUE(_xlfn.REGEXEXTRACT([1]Planilha1!$E442,"(\d+)\s*MESES",2)),IFERROR(VALUE(_xlfn.REGEXEXTRACT([1]Planilha1!$E442,"por\s*(\d+)\s*M",2)),IF(_xlfn.REGEXTEST([1]Planilha1!$E442,"1[ºª]"),1,"")))</f>
        <v/>
      </c>
      <c r="O442" s="6" t="str">
        <f t="shared" si="29"/>
        <v/>
      </c>
      <c r="P442" t="str">
        <f ca="1">IF([1]Planilha1!$J442="","",TRIM([1]Planilha1!$J442))</f>
        <v>0</v>
      </c>
      <c r="Q442" s="7">
        <f ca="1">IF($D442="Claro","",IFERROR($L442-VLOOKUP($B442&amp;"|Claro",[1]AUX_CLARO!$A:$C,2,FALSE),""))</f>
        <v>20.099999999999994</v>
      </c>
      <c r="R442" s="8" t="str">
        <f ca="1">IF($D442="Claro","",IFERROR($J442-VLOOKUP($B442&amp;"|Claro",[1]AUX_CLARO!$A:$C,3,FALSE),""))</f>
        <v/>
      </c>
      <c r="S442" t="str">
        <f t="shared" ca="1" si="30"/>
        <v>Claro mais barata</v>
      </c>
      <c r="T442" t="str">
        <f t="shared" ca="1" si="31"/>
        <v/>
      </c>
      <c r="U442" s="9">
        <f t="shared" si="32"/>
        <v>46174</v>
      </c>
      <c r="V442" t="str">
        <f ca="1">IF(OR([1]Planilha1!$B442="",[1]Planilha1!$B442="NÃO MAPEADO"),"",TRIM([1]Planilha1!$B442))</f>
        <v>NOROESTE</v>
      </c>
      <c r="W442" t="str">
        <f ca="1">IF([1]Planilha1!$C442="","",TRIM([1]Planilha1!$C442))</f>
        <v>MD 2</v>
      </c>
      <c r="X442" t="str">
        <f ca="1">IFERROR(VLOOKUP($C442,[1]Planilha2!$B:$H,7,FALSE),"")</f>
        <v>18900-001</v>
      </c>
    </row>
    <row r="443" spans="1:24" x14ac:dyDescent="0.35">
      <c r="A443" t="str">
        <f ca="1">IF(LEFT(TEXT([1]Planilha1!$L443,"0000000"),1)="5","MS","SP")</f>
        <v>SP</v>
      </c>
      <c r="B443" t="str">
        <f ca="1">IF(RIGHT([1]Planilha1!$A443,5)=" - MS",LEFT([1]Planilha1!$A443,LEN([1]Planilha1!$A443)-5),TRIM([1]Planilha1!$A443))</f>
        <v>SANTA CRUZ DO RIO PARDO</v>
      </c>
      <c r="C443" s="2">
        <f ca="1">[1]Planilha1!$L443</f>
        <v>3546405</v>
      </c>
      <c r="D443" t="str">
        <f>TRIM([1]Planilha1!$D443)</f>
        <v>Alares</v>
      </c>
      <c r="E443" t="str">
        <f>IF(TRIM([1]Planilha1!$D443)="Claro","Claro","Concorrente")</f>
        <v>Concorrente</v>
      </c>
      <c r="F443" t="s">
        <v>32</v>
      </c>
      <c r="G443" t="str">
        <f t="shared" ca="1" si="28"/>
        <v>Banda Larga + Conteudo</v>
      </c>
      <c r="H443" t="str">
        <f ca="1">TRIM([1]Planilha1!$E443)</f>
        <v>1GB + GLOBOPLAY R$99,90</v>
      </c>
      <c r="I443" t="str">
        <f ca="1">IF([1]Planilha1!$F443="","",TRIM([1]Planilha1!$F443))</f>
        <v>Fibra</v>
      </c>
      <c r="J443" s="3">
        <f ca="1">IF([1]Planilha1!$G443="","",[1]Planilha1!$G443)</f>
        <v>1000</v>
      </c>
      <c r="K443" s="4" t="str" cm="1">
        <f t="array" aca="1" ref="K443" ca="1">IFERROR(VALUE(_xlfn.REGEXEXTRACT([1]Planilha1!$E443,"\+\s*(\d+)GB",2)),"")</f>
        <v/>
      </c>
      <c r="L443" s="5">
        <f ca="1">IF([1]Planilha1!$H443="","",[1]Planilha1!$H443)</f>
        <v>99.9</v>
      </c>
      <c r="M443" s="5" t="str">
        <f ca="1">IF([1]Planilha1!$I443="","",[1]Planilha1!$I443)</f>
        <v/>
      </c>
      <c r="N443" s="2" t="str" cm="1">
        <f t="array" aca="1" ref="N443" ca="1">IFERROR(VALUE(_xlfn.REGEXEXTRACT([1]Planilha1!$E443,"(\d+)\s*MESES",2)),IFERROR(VALUE(_xlfn.REGEXEXTRACT([1]Planilha1!$E443,"por\s*(\d+)\s*M",2)),IF(_xlfn.REGEXTEST([1]Planilha1!$E443,"1[ºª]"),1,"")))</f>
        <v/>
      </c>
      <c r="O443" s="6">
        <f t="shared" ca="1" si="29"/>
        <v>9.9900000000000003E-2</v>
      </c>
      <c r="P443" t="str">
        <f ca="1">IF([1]Planilha1!$J443="","",TRIM([1]Planilha1!$J443))</f>
        <v>GLOBOPLAY</v>
      </c>
      <c r="Q443" s="7">
        <f ca="1">IF($D443="Claro","",IFERROR($L443-VLOOKUP($B443&amp;"|Claro",[1]AUX_CLARO!$A:$C,2,FALSE),""))</f>
        <v>-40</v>
      </c>
      <c r="R443" s="8">
        <f ca="1">IF($D443="Claro","",IFERROR($J443-VLOOKUP($B443&amp;"|Claro",[1]AUX_CLARO!$A:$C,3,FALSE),""))</f>
        <v>400</v>
      </c>
      <c r="S443" t="str">
        <f t="shared" ca="1" si="30"/>
        <v>Claro mais cara</v>
      </c>
      <c r="T443" t="str">
        <f t="shared" ca="1" si="31"/>
        <v>Claro com menor velocidade</v>
      </c>
      <c r="U443" s="9">
        <f t="shared" si="32"/>
        <v>46174</v>
      </c>
      <c r="V443" t="str">
        <f ca="1">IF(OR([1]Planilha1!$B443="",[1]Planilha1!$B443="NÃO MAPEADO"),"",TRIM([1]Planilha1!$B443))</f>
        <v>NOROESTE</v>
      </c>
      <c r="W443" t="str">
        <f ca="1">IF([1]Planilha1!$C443="","",TRIM([1]Planilha1!$C443))</f>
        <v>MD 2</v>
      </c>
      <c r="X443" t="str">
        <f ca="1">IFERROR(VLOOKUP($C443,[1]Planilha2!$B:$H,7,FALSE),"")</f>
        <v>18900-001</v>
      </c>
    </row>
    <row r="444" spans="1:24" x14ac:dyDescent="0.35">
      <c r="A444" t="str">
        <f ca="1">IF(LEFT(TEXT([1]Planilha1!$L444,"0000000"),1)="5","MS","SP")</f>
        <v>SP</v>
      </c>
      <c r="B444" t="str">
        <f ca="1">IF(RIGHT([1]Planilha1!$A444,5)=" - MS",LEFT([1]Planilha1!$A444,LEN([1]Planilha1!$A444)-5),TRIM([1]Planilha1!$A444))</f>
        <v>SANTA CRUZ DO RIO PARDO</v>
      </c>
      <c r="C444" s="2">
        <f ca="1">[1]Planilha1!$L444</f>
        <v>3546405</v>
      </c>
      <c r="D444" t="str">
        <f>TRIM([1]Planilha1!$D444)</f>
        <v>ISP LOCAL</v>
      </c>
      <c r="E444" t="str">
        <f>IF(TRIM([1]Planilha1!$D444)="Claro","Claro","Concorrente")</f>
        <v>Concorrente</v>
      </c>
      <c r="F444" t="s">
        <v>28</v>
      </c>
      <c r="G444" t="str">
        <f t="shared" ca="1" si="28"/>
        <v>Banda Larga + Conteudo</v>
      </c>
      <c r="H444" t="str">
        <f ca="1">TRIM([1]Planilha1!$E444)</f>
        <v>CABONNET - 600M R$49,95 - 3 MESES, APÓS R$99,90</v>
      </c>
      <c r="I444" t="str">
        <f ca="1">IF([1]Planilha1!$F444="","",TRIM([1]Planilha1!$F444))</f>
        <v>Fibra</v>
      </c>
      <c r="J444" s="3">
        <f ca="1">IF([1]Planilha1!$G444="","",[1]Planilha1!$G444)</f>
        <v>600</v>
      </c>
      <c r="K444" s="4" t="str" cm="1">
        <f t="array" aca="1" ref="K444" ca="1">IFERROR(VALUE(_xlfn.REGEXEXTRACT([1]Planilha1!$E444,"\+\s*(\d+)GB",2)),"")</f>
        <v/>
      </c>
      <c r="L444" s="5">
        <f ca="1">IF([1]Planilha1!$H444="","",[1]Planilha1!$H444)</f>
        <v>99.9</v>
      </c>
      <c r="M444" s="5">
        <f ca="1">IF([1]Planilha1!$I444="","",[1]Planilha1!$I444)</f>
        <v>49.95</v>
      </c>
      <c r="N444" s="2" cm="1">
        <f t="array" aca="1" ref="N444" ca="1">IFERROR(VALUE(_xlfn.REGEXEXTRACT([1]Planilha1!$E444,"(\d+)\s*MESES",2)),IFERROR(VALUE(_xlfn.REGEXEXTRACT([1]Planilha1!$E444,"por\s*(\d+)\s*M",2)),IF(_xlfn.REGEXTEST([1]Planilha1!$E444,"1[ºª]"),1,"")))</f>
        <v>3</v>
      </c>
      <c r="O444" s="6">
        <f t="shared" ca="1" si="29"/>
        <v>0.16650000000000001</v>
      </c>
      <c r="P444" t="str">
        <f ca="1">IF([1]Planilha1!$J444="","",TRIM([1]Planilha1!$J444))</f>
        <v>0</v>
      </c>
      <c r="Q444" s="7">
        <f ca="1">IF($D444="Claro","",IFERROR($L444-VLOOKUP($B444&amp;"|Claro",[1]AUX_CLARO!$A:$C,2,FALSE),""))</f>
        <v>-40</v>
      </c>
      <c r="R444" s="8">
        <f ca="1">IF($D444="Claro","",IFERROR($J444-VLOOKUP($B444&amp;"|Claro",[1]AUX_CLARO!$A:$C,3,FALSE),""))</f>
        <v>0</v>
      </c>
      <c r="S444" t="str">
        <f t="shared" ca="1" si="30"/>
        <v>Claro mais cara</v>
      </c>
      <c r="T444" t="str">
        <f t="shared" ca="1" si="31"/>
        <v>Mesma velocidade</v>
      </c>
      <c r="U444" s="9">
        <f t="shared" si="32"/>
        <v>46174</v>
      </c>
      <c r="V444" t="str">
        <f ca="1">IF(OR([1]Planilha1!$B444="",[1]Planilha1!$B444="NÃO MAPEADO"),"",TRIM([1]Planilha1!$B444))</f>
        <v>NOROESTE</v>
      </c>
      <c r="W444" t="str">
        <f ca="1">IF([1]Planilha1!$C444="","",TRIM([1]Planilha1!$C444))</f>
        <v>MD 2</v>
      </c>
      <c r="X444" t="str">
        <f ca="1">IFERROR(VLOOKUP($C444,[1]Planilha2!$B:$H,7,FALSE),"")</f>
        <v>18900-001</v>
      </c>
    </row>
    <row r="445" spans="1:24" x14ac:dyDescent="0.35">
      <c r="A445" t="str">
        <f ca="1">IF(LEFT(TEXT([1]Planilha1!$L445,"0000000"),1)="5","MS","SP")</f>
        <v>SP</v>
      </c>
      <c r="B445" t="str">
        <f ca="1">IF(RIGHT([1]Planilha1!$A445,5)=" - MS",LEFT([1]Planilha1!$A445,LEN([1]Planilha1!$A445)-5),TRIM([1]Planilha1!$A445))</f>
        <v>SANTA GERTRUDES</v>
      </c>
      <c r="C445" s="2">
        <f ca="1">[1]Planilha1!$L445</f>
        <v>3546702</v>
      </c>
      <c r="D445" t="str">
        <f>TRIM([1]Planilha1!$D445)</f>
        <v>Claro</v>
      </c>
      <c r="E445" t="str">
        <f>IF(TRIM([1]Planilha1!$D445)="Claro","Claro","Concorrente")</f>
        <v>Claro</v>
      </c>
      <c r="F445" t="s">
        <v>24</v>
      </c>
      <c r="G445" t="str">
        <f t="shared" ca="1" si="28"/>
        <v>Banda Larga + Movel</v>
      </c>
      <c r="H445" t="str">
        <f ca="1">TRIM([1]Planilha1!$E445)</f>
        <v>600M+100GB=R$119,90 por 3M, após R$159,90</v>
      </c>
      <c r="I445" t="str">
        <f ca="1">IF([1]Planilha1!$F445="","",TRIM([1]Planilha1!$F445))</f>
        <v>Fibra</v>
      </c>
      <c r="J445" s="3">
        <f ca="1">IF([1]Planilha1!$G445="","",[1]Planilha1!$G445)</f>
        <v>600</v>
      </c>
      <c r="K445" s="4" cm="1">
        <f t="array" aca="1" ref="K445" ca="1">IFERROR(VALUE(_xlfn.REGEXEXTRACT([1]Planilha1!$E445,"\+\s*(\d+)GB",2)),"")</f>
        <v>100</v>
      </c>
      <c r="L445" s="5">
        <f ca="1">IF([1]Planilha1!$H445="","",[1]Planilha1!$H445)</f>
        <v>159.9</v>
      </c>
      <c r="M445" s="5">
        <f ca="1">IF([1]Planilha1!$I445="","",[1]Planilha1!$I445)</f>
        <v>119.9</v>
      </c>
      <c r="N445" s="2" cm="1">
        <f t="array" aca="1" ref="N445" ca="1">IFERROR(VALUE(_xlfn.REGEXEXTRACT([1]Planilha1!$E445,"(\d+)\s*MESES",2)),IFERROR(VALUE(_xlfn.REGEXEXTRACT([1]Planilha1!$E445,"por\s*(\d+)\s*M",2)),IF(_xlfn.REGEXTEST([1]Planilha1!$E445,"1[ºª]"),1,"")))</f>
        <v>3</v>
      </c>
      <c r="O445" s="6">
        <f t="shared" ca="1" si="29"/>
        <v>0.26650000000000001</v>
      </c>
      <c r="P445" t="str">
        <f ca="1">IF([1]Planilha1!$J445="","",TRIM([1]Planilha1!$J445))</f>
        <v>GLOBOPLAY</v>
      </c>
      <c r="Q445" s="7" t="str">
        <f>IF($D445="Claro","",IFERROR($L445-VLOOKUP($B445&amp;"|Claro",[1]AUX_CLARO!$A:$C,2,FALSE),""))</f>
        <v/>
      </c>
      <c r="R445" s="8" t="str">
        <f>IF($D445="Claro","",IFERROR($J445-VLOOKUP($B445&amp;"|Claro",[1]AUX_CLARO!$A:$C,3,FALSE),""))</f>
        <v/>
      </c>
      <c r="S445" t="str">
        <f t="shared" si="30"/>
        <v/>
      </c>
      <c r="T445" t="str">
        <f t="shared" si="31"/>
        <v/>
      </c>
      <c r="U445" s="9">
        <f t="shared" si="32"/>
        <v>46174</v>
      </c>
      <c r="V445" t="str">
        <f ca="1">IF(OR([1]Planilha1!$B445="",[1]Planilha1!$B445="NÃO MAPEADO"),"",TRIM([1]Planilha1!$B445))</f>
        <v>CENTRAL</v>
      </c>
      <c r="W445" t="str">
        <f ca="1">IF([1]Planilha1!$C445="","",TRIM([1]Planilha1!$C445))</f>
        <v>ESPECIAL</v>
      </c>
      <c r="X445" t="str">
        <f ca="1">IFERROR(VLOOKUP($C445,[1]Planilha2!$B:$H,7,FALSE),"")</f>
        <v>13510-001</v>
      </c>
    </row>
    <row r="446" spans="1:24" x14ac:dyDescent="0.35">
      <c r="A446" t="str">
        <f ca="1">IF(LEFT(TEXT([1]Planilha1!$L446,"0000000"),1)="5","MS","SP")</f>
        <v>SP</v>
      </c>
      <c r="B446" t="str">
        <f ca="1">IF(RIGHT([1]Planilha1!$A446,5)=" - MS",LEFT([1]Planilha1!$A446,LEN([1]Planilha1!$A446)-5),TRIM([1]Planilha1!$A446))</f>
        <v>SANTA GERTRUDES</v>
      </c>
      <c r="C446" s="2">
        <f ca="1">[1]Planilha1!$L446</f>
        <v>3546702</v>
      </c>
      <c r="D446" t="str">
        <f>TRIM([1]Planilha1!$D446)</f>
        <v>Desktop</v>
      </c>
      <c r="E446" t="str">
        <f>IF(TRIM([1]Planilha1!$D446)="Claro","Claro","Concorrente")</f>
        <v>Concorrente</v>
      </c>
      <c r="F446" t="s">
        <v>29</v>
      </c>
      <c r="G446" t="str">
        <f t="shared" ca="1" si="28"/>
        <v>Banda Larga + Conteudo</v>
      </c>
      <c r="H446" t="str">
        <f ca="1">TRIM([1]Planilha1!$E446)</f>
        <v>600M=R$49,99 por 2M, após R$89,99</v>
      </c>
      <c r="I446" t="str">
        <f ca="1">IF([1]Planilha1!$F446="","",TRIM([1]Planilha1!$F446))</f>
        <v>Fibra</v>
      </c>
      <c r="J446" s="3">
        <f ca="1">IF([1]Planilha1!$G446="","",[1]Planilha1!$G446)</f>
        <v>600</v>
      </c>
      <c r="K446" s="4" t="str" cm="1">
        <f t="array" aca="1" ref="K446" ca="1">IFERROR(VALUE(_xlfn.REGEXEXTRACT([1]Planilha1!$E446,"\+\s*(\d+)GB",2)),"")</f>
        <v/>
      </c>
      <c r="L446" s="5">
        <f ca="1">IF([1]Planilha1!$H446="","",[1]Planilha1!$H446)</f>
        <v>89.99</v>
      </c>
      <c r="M446" s="5">
        <f ca="1">IF([1]Planilha1!$I446="","",[1]Planilha1!$I446)</f>
        <v>49.99</v>
      </c>
      <c r="N446" s="2" cm="1">
        <f t="array" aca="1" ref="N446" ca="1">IFERROR(VALUE(_xlfn.REGEXEXTRACT([1]Planilha1!$E446,"(\d+)\s*MESES",2)),IFERROR(VALUE(_xlfn.REGEXEXTRACT([1]Planilha1!$E446,"por\s*(\d+)\s*M",2)),IF(_xlfn.REGEXTEST([1]Planilha1!$E446,"1[ºª]"),1,"")))</f>
        <v>2</v>
      </c>
      <c r="O446" s="6">
        <f t="shared" ca="1" si="29"/>
        <v>0.14998333333333333</v>
      </c>
      <c r="P446" t="str">
        <f ca="1">IF([1]Planilha1!$J446="","",TRIM([1]Planilha1!$J446))</f>
        <v>0</v>
      </c>
      <c r="Q446" s="7">
        <f ca="1">IF($D446="Claro","",IFERROR($L446-VLOOKUP($B446&amp;"|Claro",[1]AUX_CLARO!$A:$C,2,FALSE),""))</f>
        <v>-69.910000000000011</v>
      </c>
      <c r="R446" s="8">
        <f ca="1">IF($D446="Claro","",IFERROR($J446-VLOOKUP($B446&amp;"|Claro",[1]AUX_CLARO!$A:$C,3,FALSE),""))</f>
        <v>0</v>
      </c>
      <c r="S446" t="str">
        <f t="shared" ca="1" si="30"/>
        <v>Claro mais cara</v>
      </c>
      <c r="T446" t="str">
        <f t="shared" ca="1" si="31"/>
        <v>Mesma velocidade</v>
      </c>
      <c r="U446" s="9">
        <f t="shared" si="32"/>
        <v>46174</v>
      </c>
      <c r="V446" t="str">
        <f ca="1">IF(OR([1]Planilha1!$B446="",[1]Planilha1!$B446="NÃO MAPEADO"),"",TRIM([1]Planilha1!$B446))</f>
        <v>CENTRAL</v>
      </c>
      <c r="W446" t="str">
        <f ca="1">IF([1]Planilha1!$C446="","",TRIM([1]Planilha1!$C446))</f>
        <v>ESPECIAL</v>
      </c>
      <c r="X446" t="str">
        <f ca="1">IFERROR(VLOOKUP($C446,[1]Planilha2!$B:$H,7,FALSE),"")</f>
        <v>13510-001</v>
      </c>
    </row>
    <row r="447" spans="1:24" x14ac:dyDescent="0.35">
      <c r="A447" t="str">
        <f ca="1">IF(LEFT(TEXT([1]Planilha1!$L447,"0000000"),1)="5","MS","SP")</f>
        <v>SP</v>
      </c>
      <c r="B447" t="str">
        <f ca="1">IF(RIGHT([1]Planilha1!$A447,5)=" - MS",LEFT([1]Planilha1!$A447,LEN([1]Planilha1!$A447)-5),TRIM([1]Planilha1!$A447))</f>
        <v>SANTA GERTRUDES</v>
      </c>
      <c r="C447" s="2">
        <f ca="1">[1]Planilha1!$L447</f>
        <v>3546702</v>
      </c>
      <c r="D447" t="str">
        <f>TRIM([1]Planilha1!$D447)</f>
        <v>ISP LOCAL</v>
      </c>
      <c r="E447" t="str">
        <f>IF(TRIM([1]Planilha1!$D447)="Claro","Claro","Concorrente")</f>
        <v>Concorrente</v>
      </c>
      <c r="G447" t="str">
        <f t="shared" ca="1" si="28"/>
        <v>Banda Larga + Conteudo</v>
      </c>
      <c r="H447" t="str">
        <f ca="1">TRIM([1]Planilha1!$E447)</f>
        <v>TELECOM - 600M R$59,90, 3 MESES, APÓS R$119,00</v>
      </c>
      <c r="I447" t="str">
        <f ca="1">IF([1]Planilha1!$F447="","",TRIM([1]Planilha1!$F447))</f>
        <v>Fibra</v>
      </c>
      <c r="J447" s="3">
        <f ca="1">IF([1]Planilha1!$G447="","",[1]Planilha1!$G447)</f>
        <v>600</v>
      </c>
      <c r="K447" s="4" t="str" cm="1">
        <f t="array" aca="1" ref="K447" ca="1">IFERROR(VALUE(_xlfn.REGEXEXTRACT([1]Planilha1!$E447,"\+\s*(\d+)GB",2)),"")</f>
        <v/>
      </c>
      <c r="L447" s="5">
        <f ca="1">IF([1]Planilha1!$H447="","",[1]Planilha1!$H447)</f>
        <v>119</v>
      </c>
      <c r="M447" s="5">
        <f ca="1">IF([1]Planilha1!$I447="","",[1]Planilha1!$I447)</f>
        <v>59.9</v>
      </c>
      <c r="N447" s="2" cm="1">
        <f t="array" aca="1" ref="N447" ca="1">IFERROR(VALUE(_xlfn.REGEXEXTRACT([1]Planilha1!$E447,"(\d+)\s*MESES",2)),IFERROR(VALUE(_xlfn.REGEXEXTRACT([1]Planilha1!$E447,"por\s*(\d+)\s*M",2)),IF(_xlfn.REGEXTEST([1]Planilha1!$E447,"1[ºª]"),1,"")))</f>
        <v>3</v>
      </c>
      <c r="O447" s="6">
        <f t="shared" ca="1" si="29"/>
        <v>0.19833333333333333</v>
      </c>
      <c r="P447" t="str">
        <f ca="1">IF([1]Planilha1!$J447="","",TRIM([1]Planilha1!$J447))</f>
        <v>0</v>
      </c>
      <c r="Q447" s="7">
        <f ca="1">IF($D447="Claro","",IFERROR($L447-VLOOKUP($B447&amp;"|Claro",[1]AUX_CLARO!$A:$C,2,FALSE),""))</f>
        <v>-40.900000000000006</v>
      </c>
      <c r="R447" s="8">
        <f ca="1">IF($D447="Claro","",IFERROR($J447-VLOOKUP($B447&amp;"|Claro",[1]AUX_CLARO!$A:$C,3,FALSE),""))</f>
        <v>0</v>
      </c>
      <c r="S447" t="str">
        <f t="shared" ca="1" si="30"/>
        <v>Claro mais cara</v>
      </c>
      <c r="T447" t="str">
        <f t="shared" ca="1" si="31"/>
        <v>Mesma velocidade</v>
      </c>
      <c r="U447" s="9">
        <f t="shared" si="32"/>
        <v>46174</v>
      </c>
      <c r="V447" t="str">
        <f ca="1">IF(OR([1]Planilha1!$B447="",[1]Planilha1!$B447="NÃO MAPEADO"),"",TRIM([1]Planilha1!$B447))</f>
        <v>CENTRAL</v>
      </c>
      <c r="W447" t="str">
        <f ca="1">IF([1]Planilha1!$C447="","",TRIM([1]Planilha1!$C447))</f>
        <v>ESPECIAL</v>
      </c>
      <c r="X447" t="str">
        <f ca="1">IFERROR(VLOOKUP($C447,[1]Planilha2!$B:$H,7,FALSE),"")</f>
        <v>13510-001</v>
      </c>
    </row>
    <row r="448" spans="1:24" x14ac:dyDescent="0.35">
      <c r="A448" t="str">
        <f ca="1">IF(LEFT(TEXT([1]Planilha1!$L448,"0000000"),1)="5","MS","SP")</f>
        <v>SP</v>
      </c>
      <c r="B448" t="str">
        <f ca="1">IF(RIGHT([1]Planilha1!$A448,5)=" - MS",LEFT([1]Planilha1!$A448,LEN([1]Planilha1!$A448)-5),TRIM([1]Planilha1!$A448))</f>
        <v>SANTA ROSA DE VITERBO</v>
      </c>
      <c r="C448" s="2">
        <f ca="1">[1]Planilha1!$L448</f>
        <v>3547601</v>
      </c>
      <c r="D448" t="str">
        <f>TRIM([1]Planilha1!$D448)</f>
        <v>Claro</v>
      </c>
      <c r="E448" t="str">
        <f>IF(TRIM([1]Planilha1!$D448)="Claro","Claro","Concorrente")</f>
        <v>Claro</v>
      </c>
      <c r="F448" t="s">
        <v>24</v>
      </c>
      <c r="G448" t="str">
        <f t="shared" ca="1" si="28"/>
        <v>Banda Larga + Movel</v>
      </c>
      <c r="H448" t="str">
        <f ca="1">TRIM([1]Planilha1!$E448)</f>
        <v>600M+100GB=R$109,90 por 6M, após R$139,90</v>
      </c>
      <c r="I448" t="str">
        <f ca="1">IF([1]Planilha1!$F448="","",TRIM([1]Planilha1!$F448))</f>
        <v>Fibra</v>
      </c>
      <c r="J448" s="3">
        <f ca="1">IF([1]Planilha1!$G448="","",[1]Planilha1!$G448)</f>
        <v>600</v>
      </c>
      <c r="K448" s="4" cm="1">
        <f t="array" aca="1" ref="K448" ca="1">IFERROR(VALUE(_xlfn.REGEXEXTRACT([1]Planilha1!$E448,"\+\s*(\d+)GB",2)),"")</f>
        <v>100</v>
      </c>
      <c r="L448" s="5">
        <f ca="1">IF([1]Planilha1!$H448="","",[1]Planilha1!$H448)</f>
        <v>139.9</v>
      </c>
      <c r="M448" s="5">
        <f ca="1">IF([1]Planilha1!$I448="","",[1]Planilha1!$I448)</f>
        <v>109.9</v>
      </c>
      <c r="N448" s="2" cm="1">
        <f t="array" aca="1" ref="N448" ca="1">IFERROR(VALUE(_xlfn.REGEXEXTRACT([1]Planilha1!$E448,"(\d+)\s*MESES",2)),IFERROR(VALUE(_xlfn.REGEXEXTRACT([1]Planilha1!$E448,"por\s*(\d+)\s*M",2)),IF(_xlfn.REGEXTEST([1]Planilha1!$E448,"1[ºª]"),1,"")))</f>
        <v>6</v>
      </c>
      <c r="O448" s="6">
        <f t="shared" ca="1" si="29"/>
        <v>0.23316666666666669</v>
      </c>
      <c r="P448" t="str">
        <f ca="1">IF([1]Planilha1!$J448="","",TRIM([1]Planilha1!$J448))</f>
        <v>GLOBOPLAY</v>
      </c>
      <c r="Q448" s="7" t="str">
        <f>IF($D448="Claro","",IFERROR($L448-VLOOKUP($B448&amp;"|Claro",[1]AUX_CLARO!$A:$C,2,FALSE),""))</f>
        <v/>
      </c>
      <c r="R448" s="8" t="str">
        <f>IF($D448="Claro","",IFERROR($J448-VLOOKUP($B448&amp;"|Claro",[1]AUX_CLARO!$A:$C,3,FALSE),""))</f>
        <v/>
      </c>
      <c r="S448" t="str">
        <f t="shared" si="30"/>
        <v/>
      </c>
      <c r="T448" t="str">
        <f t="shared" si="31"/>
        <v/>
      </c>
      <c r="U448" s="9">
        <f t="shared" si="32"/>
        <v>46174</v>
      </c>
      <c r="V448" t="str">
        <f ca="1">IF(OR([1]Planilha1!$B448="",[1]Planilha1!$B448="NÃO MAPEADO"),"",TRIM([1]Planilha1!$B448))</f>
        <v>NOROESTE</v>
      </c>
      <c r="W448" t="str">
        <f ca="1">IF([1]Planilha1!$C448="","",TRIM([1]Planilha1!$C448))</f>
        <v>MD 2</v>
      </c>
      <c r="X448" t="str">
        <f ca="1">IFERROR(VLOOKUP($C448,[1]Planilha2!$B:$H,7,FALSE),"")</f>
        <v>14270-001</v>
      </c>
    </row>
    <row r="449" spans="1:24" x14ac:dyDescent="0.35">
      <c r="A449" t="str">
        <f ca="1">IF(LEFT(TEXT([1]Planilha1!$L449,"0000000"),1)="5","MS","SP")</f>
        <v>SP</v>
      </c>
      <c r="B449" t="str">
        <f ca="1">IF(RIGHT([1]Planilha1!$A449,5)=" - MS",LEFT([1]Planilha1!$A449,LEN([1]Planilha1!$A449)-5),TRIM([1]Planilha1!$A449))</f>
        <v>SANTA ROSA DE VITERBO</v>
      </c>
      <c r="C449" s="2">
        <f ca="1">[1]Planilha1!$L449</f>
        <v>3547601</v>
      </c>
      <c r="D449" t="str">
        <f>TRIM([1]Planilha1!$D449)</f>
        <v>Desktop</v>
      </c>
      <c r="E449" t="str">
        <f>IF(TRIM([1]Planilha1!$D449)="Claro","Claro","Concorrente")</f>
        <v>Concorrente</v>
      </c>
      <c r="F449" t="s">
        <v>29</v>
      </c>
      <c r="G449" t="str">
        <f t="shared" ref="G449:G512" ca="1" si="33">IF($K449&lt;&gt;"","Banda Larga + Movel",IF($P449&lt;&gt;"","Banda Larga + Conteudo","Banda Larga"))</f>
        <v>Banda Larga + Conteudo</v>
      </c>
      <c r="H449" t="str">
        <f ca="1">TRIM([1]Planilha1!$E449)</f>
        <v>600M=R$49,99 por 2M, após R$89,99</v>
      </c>
      <c r="I449" t="str">
        <f ca="1">IF([1]Planilha1!$F449="","",TRIM([1]Planilha1!$F449))</f>
        <v>Fibra</v>
      </c>
      <c r="J449" s="3">
        <f ca="1">IF([1]Planilha1!$G449="","",[1]Planilha1!$G449)</f>
        <v>600</v>
      </c>
      <c r="K449" s="4" t="str" cm="1">
        <f t="array" aca="1" ref="K449" ca="1">IFERROR(VALUE(_xlfn.REGEXEXTRACT([1]Planilha1!$E449,"\+\s*(\d+)GB",2)),"")</f>
        <v/>
      </c>
      <c r="L449" s="5">
        <f ca="1">IF([1]Planilha1!$H449="","",[1]Planilha1!$H449)</f>
        <v>89.99</v>
      </c>
      <c r="M449" s="5">
        <f ca="1">IF([1]Planilha1!$I449="","",[1]Planilha1!$I449)</f>
        <v>49.99</v>
      </c>
      <c r="N449" s="2" cm="1">
        <f t="array" aca="1" ref="N449" ca="1">IFERROR(VALUE(_xlfn.REGEXEXTRACT([1]Planilha1!$E449,"(\d+)\s*MESES",2)),IFERROR(VALUE(_xlfn.REGEXEXTRACT([1]Planilha1!$E449,"por\s*(\d+)\s*M",2)),IF(_xlfn.REGEXTEST([1]Planilha1!$E449,"1[ºª]"),1,"")))</f>
        <v>2</v>
      </c>
      <c r="O449" s="6">
        <f t="shared" ca="1" si="29"/>
        <v>0.14998333333333333</v>
      </c>
      <c r="P449" t="str">
        <f ca="1">IF([1]Planilha1!$J449="","",TRIM([1]Planilha1!$J449))</f>
        <v>0</v>
      </c>
      <c r="Q449" s="7">
        <f ca="1">IF($D449="Claro","",IFERROR($L449-VLOOKUP($B449&amp;"|Claro",[1]AUX_CLARO!$A:$C,2,FALSE),""))</f>
        <v>-49.910000000000011</v>
      </c>
      <c r="R449" s="8">
        <f ca="1">IF($D449="Claro","",IFERROR($J449-VLOOKUP($B449&amp;"|Claro",[1]AUX_CLARO!$A:$C,3,FALSE),""))</f>
        <v>0</v>
      </c>
      <c r="S449" t="str">
        <f t="shared" ca="1" si="30"/>
        <v>Claro mais cara</v>
      </c>
      <c r="T449" t="str">
        <f t="shared" ca="1" si="31"/>
        <v>Mesma velocidade</v>
      </c>
      <c r="U449" s="9">
        <f t="shared" si="32"/>
        <v>46174</v>
      </c>
      <c r="V449" t="str">
        <f ca="1">IF(OR([1]Planilha1!$B449="",[1]Planilha1!$B449="NÃO MAPEADO"),"",TRIM([1]Planilha1!$B449))</f>
        <v>NOROESTE</v>
      </c>
      <c r="W449" t="str">
        <f ca="1">IF([1]Planilha1!$C449="","",TRIM([1]Planilha1!$C449))</f>
        <v>MD 2</v>
      </c>
      <c r="X449" t="str">
        <f ca="1">IFERROR(VLOOKUP($C449,[1]Planilha2!$B:$H,7,FALSE),"")</f>
        <v>14270-001</v>
      </c>
    </row>
    <row r="450" spans="1:24" x14ac:dyDescent="0.35">
      <c r="A450" t="str">
        <f ca="1">IF(LEFT(TEXT([1]Planilha1!$L450,"0000000"),1)="5","MS","SP")</f>
        <v>SP</v>
      </c>
      <c r="B450" t="str">
        <f ca="1">IF(RIGHT([1]Planilha1!$A450,5)=" - MS",LEFT([1]Planilha1!$A450,LEN([1]Planilha1!$A450)-5),TRIM([1]Planilha1!$A450))</f>
        <v>SANTA ROSA DE VITERBO</v>
      </c>
      <c r="C450" s="2">
        <f ca="1">[1]Planilha1!$L450</f>
        <v>3547601</v>
      </c>
      <c r="D450" t="str">
        <f>TRIM([1]Planilha1!$D450)</f>
        <v>ISP LOCAL</v>
      </c>
      <c r="E450" t="str">
        <f>IF(TRIM([1]Planilha1!$D450)="Claro","Claro","Concorrente")</f>
        <v>Concorrente</v>
      </c>
      <c r="F450" t="s">
        <v>45</v>
      </c>
      <c r="G450" t="str">
        <f t="shared" ca="1" si="33"/>
        <v>Banda Larga + Conteudo</v>
      </c>
      <c r="H450" t="str">
        <f ca="1">TRIM([1]Planilha1!$E450)</f>
        <v>ALCANS - 1GB R$109,00</v>
      </c>
      <c r="I450" t="str">
        <f ca="1">IF([1]Planilha1!$F450="","",TRIM([1]Planilha1!$F450))</f>
        <v>Fibra</v>
      </c>
      <c r="J450" s="3">
        <f ca="1">IF([1]Planilha1!$G450="","",[1]Planilha1!$G450)</f>
        <v>1000</v>
      </c>
      <c r="K450" s="4" t="str" cm="1">
        <f t="array" aca="1" ref="K450" ca="1">IFERROR(VALUE(_xlfn.REGEXEXTRACT([1]Planilha1!$E450,"\+\s*(\d+)GB",2)),"")</f>
        <v/>
      </c>
      <c r="L450" s="5">
        <f ca="1">IF([1]Planilha1!$H450="","",[1]Planilha1!$H450)</f>
        <v>109</v>
      </c>
      <c r="M450" s="5" t="str">
        <f ca="1">IF([1]Planilha1!$I450="","",[1]Planilha1!$I450)</f>
        <v/>
      </c>
      <c r="N450" s="2" t="str" cm="1">
        <f t="array" aca="1" ref="N450" ca="1">IFERROR(VALUE(_xlfn.REGEXEXTRACT([1]Planilha1!$E450,"(\d+)\s*MESES",2)),IFERROR(VALUE(_xlfn.REGEXEXTRACT([1]Planilha1!$E450,"por\s*(\d+)\s*M",2)),IF(_xlfn.REGEXTEST([1]Planilha1!$E450,"1[ºª]"),1,"")))</f>
        <v/>
      </c>
      <c r="O450" s="6">
        <f t="shared" ca="1" si="29"/>
        <v>0.109</v>
      </c>
      <c r="P450" t="str">
        <f ca="1">IF([1]Planilha1!$J450="","",TRIM([1]Planilha1!$J450))</f>
        <v>0</v>
      </c>
      <c r="Q450" s="7">
        <f ca="1">IF($D450="Claro","",IFERROR($L450-VLOOKUP($B450&amp;"|Claro",[1]AUX_CLARO!$A:$C,2,FALSE),""))</f>
        <v>-30.900000000000006</v>
      </c>
      <c r="R450" s="8">
        <f ca="1">IF($D450="Claro","",IFERROR($J450-VLOOKUP($B450&amp;"|Claro",[1]AUX_CLARO!$A:$C,3,FALSE),""))</f>
        <v>400</v>
      </c>
      <c r="S450" t="str">
        <f t="shared" ca="1" si="30"/>
        <v>Claro mais cara</v>
      </c>
      <c r="T450" t="str">
        <f t="shared" ca="1" si="31"/>
        <v>Claro com menor velocidade</v>
      </c>
      <c r="U450" s="9">
        <f t="shared" si="32"/>
        <v>46174</v>
      </c>
      <c r="V450" t="str">
        <f ca="1">IF(OR([1]Planilha1!$B450="",[1]Planilha1!$B450="NÃO MAPEADO"),"",TRIM([1]Planilha1!$B450))</f>
        <v>NOROESTE</v>
      </c>
      <c r="W450" t="str">
        <f ca="1">IF([1]Planilha1!$C450="","",TRIM([1]Planilha1!$C450))</f>
        <v>MD 2</v>
      </c>
      <c r="X450" t="str">
        <f ca="1">IFERROR(VLOOKUP($C450,[1]Planilha2!$B:$H,7,FALSE),"")</f>
        <v>14270-001</v>
      </c>
    </row>
    <row r="451" spans="1:24" x14ac:dyDescent="0.35">
      <c r="A451" t="str">
        <f ca="1">IF(LEFT(TEXT([1]Planilha1!$L451,"0000000"),1)="5","MS","SP")</f>
        <v>SP</v>
      </c>
      <c r="B451" t="str">
        <f ca="1">IF(RIGHT([1]Planilha1!$A451,5)=" - MS",LEFT([1]Planilha1!$A451,LEN([1]Planilha1!$A451)-5),TRIM([1]Planilha1!$A451))</f>
        <v>SANTOS</v>
      </c>
      <c r="C451" s="2">
        <f ca="1">[1]Planilha1!$L451</f>
        <v>3548500</v>
      </c>
      <c r="D451" t="str">
        <f>TRIM([1]Planilha1!$D451)</f>
        <v>Claro</v>
      </c>
      <c r="E451" t="str">
        <f>IF(TRIM([1]Planilha1!$D451)="Claro","Claro","Concorrente")</f>
        <v>Claro</v>
      </c>
      <c r="F451" t="s">
        <v>24</v>
      </c>
      <c r="G451" t="str">
        <f t="shared" ca="1" si="33"/>
        <v>Banda Larga + Movel</v>
      </c>
      <c r="H451" t="str">
        <f ca="1">TRIM([1]Planilha1!$E451)</f>
        <v>600M+100GB=R$159,90</v>
      </c>
      <c r="I451" t="str">
        <f ca="1">IF([1]Planilha1!$F451="","",TRIM([1]Planilha1!$F451))</f>
        <v>Fibra</v>
      </c>
      <c r="J451" s="3">
        <f ca="1">IF([1]Planilha1!$G451="","",[1]Planilha1!$G451)</f>
        <v>600</v>
      </c>
      <c r="K451" s="4" cm="1">
        <f t="array" aca="1" ref="K451" ca="1">IFERROR(VALUE(_xlfn.REGEXEXTRACT([1]Planilha1!$E451,"\+\s*(\d+)GB",2)),"")</f>
        <v>100</v>
      </c>
      <c r="L451" s="5">
        <f ca="1">IF([1]Planilha1!$H451="","",[1]Planilha1!$H451)</f>
        <v>159.9</v>
      </c>
      <c r="M451" s="5" t="str">
        <f ca="1">IF([1]Planilha1!$I451="","",[1]Planilha1!$I451)</f>
        <v/>
      </c>
      <c r="N451" s="2" t="str" cm="1">
        <f t="array" aca="1" ref="N451" ca="1">IFERROR(VALUE(_xlfn.REGEXEXTRACT([1]Planilha1!$E451,"(\d+)\s*MESES",2)),IFERROR(VALUE(_xlfn.REGEXEXTRACT([1]Planilha1!$E451,"por\s*(\d+)\s*M",2)),IF(_xlfn.REGEXTEST([1]Planilha1!$E451,"1[ºª]"),1,"")))</f>
        <v/>
      </c>
      <c r="O451" s="6">
        <f t="shared" ref="O451:O514" ca="1" si="34">IF(OR($L451="",$J451="",N($J451)=0),"",$L451/$J451)</f>
        <v>0.26650000000000001</v>
      </c>
      <c r="P451" t="str">
        <f ca="1">IF([1]Planilha1!$J451="","",TRIM([1]Planilha1!$J451))</f>
        <v>GLOBOPLAY</v>
      </c>
      <c r="Q451" s="7" t="str">
        <f>IF($D451="Claro","",IFERROR($L451-VLOOKUP($B451&amp;"|Claro",[1]AUX_CLARO!$A:$C,2,FALSE),""))</f>
        <v/>
      </c>
      <c r="R451" s="8" t="str">
        <f>IF($D451="Claro","",IFERROR($J451-VLOOKUP($B451&amp;"|Claro",[1]AUX_CLARO!$A:$C,3,FALSE),""))</f>
        <v/>
      </c>
      <c r="S451" t="str">
        <f t="shared" ref="S451:S514" si="35">IF($Q451="","",IF($Q451&gt;0,"Claro mais barata",IF($Q451=0,"Mesmo preco","Claro mais cara")))</f>
        <v/>
      </c>
      <c r="T451" t="str">
        <f t="shared" ref="T451:T514" si="36">IF($R451="","",IF($R451&lt;0,"Claro com maior velocidade",IF($R451=0,"Mesma velocidade","Claro com menor velocidade")))</f>
        <v/>
      </c>
      <c r="U451" s="9">
        <f t="shared" ref="U451:U514" si="37">DATE(2026,6,1)</f>
        <v>46174</v>
      </c>
      <c r="V451" t="str">
        <f ca="1">IF(OR([1]Planilha1!$B451="",[1]Planilha1!$B451="NÃO MAPEADO"),"",TRIM([1]Planilha1!$B451))</f>
        <v>LITORAL</v>
      </c>
      <c r="W451" t="str">
        <f ca="1">IF([1]Planilha1!$C451="","",TRIM([1]Planilha1!$C451))</f>
        <v>PADRÃO</v>
      </c>
      <c r="X451" t="str">
        <f ca="1">IFERROR(VLOOKUP($C451,[1]Planilha2!$B:$H,7,FALSE),"")</f>
        <v>11000-001</v>
      </c>
    </row>
    <row r="452" spans="1:24" x14ac:dyDescent="0.35">
      <c r="A452" t="str">
        <f ca="1">IF(LEFT(TEXT([1]Planilha1!$L452,"0000000"),1)="5","MS","SP")</f>
        <v>SP</v>
      </c>
      <c r="B452" t="str">
        <f ca="1">IF(RIGHT([1]Planilha1!$A452,5)=" - MS",LEFT([1]Planilha1!$A452,LEN([1]Planilha1!$A452)-5),TRIM([1]Planilha1!$A452))</f>
        <v>SANTOS</v>
      </c>
      <c r="C452" s="2">
        <f ca="1">[1]Planilha1!$L452</f>
        <v>3548500</v>
      </c>
      <c r="D452" t="str">
        <f>TRIM([1]Planilha1!$D452)</f>
        <v>Vivo</v>
      </c>
      <c r="E452" t="str">
        <f>IF(TRIM([1]Planilha1!$D452)="Claro","Claro","Concorrente")</f>
        <v>Concorrente</v>
      </c>
      <c r="F452" t="s">
        <v>25</v>
      </c>
      <c r="G452" t="str">
        <f t="shared" ca="1" si="33"/>
        <v>Banda Larga + Movel</v>
      </c>
      <c r="H452" t="s">
        <v>26</v>
      </c>
      <c r="I452" t="str">
        <f ca="1">IF([1]Planilha1!$F452="","",TRIM([1]Planilha1!$F452))</f>
        <v>Fibra</v>
      </c>
      <c r="J452" s="11" t="s">
        <v>27</v>
      </c>
      <c r="K452" s="4" cm="1">
        <f t="array" aca="1" ref="K452" ca="1">IFERROR(VALUE(_xlfn.REGEXEXTRACT([1]Planilha1!$E452,"\+\s*(\d+)GB",2)),"")</f>
        <v>70</v>
      </c>
      <c r="L452" s="5">
        <v>160</v>
      </c>
      <c r="M452" s="5" t="str">
        <f ca="1">IF([1]Planilha1!$I452="","",[1]Planilha1!$I452)</f>
        <v/>
      </c>
      <c r="N452" s="2" t="str" cm="1">
        <f t="array" aca="1" ref="N452" ca="1">IFERROR(VALUE(_xlfn.REGEXEXTRACT([1]Planilha1!$E452,"(\d+)\s*MESES",2)),IFERROR(VALUE(_xlfn.REGEXEXTRACT([1]Planilha1!$E452,"por\s*(\d+)\s*M",2)),IF(_xlfn.REGEXTEST([1]Planilha1!$E452,"1[ºª]"),1,"")))</f>
        <v/>
      </c>
      <c r="O452" s="6" t="str">
        <f t="shared" si="34"/>
        <v/>
      </c>
      <c r="P452" t="str">
        <f ca="1">IF([1]Planilha1!$J452="","",TRIM([1]Planilha1!$J452))</f>
        <v>0</v>
      </c>
      <c r="Q452" s="7">
        <f ca="1">IF($D452="Claro","",IFERROR($L452-VLOOKUP($B452&amp;"|Claro",[1]AUX_CLARO!$A:$C,2,FALSE),""))</f>
        <v>9.9999999999994316E-2</v>
      </c>
      <c r="R452" s="8" t="str">
        <f ca="1">IF($D452="Claro","",IFERROR($J452-VLOOKUP($B452&amp;"|Claro",[1]AUX_CLARO!$A:$C,3,FALSE),""))</f>
        <v/>
      </c>
      <c r="S452" t="str">
        <f t="shared" ca="1" si="35"/>
        <v>Claro mais barata</v>
      </c>
      <c r="T452" t="str">
        <f t="shared" ca="1" si="36"/>
        <v/>
      </c>
      <c r="U452" s="9">
        <f t="shared" si="37"/>
        <v>46174</v>
      </c>
      <c r="V452" t="str">
        <f ca="1">IF(OR([1]Planilha1!$B452="",[1]Planilha1!$B452="NÃO MAPEADO"),"",TRIM([1]Planilha1!$B452))</f>
        <v>LITORAL</v>
      </c>
      <c r="W452" t="str">
        <f ca="1">IF([1]Planilha1!$C452="","",TRIM([1]Planilha1!$C452))</f>
        <v>PADRÃO</v>
      </c>
      <c r="X452" t="str">
        <f ca="1">IFERROR(VLOOKUP($C452,[1]Planilha2!$B:$H,7,FALSE),"")</f>
        <v>11000-001</v>
      </c>
    </row>
    <row r="453" spans="1:24" x14ac:dyDescent="0.35">
      <c r="A453" t="str">
        <f ca="1">IF(LEFT(TEXT([1]Planilha1!$L453,"0000000"),1)="5","MS","SP")</f>
        <v>SP</v>
      </c>
      <c r="B453" t="str">
        <f ca="1">IF(RIGHT([1]Planilha1!$A453,5)=" - MS",LEFT([1]Planilha1!$A453,LEN([1]Planilha1!$A453)-5),TRIM([1]Planilha1!$A453))</f>
        <v>SANTOS</v>
      </c>
      <c r="C453" s="2">
        <f ca="1">[1]Planilha1!$L453</f>
        <v>3548500</v>
      </c>
      <c r="D453" t="str">
        <f>TRIM([1]Planilha1!$D453)</f>
        <v>Desktop</v>
      </c>
      <c r="E453" t="str">
        <f>IF(TRIM([1]Planilha1!$D453)="Claro","Claro","Concorrente")</f>
        <v>Concorrente</v>
      </c>
      <c r="F453" t="s">
        <v>29</v>
      </c>
      <c r="G453" t="str">
        <f t="shared" ca="1" si="33"/>
        <v>Banda Larga + Movel</v>
      </c>
      <c r="H453" t="str">
        <f ca="1">TRIM([1]Planilha1!$E453)</f>
        <v>600M+15GB=R$129,99 - 6 MESES, APÓS R$139,99</v>
      </c>
      <c r="I453" t="str">
        <f ca="1">IF([1]Planilha1!$F453="","",TRIM([1]Planilha1!$F453))</f>
        <v>Fibra</v>
      </c>
      <c r="J453" s="3">
        <f ca="1">IF([1]Planilha1!$G453="","",[1]Planilha1!$G453)</f>
        <v>600</v>
      </c>
      <c r="K453" s="4" cm="1">
        <f t="array" aca="1" ref="K453" ca="1">IFERROR(VALUE(_xlfn.REGEXEXTRACT([1]Planilha1!$E453,"\+\s*(\d+)GB",2)),"")</f>
        <v>15</v>
      </c>
      <c r="L453" s="5">
        <f ca="1">IF([1]Planilha1!$H453="","",[1]Planilha1!$H453)</f>
        <v>139.99</v>
      </c>
      <c r="M453" s="5">
        <f ca="1">IF([1]Planilha1!$I453="","",[1]Planilha1!$I453)</f>
        <v>129.99</v>
      </c>
      <c r="N453" s="2" cm="1">
        <f t="array" aca="1" ref="N453" ca="1">IFERROR(VALUE(_xlfn.REGEXEXTRACT([1]Planilha1!$E453,"(\d+)\s*MESES",2)),IFERROR(VALUE(_xlfn.REGEXEXTRACT([1]Planilha1!$E453,"por\s*(\d+)\s*M",2)),IF(_xlfn.REGEXTEST([1]Planilha1!$E453,"1[ºª]"),1,"")))</f>
        <v>6</v>
      </c>
      <c r="O453" s="6">
        <f t="shared" ca="1" si="34"/>
        <v>0.23331666666666667</v>
      </c>
      <c r="P453" t="str">
        <f ca="1">IF([1]Planilha1!$J453="","",TRIM([1]Planilha1!$J453))</f>
        <v>0</v>
      </c>
      <c r="Q453" s="7">
        <f ca="1">IF($D453="Claro","",IFERROR($L453-VLOOKUP($B453&amp;"|Claro",[1]AUX_CLARO!$A:$C,2,FALSE),""))</f>
        <v>-19.909999999999997</v>
      </c>
      <c r="R453" s="8">
        <f ca="1">IF($D453="Claro","",IFERROR($J453-VLOOKUP($B453&amp;"|Claro",[1]AUX_CLARO!$A:$C,3,FALSE),""))</f>
        <v>0</v>
      </c>
      <c r="S453" t="str">
        <f t="shared" ca="1" si="35"/>
        <v>Claro mais cara</v>
      </c>
      <c r="T453" t="str">
        <f t="shared" ca="1" si="36"/>
        <v>Mesma velocidade</v>
      </c>
      <c r="U453" s="9">
        <f t="shared" si="37"/>
        <v>46174</v>
      </c>
      <c r="V453" t="str">
        <f ca="1">IF(OR([1]Planilha1!$B453="",[1]Planilha1!$B453="NÃO MAPEADO"),"",TRIM([1]Planilha1!$B453))</f>
        <v>LITORAL</v>
      </c>
      <c r="W453" t="str">
        <f ca="1">IF([1]Planilha1!$C453="","",TRIM([1]Planilha1!$C453))</f>
        <v>PADRÃO</v>
      </c>
      <c r="X453" t="str">
        <f ca="1">IFERROR(VLOOKUP($C453,[1]Planilha2!$B:$H,7,FALSE),"")</f>
        <v>11000-001</v>
      </c>
    </row>
    <row r="454" spans="1:24" x14ac:dyDescent="0.35">
      <c r="A454" t="str">
        <f ca="1">IF(LEFT(TEXT([1]Planilha1!$L454,"0000000"),1)="5","MS","SP")</f>
        <v>SP</v>
      </c>
      <c r="B454" t="str">
        <f ca="1">IF(RIGHT([1]Planilha1!$A454,5)=" - MS",LEFT([1]Planilha1!$A454,LEN([1]Planilha1!$A454)-5),TRIM([1]Planilha1!$A454))</f>
        <v>SANTOS</v>
      </c>
      <c r="C454" s="2">
        <f ca="1">[1]Planilha1!$L454</f>
        <v>3548500</v>
      </c>
      <c r="D454" t="str">
        <f>TRIM([1]Planilha1!$D454)</f>
        <v>Algar</v>
      </c>
      <c r="E454" t="str">
        <f>IF(TRIM([1]Planilha1!$D454)="Claro","Claro","Concorrente")</f>
        <v>Concorrente</v>
      </c>
      <c r="F454" t="s">
        <v>38</v>
      </c>
      <c r="G454" t="str">
        <f t="shared" ca="1" si="33"/>
        <v>Banda Larga + Conteudo</v>
      </c>
      <c r="H454" t="str">
        <f ca="1">TRIM([1]Planilha1!$E454)</f>
        <v>800M R$99,90</v>
      </c>
      <c r="I454" t="str">
        <f ca="1">IF([1]Planilha1!$F454="","",TRIM([1]Planilha1!$F454))</f>
        <v>Fibra</v>
      </c>
      <c r="J454" s="3">
        <f ca="1">IF([1]Planilha1!$G454="","",[1]Planilha1!$G454)</f>
        <v>800</v>
      </c>
      <c r="K454" s="4" t="str" cm="1">
        <f t="array" aca="1" ref="K454" ca="1">IFERROR(VALUE(_xlfn.REGEXEXTRACT([1]Planilha1!$E454,"\+\s*(\d+)GB",2)),"")</f>
        <v/>
      </c>
      <c r="L454" s="5">
        <f ca="1">IF([1]Planilha1!$H454="","",[1]Planilha1!$H454)</f>
        <v>99.9</v>
      </c>
      <c r="M454" s="5" t="str">
        <f ca="1">IF([1]Planilha1!$I454="","",[1]Planilha1!$I454)</f>
        <v/>
      </c>
      <c r="N454" s="2" t="str" cm="1">
        <f t="array" aca="1" ref="N454" ca="1">IFERROR(VALUE(_xlfn.REGEXEXTRACT([1]Planilha1!$E454,"(\d+)\s*MESES",2)),IFERROR(VALUE(_xlfn.REGEXEXTRACT([1]Planilha1!$E454,"por\s*(\d+)\s*M",2)),IF(_xlfn.REGEXTEST([1]Planilha1!$E454,"1[ºª]"),1,"")))</f>
        <v/>
      </c>
      <c r="O454" s="6">
        <f t="shared" ca="1" si="34"/>
        <v>0.12487500000000001</v>
      </c>
      <c r="P454" t="str">
        <f ca="1">IF([1]Planilha1!$J454="","",TRIM([1]Planilha1!$J454))</f>
        <v>0</v>
      </c>
      <c r="Q454" s="7">
        <f ca="1">IF($D454="Claro","",IFERROR($L454-VLOOKUP($B454&amp;"|Claro",[1]AUX_CLARO!$A:$C,2,FALSE),""))</f>
        <v>-60</v>
      </c>
      <c r="R454" s="8">
        <f ca="1">IF($D454="Claro","",IFERROR($J454-VLOOKUP($B454&amp;"|Claro",[1]AUX_CLARO!$A:$C,3,FALSE),""))</f>
        <v>200</v>
      </c>
      <c r="S454" t="str">
        <f t="shared" ca="1" si="35"/>
        <v>Claro mais cara</v>
      </c>
      <c r="T454" t="str">
        <f t="shared" ca="1" si="36"/>
        <v>Claro com menor velocidade</v>
      </c>
      <c r="U454" s="9">
        <f t="shared" si="37"/>
        <v>46174</v>
      </c>
      <c r="V454" t="str">
        <f ca="1">IF(OR([1]Planilha1!$B454="",[1]Planilha1!$B454="NÃO MAPEADO"),"",TRIM([1]Planilha1!$B454))</f>
        <v>LITORAL</v>
      </c>
      <c r="W454" t="str">
        <f ca="1">IF([1]Planilha1!$C454="","",TRIM([1]Planilha1!$C454))</f>
        <v>PADRÃO</v>
      </c>
      <c r="X454" t="str">
        <f ca="1">IFERROR(VLOOKUP($C454,[1]Planilha2!$B:$H,7,FALSE),"")</f>
        <v>11000-001</v>
      </c>
    </row>
    <row r="455" spans="1:24" x14ac:dyDescent="0.35">
      <c r="A455" t="str">
        <f ca="1">IF(LEFT(TEXT([1]Planilha1!$L455,"0000000"),1)="5","MS","SP")</f>
        <v>SP</v>
      </c>
      <c r="B455" t="str">
        <f ca="1">IF(RIGHT([1]Planilha1!$A455,5)=" - MS",LEFT([1]Planilha1!$A455,LEN([1]Planilha1!$A455)-5),TRIM([1]Planilha1!$A455))</f>
        <v>SANTOS</v>
      </c>
      <c r="C455" s="2">
        <f ca="1">[1]Planilha1!$L455</f>
        <v>3548500</v>
      </c>
      <c r="D455" t="str">
        <f>TRIM([1]Planilha1!$D455)</f>
        <v>ISP LOCAL</v>
      </c>
      <c r="E455" t="str">
        <f>IF(TRIM([1]Planilha1!$D455)="Claro","Claro","Concorrente")</f>
        <v>Concorrente</v>
      </c>
      <c r="F455" t="s">
        <v>47</v>
      </c>
      <c r="G455" t="str">
        <f t="shared" ca="1" si="33"/>
        <v>Banda Larga + Conteudo</v>
      </c>
      <c r="H455" t="str">
        <f ca="1">TRIM([1]Planilha1!$E455)</f>
        <v>ALLOHA - 600M + GLOBOPLAY R$109,99</v>
      </c>
      <c r="I455" t="str">
        <f ca="1">IF([1]Planilha1!$F455="","",TRIM([1]Planilha1!$F455))</f>
        <v>Fibra</v>
      </c>
      <c r="J455" s="3">
        <f ca="1">IF([1]Planilha1!$G455="","",[1]Planilha1!$G455)</f>
        <v>600</v>
      </c>
      <c r="K455" s="4" t="str" cm="1">
        <f t="array" aca="1" ref="K455" ca="1">IFERROR(VALUE(_xlfn.REGEXEXTRACT([1]Planilha1!$E455,"\+\s*(\d+)GB",2)),"")</f>
        <v/>
      </c>
      <c r="L455" s="5">
        <f ca="1">IF([1]Planilha1!$H455="","",[1]Planilha1!$H455)</f>
        <v>109.99</v>
      </c>
      <c r="M455" s="5" t="str">
        <f ca="1">IF([1]Planilha1!$I455="","",[1]Planilha1!$I455)</f>
        <v/>
      </c>
      <c r="N455" s="2" t="str" cm="1">
        <f t="array" aca="1" ref="N455" ca="1">IFERROR(VALUE(_xlfn.REGEXEXTRACT([1]Planilha1!$E455,"(\d+)\s*MESES",2)),IFERROR(VALUE(_xlfn.REGEXEXTRACT([1]Planilha1!$E455,"por\s*(\d+)\s*M",2)),IF(_xlfn.REGEXTEST([1]Planilha1!$E455,"1[ºª]"),1,"")))</f>
        <v/>
      </c>
      <c r="O455" s="6">
        <f t="shared" ca="1" si="34"/>
        <v>0.18331666666666666</v>
      </c>
      <c r="P455" t="str">
        <f ca="1">IF([1]Planilha1!$J455="","",TRIM([1]Planilha1!$J455))</f>
        <v>GLOBOPLAY</v>
      </c>
      <c r="Q455" s="7">
        <f ca="1">IF($D455="Claro","",IFERROR($L455-VLOOKUP($B455&amp;"|Claro",[1]AUX_CLARO!$A:$C,2,FALSE),""))</f>
        <v>-49.910000000000011</v>
      </c>
      <c r="R455" s="8">
        <f ca="1">IF($D455="Claro","",IFERROR($J455-VLOOKUP($B455&amp;"|Claro",[1]AUX_CLARO!$A:$C,3,FALSE),""))</f>
        <v>0</v>
      </c>
      <c r="S455" t="str">
        <f t="shared" ca="1" si="35"/>
        <v>Claro mais cara</v>
      </c>
      <c r="T455" t="str">
        <f t="shared" ca="1" si="36"/>
        <v>Mesma velocidade</v>
      </c>
      <c r="U455" s="9">
        <f t="shared" si="37"/>
        <v>46174</v>
      </c>
      <c r="V455" t="str">
        <f ca="1">IF(OR([1]Planilha1!$B455="",[1]Planilha1!$B455="NÃO MAPEADO"),"",TRIM([1]Planilha1!$B455))</f>
        <v>LITORAL</v>
      </c>
      <c r="W455" t="str">
        <f ca="1">IF([1]Planilha1!$C455="","",TRIM([1]Planilha1!$C455))</f>
        <v>PADRÃO</v>
      </c>
      <c r="X455" t="str">
        <f ca="1">IFERROR(VLOOKUP($C455,[1]Planilha2!$B:$H,7,FALSE),"")</f>
        <v>11000-001</v>
      </c>
    </row>
    <row r="456" spans="1:24" x14ac:dyDescent="0.35">
      <c r="A456" t="str">
        <f ca="1">IF(LEFT(TEXT([1]Planilha1!$L456,"0000000"),1)="5","MS","SP")</f>
        <v>SP</v>
      </c>
      <c r="B456" t="str">
        <f ca="1">IF(RIGHT([1]Planilha1!$A456,5)=" - MS",LEFT([1]Planilha1!$A456,LEN([1]Planilha1!$A456)-5),TRIM([1]Planilha1!$A456))</f>
        <v>SAO CARLOS</v>
      </c>
      <c r="C456" s="2">
        <f ca="1">[1]Planilha1!$L456</f>
        <v>3548906</v>
      </c>
      <c r="D456" t="str">
        <f>TRIM([1]Planilha1!$D456)</f>
        <v>Claro</v>
      </c>
      <c r="E456" t="str">
        <f>IF(TRIM([1]Planilha1!$D456)="Claro","Claro","Concorrente")</f>
        <v>Claro</v>
      </c>
      <c r="F456" t="s">
        <v>24</v>
      </c>
      <c r="G456" t="str">
        <f t="shared" ca="1" si="33"/>
        <v>Banda Larga + Movel</v>
      </c>
      <c r="H456" t="str">
        <f ca="1">TRIM([1]Planilha1!$E456)</f>
        <v>600M+100GB=R$159,90</v>
      </c>
      <c r="I456" t="str">
        <f ca="1">IF([1]Planilha1!$F456="","",TRIM([1]Planilha1!$F456))</f>
        <v>Fibra</v>
      </c>
      <c r="J456" s="3">
        <f ca="1">IF([1]Planilha1!$G456="","",[1]Planilha1!$G456)</f>
        <v>600</v>
      </c>
      <c r="K456" s="4" cm="1">
        <f t="array" aca="1" ref="K456" ca="1">IFERROR(VALUE(_xlfn.REGEXEXTRACT([1]Planilha1!$E456,"\+\s*(\d+)GB",2)),"")</f>
        <v>100</v>
      </c>
      <c r="L456" s="5">
        <f ca="1">IF([1]Planilha1!$H456="","",[1]Planilha1!$H456)</f>
        <v>159.9</v>
      </c>
      <c r="M456" s="5" t="str">
        <f ca="1">IF([1]Planilha1!$I456="","",[1]Planilha1!$I456)</f>
        <v/>
      </c>
      <c r="N456" s="2" t="str" cm="1">
        <f t="array" aca="1" ref="N456" ca="1">IFERROR(VALUE(_xlfn.REGEXEXTRACT([1]Planilha1!$E456,"(\d+)\s*MESES",2)),IFERROR(VALUE(_xlfn.REGEXEXTRACT([1]Planilha1!$E456,"por\s*(\d+)\s*M",2)),IF(_xlfn.REGEXTEST([1]Planilha1!$E456,"1[ºª]"),1,"")))</f>
        <v/>
      </c>
      <c r="O456" s="6">
        <f t="shared" ca="1" si="34"/>
        <v>0.26650000000000001</v>
      </c>
      <c r="P456" t="str">
        <f ca="1">IF([1]Planilha1!$J456="","",TRIM([1]Planilha1!$J456))</f>
        <v>GLOBOPLAY</v>
      </c>
      <c r="Q456" s="7" t="str">
        <f>IF($D456="Claro","",IFERROR($L456-VLOOKUP($B456&amp;"|Claro",[1]AUX_CLARO!$A:$C,2,FALSE),""))</f>
        <v/>
      </c>
      <c r="R456" s="8" t="str">
        <f>IF($D456="Claro","",IFERROR($J456-VLOOKUP($B456&amp;"|Claro",[1]AUX_CLARO!$A:$C,3,FALSE),""))</f>
        <v/>
      </c>
      <c r="S456" t="str">
        <f t="shared" si="35"/>
        <v/>
      </c>
      <c r="T456" t="str">
        <f t="shared" si="36"/>
        <v/>
      </c>
      <c r="U456" s="9">
        <f t="shared" si="37"/>
        <v>46174</v>
      </c>
      <c r="V456" t="str">
        <f ca="1">IF(OR([1]Planilha1!$B456="",[1]Planilha1!$B456="NÃO MAPEADO"),"",TRIM([1]Planilha1!$B456))</f>
        <v>OESTE</v>
      </c>
      <c r="W456" t="str">
        <f ca="1">IF([1]Planilha1!$C456="","",TRIM([1]Planilha1!$C456))</f>
        <v>PADRÃO</v>
      </c>
      <c r="X456" t="str">
        <f ca="1">IFERROR(VLOOKUP($C456,[1]Planilha2!$B:$H,7,FALSE),"")</f>
        <v>13560-001</v>
      </c>
    </row>
    <row r="457" spans="1:24" x14ac:dyDescent="0.35">
      <c r="A457" t="str">
        <f ca="1">IF(LEFT(TEXT([1]Planilha1!$L457,"0000000"),1)="5","MS","SP")</f>
        <v>SP</v>
      </c>
      <c r="B457" t="str">
        <f ca="1">IF(RIGHT([1]Planilha1!$A457,5)=" - MS",LEFT([1]Planilha1!$A457,LEN([1]Planilha1!$A457)-5),TRIM([1]Planilha1!$A457))</f>
        <v>SAO CARLOS</v>
      </c>
      <c r="C457" s="2">
        <f ca="1">[1]Planilha1!$L457</f>
        <v>3548906</v>
      </c>
      <c r="D457" t="str">
        <f>TRIM([1]Planilha1!$D457)</f>
        <v>Vivo</v>
      </c>
      <c r="E457" t="str">
        <f>IF(TRIM([1]Planilha1!$D457)="Claro","Claro","Concorrente")</f>
        <v>Concorrente</v>
      </c>
      <c r="F457" t="s">
        <v>25</v>
      </c>
      <c r="G457" t="str">
        <f t="shared" ca="1" si="33"/>
        <v>Banda Larga + Movel</v>
      </c>
      <c r="H457" t="s">
        <v>26</v>
      </c>
      <c r="I457" t="str">
        <f ca="1">IF([1]Planilha1!$F457="","",TRIM([1]Planilha1!$F457))</f>
        <v>Fibra</v>
      </c>
      <c r="J457" s="11" t="s">
        <v>27</v>
      </c>
      <c r="K457" s="4" cm="1">
        <f t="array" aca="1" ref="K457" ca="1">IFERROR(VALUE(_xlfn.REGEXEXTRACT([1]Planilha1!$E457,"\+\s*(\d+)GB",2)),"")</f>
        <v>70</v>
      </c>
      <c r="L457" s="5">
        <v>160</v>
      </c>
      <c r="M457" s="5" t="str">
        <f ca="1">IF([1]Planilha1!$I457="","",[1]Planilha1!$I457)</f>
        <v/>
      </c>
      <c r="N457" s="2" t="str" cm="1">
        <f t="array" aca="1" ref="N457" ca="1">IFERROR(VALUE(_xlfn.REGEXEXTRACT([1]Planilha1!$E457,"(\d+)\s*MESES",2)),IFERROR(VALUE(_xlfn.REGEXEXTRACT([1]Planilha1!$E457,"por\s*(\d+)\s*M",2)),IF(_xlfn.REGEXTEST([1]Planilha1!$E457,"1[ºª]"),1,"")))</f>
        <v/>
      </c>
      <c r="O457" s="6" t="str">
        <f t="shared" si="34"/>
        <v/>
      </c>
      <c r="P457" t="str">
        <f ca="1">IF([1]Planilha1!$J457="","",TRIM([1]Planilha1!$J457))</f>
        <v>0</v>
      </c>
      <c r="Q457" s="7">
        <f ca="1">IF($D457="Claro","",IFERROR($L457-VLOOKUP($B457&amp;"|Claro",[1]AUX_CLARO!$A:$C,2,FALSE),""))</f>
        <v>9.9999999999994316E-2</v>
      </c>
      <c r="R457" s="8" t="str">
        <f ca="1">IF($D457="Claro","",IFERROR($J457-VLOOKUP($B457&amp;"|Claro",[1]AUX_CLARO!$A:$C,3,FALSE),""))</f>
        <v/>
      </c>
      <c r="S457" t="str">
        <f t="shared" ca="1" si="35"/>
        <v>Claro mais barata</v>
      </c>
      <c r="T457" t="str">
        <f t="shared" ca="1" si="36"/>
        <v/>
      </c>
      <c r="U457" s="9">
        <f t="shared" si="37"/>
        <v>46174</v>
      </c>
      <c r="V457" t="str">
        <f ca="1">IF(OR([1]Planilha1!$B457="",[1]Planilha1!$B457="NÃO MAPEADO"),"",TRIM([1]Planilha1!$B457))</f>
        <v>OESTE</v>
      </c>
      <c r="W457" t="str">
        <f ca="1">IF([1]Planilha1!$C457="","",TRIM([1]Planilha1!$C457))</f>
        <v>PADRÃO</v>
      </c>
      <c r="X457" t="str">
        <f ca="1">IFERROR(VLOOKUP($C457,[1]Planilha2!$B:$H,7,FALSE),"")</f>
        <v>13560-001</v>
      </c>
    </row>
    <row r="458" spans="1:24" x14ac:dyDescent="0.35">
      <c r="A458" t="str">
        <f ca="1">IF(LEFT(TEXT([1]Planilha1!$L458,"0000000"),1)="5","MS","SP")</f>
        <v>SP</v>
      </c>
      <c r="B458" t="str">
        <f ca="1">IF(RIGHT([1]Planilha1!$A458,5)=" - MS",LEFT([1]Planilha1!$A458,LEN([1]Planilha1!$A458)-5),TRIM([1]Planilha1!$A458))</f>
        <v>SAO CARLOS</v>
      </c>
      <c r="C458" s="2">
        <f ca="1">[1]Planilha1!$L458</f>
        <v>3548906</v>
      </c>
      <c r="D458" t="str">
        <f>TRIM([1]Planilha1!$D458)</f>
        <v>Desktop</v>
      </c>
      <c r="E458" t="str">
        <f>IF(TRIM([1]Planilha1!$D458)="Claro","Claro","Concorrente")</f>
        <v>Concorrente</v>
      </c>
      <c r="F458" t="s">
        <v>29</v>
      </c>
      <c r="G458" t="str">
        <f t="shared" ca="1" si="33"/>
        <v>Banda Larga + Movel</v>
      </c>
      <c r="H458" t="str">
        <f ca="1">TRIM([1]Planilha1!$E458)</f>
        <v>600M+15GB=R$129,99 - 6 MESES, APÓS R$139,99</v>
      </c>
      <c r="I458" t="str">
        <f ca="1">IF([1]Planilha1!$F458="","",TRIM([1]Planilha1!$F458))</f>
        <v>Fibra</v>
      </c>
      <c r="J458" s="3">
        <f ca="1">IF([1]Planilha1!$G458="","",[1]Planilha1!$G458)</f>
        <v>600</v>
      </c>
      <c r="K458" s="4" cm="1">
        <f t="array" aca="1" ref="K458" ca="1">IFERROR(VALUE(_xlfn.REGEXEXTRACT([1]Planilha1!$E458,"\+\s*(\d+)GB",2)),"")</f>
        <v>15</v>
      </c>
      <c r="L458" s="5">
        <f ca="1">IF([1]Planilha1!$H458="","",[1]Planilha1!$H458)</f>
        <v>139.99</v>
      </c>
      <c r="M458" s="5">
        <f ca="1">IF([1]Planilha1!$I458="","",[1]Planilha1!$I458)</f>
        <v>129.99</v>
      </c>
      <c r="N458" s="2" cm="1">
        <f t="array" aca="1" ref="N458" ca="1">IFERROR(VALUE(_xlfn.REGEXEXTRACT([1]Planilha1!$E458,"(\d+)\s*MESES",2)),IFERROR(VALUE(_xlfn.REGEXEXTRACT([1]Planilha1!$E458,"por\s*(\d+)\s*M",2)),IF(_xlfn.REGEXTEST([1]Planilha1!$E458,"1[ºª]"),1,"")))</f>
        <v>6</v>
      </c>
      <c r="O458" s="6">
        <f t="shared" ca="1" si="34"/>
        <v>0.23331666666666667</v>
      </c>
      <c r="P458" t="str">
        <f ca="1">IF([1]Planilha1!$J458="","",TRIM([1]Planilha1!$J458))</f>
        <v>0</v>
      </c>
      <c r="Q458" s="7">
        <f ca="1">IF($D458="Claro","",IFERROR($L458-VLOOKUP($B458&amp;"|Claro",[1]AUX_CLARO!$A:$C,2,FALSE),""))</f>
        <v>-19.909999999999997</v>
      </c>
      <c r="R458" s="8">
        <f ca="1">IF($D458="Claro","",IFERROR($J458-VLOOKUP($B458&amp;"|Claro",[1]AUX_CLARO!$A:$C,3,FALSE),""))</f>
        <v>0</v>
      </c>
      <c r="S458" t="str">
        <f t="shared" ca="1" si="35"/>
        <v>Claro mais cara</v>
      </c>
      <c r="T458" t="str">
        <f t="shared" ca="1" si="36"/>
        <v>Mesma velocidade</v>
      </c>
      <c r="U458" s="9">
        <f t="shared" si="37"/>
        <v>46174</v>
      </c>
      <c r="V458" t="str">
        <f ca="1">IF(OR([1]Planilha1!$B458="",[1]Planilha1!$B458="NÃO MAPEADO"),"",TRIM([1]Planilha1!$B458))</f>
        <v>OESTE</v>
      </c>
      <c r="W458" t="str">
        <f ca="1">IF([1]Planilha1!$C458="","",TRIM([1]Planilha1!$C458))</f>
        <v>PADRÃO</v>
      </c>
      <c r="X458" t="str">
        <f ca="1">IFERROR(VLOOKUP($C458,[1]Planilha2!$B:$H,7,FALSE),"")</f>
        <v>13560-001</v>
      </c>
    </row>
    <row r="459" spans="1:24" x14ac:dyDescent="0.35">
      <c r="A459" t="str">
        <f ca="1">IF(LEFT(TEXT([1]Planilha1!$L459,"0000000"),1)="5","MS","SP")</f>
        <v>SP</v>
      </c>
      <c r="B459" t="str">
        <f ca="1">IF(RIGHT([1]Planilha1!$A459,5)=" - MS",LEFT([1]Planilha1!$A459,LEN([1]Planilha1!$A459)-5),TRIM([1]Planilha1!$A459))</f>
        <v>SAO CARLOS</v>
      </c>
      <c r="C459" s="2">
        <f ca="1">[1]Planilha1!$L459</f>
        <v>3548906</v>
      </c>
      <c r="D459" t="str">
        <f>TRIM([1]Planilha1!$D459)</f>
        <v>Algar</v>
      </c>
      <c r="E459" t="str">
        <f>IF(TRIM([1]Planilha1!$D459)="Claro","Claro","Concorrente")</f>
        <v>Concorrente</v>
      </c>
      <c r="F459" t="s">
        <v>38</v>
      </c>
      <c r="G459" t="str">
        <f t="shared" ca="1" si="33"/>
        <v>Banda Larga + Conteudo</v>
      </c>
      <c r="H459" t="str">
        <f ca="1">TRIM([1]Planilha1!$E459)</f>
        <v>800M R$99,90</v>
      </c>
      <c r="I459" t="str">
        <f ca="1">IF([1]Planilha1!$F459="","",TRIM([1]Planilha1!$F459))</f>
        <v>Fibra</v>
      </c>
      <c r="J459" s="3">
        <f ca="1">IF([1]Planilha1!$G459="","",[1]Planilha1!$G459)</f>
        <v>800</v>
      </c>
      <c r="K459" s="4" t="str" cm="1">
        <f t="array" aca="1" ref="K459" ca="1">IFERROR(VALUE(_xlfn.REGEXEXTRACT([1]Planilha1!$E459,"\+\s*(\d+)GB",2)),"")</f>
        <v/>
      </c>
      <c r="L459" s="5">
        <f ca="1">IF([1]Planilha1!$H459="","",[1]Planilha1!$H459)</f>
        <v>99.9</v>
      </c>
      <c r="M459" s="5" t="str">
        <f ca="1">IF([1]Planilha1!$I459="","",[1]Planilha1!$I459)</f>
        <v/>
      </c>
      <c r="N459" s="2" t="str" cm="1">
        <f t="array" aca="1" ref="N459" ca="1">IFERROR(VALUE(_xlfn.REGEXEXTRACT([1]Planilha1!$E459,"(\d+)\s*MESES",2)),IFERROR(VALUE(_xlfn.REGEXEXTRACT([1]Planilha1!$E459,"por\s*(\d+)\s*M",2)),IF(_xlfn.REGEXTEST([1]Planilha1!$E459,"1[ºª]"),1,"")))</f>
        <v/>
      </c>
      <c r="O459" s="6">
        <f t="shared" ca="1" si="34"/>
        <v>0.12487500000000001</v>
      </c>
      <c r="P459" t="str">
        <f ca="1">IF([1]Planilha1!$J459="","",TRIM([1]Planilha1!$J459))</f>
        <v>0</v>
      </c>
      <c r="Q459" s="7">
        <f ca="1">IF($D459="Claro","",IFERROR($L459-VLOOKUP($B459&amp;"|Claro",[1]AUX_CLARO!$A:$C,2,FALSE),""))</f>
        <v>-60</v>
      </c>
      <c r="R459" s="8">
        <f ca="1">IF($D459="Claro","",IFERROR($J459-VLOOKUP($B459&amp;"|Claro",[1]AUX_CLARO!$A:$C,3,FALSE),""))</f>
        <v>200</v>
      </c>
      <c r="S459" t="str">
        <f t="shared" ca="1" si="35"/>
        <v>Claro mais cara</v>
      </c>
      <c r="T459" t="str">
        <f t="shared" ca="1" si="36"/>
        <v>Claro com menor velocidade</v>
      </c>
      <c r="U459" s="9">
        <f t="shared" si="37"/>
        <v>46174</v>
      </c>
      <c r="V459" t="str">
        <f ca="1">IF(OR([1]Planilha1!$B459="",[1]Planilha1!$B459="NÃO MAPEADO"),"",TRIM([1]Planilha1!$B459))</f>
        <v>OESTE</v>
      </c>
      <c r="W459" t="str">
        <f ca="1">IF([1]Planilha1!$C459="","",TRIM([1]Planilha1!$C459))</f>
        <v>PADRÃO</v>
      </c>
      <c r="X459" t="str">
        <f ca="1">IFERROR(VLOOKUP($C459,[1]Planilha2!$B:$H,7,FALSE),"")</f>
        <v>13560-001</v>
      </c>
    </row>
    <row r="460" spans="1:24" x14ac:dyDescent="0.35">
      <c r="A460" t="str">
        <f ca="1">IF(LEFT(TEXT([1]Planilha1!$L460,"0000000"),1)="5","MS","SP")</f>
        <v>SP</v>
      </c>
      <c r="B460" t="str">
        <f ca="1">IF(RIGHT([1]Planilha1!$A460,5)=" - MS",LEFT([1]Planilha1!$A460,LEN([1]Planilha1!$A460)-5),TRIM([1]Planilha1!$A460))</f>
        <v>SAO CARLOS</v>
      </c>
      <c r="C460" s="2">
        <f ca="1">[1]Planilha1!$L460</f>
        <v>3548906</v>
      </c>
      <c r="D460" t="str">
        <f>TRIM([1]Planilha1!$D460)</f>
        <v>ISP LOCAL</v>
      </c>
      <c r="E460" t="str">
        <f>IF(TRIM([1]Planilha1!$D460)="Claro","Claro","Concorrente")</f>
        <v>Concorrente</v>
      </c>
      <c r="F460" t="s">
        <v>45</v>
      </c>
      <c r="G460" t="str">
        <f t="shared" ca="1" si="33"/>
        <v>Banda Larga + Conteudo</v>
      </c>
      <c r="H460" t="str">
        <f ca="1">TRIM([1]Planilha1!$E460)</f>
        <v>ALCANS - 1GB R$109,00</v>
      </c>
      <c r="I460" t="str">
        <f ca="1">IF([1]Planilha1!$F460="","",TRIM([1]Planilha1!$F460))</f>
        <v>Fibra</v>
      </c>
      <c r="J460" s="3">
        <f ca="1">IF([1]Planilha1!$G460="","",[1]Planilha1!$G460)</f>
        <v>1000</v>
      </c>
      <c r="K460" s="4" t="str" cm="1">
        <f t="array" aca="1" ref="K460" ca="1">IFERROR(VALUE(_xlfn.REGEXEXTRACT([1]Planilha1!$E460,"\+\s*(\d+)GB",2)),"")</f>
        <v/>
      </c>
      <c r="L460" s="5">
        <f ca="1">IF([1]Planilha1!$H460="","",[1]Planilha1!$H460)</f>
        <v>109</v>
      </c>
      <c r="M460" s="5" t="str">
        <f ca="1">IF([1]Planilha1!$I460="","",[1]Planilha1!$I460)</f>
        <v/>
      </c>
      <c r="N460" s="2" t="str" cm="1">
        <f t="array" aca="1" ref="N460" ca="1">IFERROR(VALUE(_xlfn.REGEXEXTRACT([1]Planilha1!$E460,"(\d+)\s*MESES",2)),IFERROR(VALUE(_xlfn.REGEXEXTRACT([1]Planilha1!$E460,"por\s*(\d+)\s*M",2)),IF(_xlfn.REGEXTEST([1]Planilha1!$E460,"1[ºª]"),1,"")))</f>
        <v/>
      </c>
      <c r="O460" s="6">
        <f t="shared" ca="1" si="34"/>
        <v>0.109</v>
      </c>
      <c r="P460" t="str">
        <f ca="1">IF([1]Planilha1!$J460="","",TRIM([1]Planilha1!$J460))</f>
        <v>0</v>
      </c>
      <c r="Q460" s="7">
        <f ca="1">IF($D460="Claro","",IFERROR($L460-VLOOKUP($B460&amp;"|Claro",[1]AUX_CLARO!$A:$C,2,FALSE),""))</f>
        <v>-50.900000000000006</v>
      </c>
      <c r="R460" s="8">
        <f ca="1">IF($D460="Claro","",IFERROR($J460-VLOOKUP($B460&amp;"|Claro",[1]AUX_CLARO!$A:$C,3,FALSE),""))</f>
        <v>400</v>
      </c>
      <c r="S460" t="str">
        <f t="shared" ca="1" si="35"/>
        <v>Claro mais cara</v>
      </c>
      <c r="T460" t="str">
        <f t="shared" ca="1" si="36"/>
        <v>Claro com menor velocidade</v>
      </c>
      <c r="U460" s="9">
        <f t="shared" si="37"/>
        <v>46174</v>
      </c>
      <c r="V460" t="str">
        <f ca="1">IF(OR([1]Planilha1!$B460="",[1]Planilha1!$B460="NÃO MAPEADO"),"",TRIM([1]Planilha1!$B460))</f>
        <v>OESTE</v>
      </c>
      <c r="W460" t="str">
        <f ca="1">IF([1]Planilha1!$C460="","",TRIM([1]Planilha1!$C460))</f>
        <v>PADRÃO</v>
      </c>
      <c r="X460" t="str">
        <f ca="1">IFERROR(VLOOKUP($C460,[1]Planilha2!$B:$H,7,FALSE),"")</f>
        <v>13560-001</v>
      </c>
    </row>
    <row r="461" spans="1:24" x14ac:dyDescent="0.35">
      <c r="A461" t="str">
        <f ca="1">IF(LEFT(TEXT([1]Planilha1!$L461,"0000000"),1)="5","MS","SP")</f>
        <v>SP</v>
      </c>
      <c r="B461" t="str">
        <f ca="1">IF(RIGHT([1]Planilha1!$A461,5)=" - MS",LEFT([1]Planilha1!$A461,LEN([1]Planilha1!$A461)-5),TRIM([1]Planilha1!$A461))</f>
        <v>SAO JOAO DA BOA VISTA</v>
      </c>
      <c r="C461" s="2">
        <f ca="1">[1]Planilha1!$L461</f>
        <v>3549102</v>
      </c>
      <c r="D461" t="str">
        <f>TRIM([1]Planilha1!$D461)</f>
        <v>Claro</v>
      </c>
      <c r="E461" t="str">
        <f>IF(TRIM([1]Planilha1!$D461)="Claro","Claro","Concorrente")</f>
        <v>Claro</v>
      </c>
      <c r="F461" t="s">
        <v>24</v>
      </c>
      <c r="G461" t="str">
        <f t="shared" ca="1" si="33"/>
        <v>Banda Larga + Movel</v>
      </c>
      <c r="H461" t="str">
        <f ca="1">TRIM([1]Planilha1!$E461)</f>
        <v>600M+100GB=R$119,90 por 6M, após R$139,90</v>
      </c>
      <c r="I461" t="str">
        <f ca="1">IF([1]Planilha1!$F461="","",TRIM([1]Planilha1!$F461))</f>
        <v>Fibra</v>
      </c>
      <c r="J461" s="3">
        <f ca="1">IF([1]Planilha1!$G461="","",[1]Planilha1!$G461)</f>
        <v>600</v>
      </c>
      <c r="K461" s="4" cm="1">
        <f t="array" aca="1" ref="K461" ca="1">IFERROR(VALUE(_xlfn.REGEXEXTRACT([1]Planilha1!$E461,"\+\s*(\d+)GB",2)),"")</f>
        <v>100</v>
      </c>
      <c r="L461" s="5">
        <f ca="1">IF([1]Planilha1!$H461="","",[1]Planilha1!$H461)</f>
        <v>139.9</v>
      </c>
      <c r="M461" s="5">
        <f ca="1">IF([1]Planilha1!$I461="","",[1]Planilha1!$I461)</f>
        <v>119.9</v>
      </c>
      <c r="N461" s="2" cm="1">
        <f t="array" aca="1" ref="N461" ca="1">IFERROR(VALUE(_xlfn.REGEXEXTRACT([1]Planilha1!$E461,"(\d+)\s*MESES",2)),IFERROR(VALUE(_xlfn.REGEXEXTRACT([1]Planilha1!$E461,"por\s*(\d+)\s*M",2)),IF(_xlfn.REGEXTEST([1]Planilha1!$E461,"1[ºª]"),1,"")))</f>
        <v>6</v>
      </c>
      <c r="O461" s="6">
        <f t="shared" ca="1" si="34"/>
        <v>0.23316666666666669</v>
      </c>
      <c r="P461" t="str">
        <f ca="1">IF([1]Planilha1!$J461="","",TRIM([1]Planilha1!$J461))</f>
        <v>GLOBOPLAY</v>
      </c>
      <c r="Q461" s="7" t="str">
        <f>IF($D461="Claro","",IFERROR($L461-VLOOKUP($B461&amp;"|Claro",[1]AUX_CLARO!$A:$C,2,FALSE),""))</f>
        <v/>
      </c>
      <c r="R461" s="8" t="str">
        <f>IF($D461="Claro","",IFERROR($J461-VLOOKUP($B461&amp;"|Claro",[1]AUX_CLARO!$A:$C,3,FALSE),""))</f>
        <v/>
      </c>
      <c r="S461" t="str">
        <f t="shared" si="35"/>
        <v/>
      </c>
      <c r="T461" t="str">
        <f t="shared" si="36"/>
        <v/>
      </c>
      <c r="U461" s="9">
        <f t="shared" si="37"/>
        <v>46174</v>
      </c>
      <c r="V461" t="str">
        <f ca="1">IF(OR([1]Planilha1!$B461="",[1]Planilha1!$B461="NÃO MAPEADO"),"",TRIM([1]Planilha1!$B461))</f>
        <v>SUDESTE</v>
      </c>
      <c r="W461" t="str">
        <f ca="1">IF([1]Planilha1!$C461="","",TRIM([1]Planilha1!$C461))</f>
        <v>MD 1</v>
      </c>
      <c r="X461" s="12" t="str">
        <f ca="1">IFERROR(VLOOKUP($C461,[1]Planilha2!$B:$H,7,FALSE),"")</f>
        <v>13870-001</v>
      </c>
    </row>
    <row r="462" spans="1:24" x14ac:dyDescent="0.35">
      <c r="A462" t="str">
        <f ca="1">IF(LEFT(TEXT([1]Planilha1!$L462,"0000000"),1)="5","MS","SP")</f>
        <v>SP</v>
      </c>
      <c r="B462" t="str">
        <f ca="1">IF(RIGHT([1]Planilha1!$A462,5)=" - MS",LEFT([1]Planilha1!$A462,LEN([1]Planilha1!$A462)-5),TRIM([1]Planilha1!$A462))</f>
        <v>SAO JOAO DA BOA VISTA</v>
      </c>
      <c r="C462" s="2">
        <f ca="1">[1]Planilha1!$L462</f>
        <v>3549102</v>
      </c>
      <c r="D462" t="str">
        <f>TRIM([1]Planilha1!$D462)</f>
        <v>Vivo</v>
      </c>
      <c r="E462" t="str">
        <f>IF(TRIM([1]Planilha1!$D462)="Claro","Claro","Concorrente")</f>
        <v>Concorrente</v>
      </c>
      <c r="F462" t="s">
        <v>25</v>
      </c>
      <c r="G462" t="str">
        <f t="shared" ca="1" si="33"/>
        <v>Banda Larga + Movel</v>
      </c>
      <c r="H462" t="s">
        <v>26</v>
      </c>
      <c r="I462" t="str">
        <f ca="1">IF([1]Planilha1!$F462="","",TRIM([1]Planilha1!$F462))</f>
        <v>Fibra</v>
      </c>
      <c r="J462" s="11" t="s">
        <v>27</v>
      </c>
      <c r="K462" s="4" cm="1">
        <f t="array" aca="1" ref="K462" ca="1">IFERROR(VALUE(_xlfn.REGEXEXTRACT([1]Planilha1!$E462,"\+\s*(\d+)GB",2)),"")</f>
        <v>70</v>
      </c>
      <c r="L462" s="5">
        <v>160</v>
      </c>
      <c r="M462" s="5" t="str">
        <f ca="1">IF([1]Planilha1!$I462="","",[1]Planilha1!$I462)</f>
        <v/>
      </c>
      <c r="N462" s="2" t="str" cm="1">
        <f t="array" aca="1" ref="N462" ca="1">IFERROR(VALUE(_xlfn.REGEXEXTRACT([1]Planilha1!$E462,"(\d+)\s*MESES",2)),IFERROR(VALUE(_xlfn.REGEXEXTRACT([1]Planilha1!$E462,"por\s*(\d+)\s*M",2)),IF(_xlfn.REGEXTEST([1]Planilha1!$E462,"1[ºª]"),1,"")))</f>
        <v/>
      </c>
      <c r="O462" s="6" t="str">
        <f t="shared" si="34"/>
        <v/>
      </c>
      <c r="P462" t="str">
        <f ca="1">IF([1]Planilha1!$J462="","",TRIM([1]Planilha1!$J462))</f>
        <v>0</v>
      </c>
      <c r="Q462" s="7">
        <f ca="1">IF($D462="Claro","",IFERROR($L462-VLOOKUP($B462&amp;"|Claro",[1]AUX_CLARO!$A:$C,2,FALSE),""))</f>
        <v>20.099999999999994</v>
      </c>
      <c r="R462" s="8" t="str">
        <f ca="1">IF($D462="Claro","",IFERROR($J462-VLOOKUP($B462&amp;"|Claro",[1]AUX_CLARO!$A:$C,3,FALSE),""))</f>
        <v/>
      </c>
      <c r="S462" t="str">
        <f t="shared" ca="1" si="35"/>
        <v>Claro mais barata</v>
      </c>
      <c r="T462" t="str">
        <f t="shared" ca="1" si="36"/>
        <v/>
      </c>
      <c r="U462" s="9">
        <f t="shared" si="37"/>
        <v>46174</v>
      </c>
      <c r="V462" t="str">
        <f ca="1">IF(OR([1]Planilha1!$B462="",[1]Planilha1!$B462="NÃO MAPEADO"),"",TRIM([1]Planilha1!$B462))</f>
        <v>SUDESTE</v>
      </c>
      <c r="W462" t="str">
        <f ca="1">IF([1]Planilha1!$C462="","",TRIM([1]Planilha1!$C462))</f>
        <v>MD 1</v>
      </c>
      <c r="X462" s="12" t="str">
        <f ca="1">IFERROR(VLOOKUP($C462,[1]Planilha2!$B:$H,7,FALSE),"")</f>
        <v>13870-001</v>
      </c>
    </row>
    <row r="463" spans="1:24" x14ac:dyDescent="0.35">
      <c r="A463" t="str">
        <f ca="1">IF(LEFT(TEXT([1]Planilha1!$L463,"0000000"),1)="5","MS","SP")</f>
        <v>SP</v>
      </c>
      <c r="B463" t="str">
        <f ca="1">IF(RIGHT([1]Planilha1!$A463,5)=" - MS",LEFT([1]Planilha1!$A463,LEN([1]Planilha1!$A463)-5),TRIM([1]Planilha1!$A463))</f>
        <v>SAO JOAO DA BOA VISTA</v>
      </c>
      <c r="C463" s="2">
        <f ca="1">[1]Planilha1!$L463</f>
        <v>3549102</v>
      </c>
      <c r="D463" t="str">
        <f>TRIM([1]Planilha1!$D463)</f>
        <v>Alares</v>
      </c>
      <c r="E463" t="str">
        <f>IF(TRIM([1]Planilha1!$D463)="Claro","Claro","Concorrente")</f>
        <v>Concorrente</v>
      </c>
      <c r="F463" t="s">
        <v>32</v>
      </c>
      <c r="G463" t="str">
        <f t="shared" ca="1" si="33"/>
        <v>Banda Larga + Conteudo</v>
      </c>
      <c r="H463" t="str">
        <f ca="1">TRIM([1]Planilha1!$E463)</f>
        <v>1GB + GLOBOPLAY R$99,90</v>
      </c>
      <c r="I463" t="str">
        <f ca="1">IF([1]Planilha1!$F463="","",TRIM([1]Planilha1!$F463))</f>
        <v>Fibra</v>
      </c>
      <c r="J463" s="3">
        <f ca="1">IF([1]Planilha1!$G463="","",[1]Planilha1!$G463)</f>
        <v>1000</v>
      </c>
      <c r="K463" s="4" t="str" cm="1">
        <f t="array" aca="1" ref="K463" ca="1">IFERROR(VALUE(_xlfn.REGEXEXTRACT([1]Planilha1!$E463,"\+\s*(\d+)GB",2)),"")</f>
        <v/>
      </c>
      <c r="L463" s="5">
        <f ca="1">IF([1]Planilha1!$H463="","",[1]Planilha1!$H463)</f>
        <v>99.9</v>
      </c>
      <c r="M463" s="5" t="str">
        <f ca="1">IF([1]Planilha1!$I463="","",[1]Planilha1!$I463)</f>
        <v/>
      </c>
      <c r="N463" s="2" t="str" cm="1">
        <f t="array" aca="1" ref="N463" ca="1">IFERROR(VALUE(_xlfn.REGEXEXTRACT([1]Planilha1!$E463,"(\d+)\s*MESES",2)),IFERROR(VALUE(_xlfn.REGEXEXTRACT([1]Planilha1!$E463,"por\s*(\d+)\s*M",2)),IF(_xlfn.REGEXTEST([1]Planilha1!$E463,"1[ºª]"),1,"")))</f>
        <v/>
      </c>
      <c r="O463" s="6">
        <f t="shared" ca="1" si="34"/>
        <v>9.9900000000000003E-2</v>
      </c>
      <c r="P463" t="str">
        <f ca="1">IF([1]Planilha1!$J463="","",TRIM([1]Planilha1!$J463))</f>
        <v>GLOBOPLAY</v>
      </c>
      <c r="Q463" s="7">
        <f ca="1">IF($D463="Claro","",IFERROR($L463-VLOOKUP($B463&amp;"|Claro",[1]AUX_CLARO!$A:$C,2,FALSE),""))</f>
        <v>-40</v>
      </c>
      <c r="R463" s="8">
        <f ca="1">IF($D463="Claro","",IFERROR($J463-VLOOKUP($B463&amp;"|Claro",[1]AUX_CLARO!$A:$C,3,FALSE),""))</f>
        <v>400</v>
      </c>
      <c r="S463" t="str">
        <f t="shared" ca="1" si="35"/>
        <v>Claro mais cara</v>
      </c>
      <c r="T463" t="str">
        <f t="shared" ca="1" si="36"/>
        <v>Claro com menor velocidade</v>
      </c>
      <c r="U463" s="9">
        <f t="shared" si="37"/>
        <v>46174</v>
      </c>
      <c r="V463" t="str">
        <f ca="1">IF(OR([1]Planilha1!$B463="",[1]Planilha1!$B463="NÃO MAPEADO"),"",TRIM([1]Planilha1!$B463))</f>
        <v>SUDESTE</v>
      </c>
      <c r="W463" t="str">
        <f ca="1">IF([1]Planilha1!$C463="","",TRIM([1]Planilha1!$C463))</f>
        <v>MD 1</v>
      </c>
      <c r="X463" s="12" t="str">
        <f ca="1">IFERROR(VLOOKUP($C463,[1]Planilha2!$B:$H,7,FALSE),"")</f>
        <v>13870-001</v>
      </c>
    </row>
    <row r="464" spans="1:24" x14ac:dyDescent="0.35">
      <c r="A464" t="str">
        <f ca="1">IF(LEFT(TEXT([1]Planilha1!$L464,"0000000"),1)="5","MS","SP")</f>
        <v>SP</v>
      </c>
      <c r="B464" t="str">
        <f ca="1">IF(RIGHT([1]Planilha1!$A464,5)=" - MS",LEFT([1]Planilha1!$A464,LEN([1]Planilha1!$A464)-5),TRIM([1]Planilha1!$A464))</f>
        <v>SAO JOAO DA BOA VISTA</v>
      </c>
      <c r="C464" s="2">
        <f ca="1">[1]Planilha1!$L464</f>
        <v>3549102</v>
      </c>
      <c r="D464" t="str">
        <f>TRIM([1]Planilha1!$D464)</f>
        <v>Vero</v>
      </c>
      <c r="E464" t="str">
        <f>IF(TRIM([1]Planilha1!$D464)="Claro","Claro","Concorrente")</f>
        <v>Concorrente</v>
      </c>
      <c r="F464" t="s">
        <v>30</v>
      </c>
      <c r="G464" t="str">
        <f t="shared" ca="1" si="33"/>
        <v>Banda Larga + Movel</v>
      </c>
      <c r="H464" t="str">
        <f ca="1">TRIM([1]Planilha1!$E464)</f>
        <v>850M+60GB=R$149,99 (C/ GLOBOPLAY, HBO, DISNEY+)</v>
      </c>
      <c r="I464" t="str">
        <f ca="1">IF([1]Planilha1!$F464="","",TRIM([1]Planilha1!$F464))</f>
        <v>Fibra</v>
      </c>
      <c r="J464" s="3">
        <f ca="1">IF([1]Planilha1!$G464="","",[1]Planilha1!$G464)</f>
        <v>850</v>
      </c>
      <c r="K464" s="4" cm="1">
        <f t="array" aca="1" ref="K464" ca="1">IFERROR(VALUE(_xlfn.REGEXEXTRACT([1]Planilha1!$E464,"\+\s*(\d+)GB",2)),"")</f>
        <v>60</v>
      </c>
      <c r="L464" s="5">
        <f ca="1">IF([1]Planilha1!$H464="","",[1]Planilha1!$H464)</f>
        <v>149.99</v>
      </c>
      <c r="M464" s="5" t="str">
        <f ca="1">IF([1]Planilha1!$I464="","",[1]Planilha1!$I464)</f>
        <v/>
      </c>
      <c r="N464" s="2" t="str" cm="1">
        <f t="array" aca="1" ref="N464" ca="1">IFERROR(VALUE(_xlfn.REGEXEXTRACT([1]Planilha1!$E464,"(\d+)\s*MESES",2)),IFERROR(VALUE(_xlfn.REGEXEXTRACT([1]Planilha1!$E464,"por\s*(\d+)\s*M",2)),IF(_xlfn.REGEXTEST([1]Planilha1!$E464,"1[ºª]"),1,"")))</f>
        <v/>
      </c>
      <c r="O464" s="6">
        <f t="shared" ca="1" si="34"/>
        <v>0.17645882352941178</v>
      </c>
      <c r="P464" t="str">
        <f ca="1">IF([1]Planilha1!$J464="","",TRIM([1]Planilha1!$J464))</f>
        <v>GLOBOPLAY, HBO, DISNEY+</v>
      </c>
      <c r="Q464" s="7">
        <f ca="1">IF($D464="Claro","",IFERROR($L464-VLOOKUP($B464&amp;"|Claro",[1]AUX_CLARO!$A:$C,2,FALSE),""))</f>
        <v>10.090000000000003</v>
      </c>
      <c r="R464" s="8">
        <f ca="1">IF($D464="Claro","",IFERROR($J464-VLOOKUP($B464&amp;"|Claro",[1]AUX_CLARO!$A:$C,3,FALSE),""))</f>
        <v>250</v>
      </c>
      <c r="S464" t="str">
        <f t="shared" ca="1" si="35"/>
        <v>Claro mais barata</v>
      </c>
      <c r="T464" t="str">
        <f t="shared" ca="1" si="36"/>
        <v>Claro com menor velocidade</v>
      </c>
      <c r="U464" s="9">
        <f t="shared" si="37"/>
        <v>46174</v>
      </c>
      <c r="V464" t="str">
        <f ca="1">IF(OR([1]Planilha1!$B464="",[1]Planilha1!$B464="NÃO MAPEADO"),"",TRIM([1]Planilha1!$B464))</f>
        <v>SUDESTE</v>
      </c>
      <c r="W464" t="str">
        <f ca="1">IF([1]Planilha1!$C464="","",TRIM([1]Planilha1!$C464))</f>
        <v>MD 1</v>
      </c>
      <c r="X464" s="12" t="str">
        <f ca="1">IFERROR(VLOOKUP($C464,[1]Planilha2!$B:$H,7,FALSE),"")</f>
        <v>13870-001</v>
      </c>
    </row>
    <row r="465" spans="1:24" x14ac:dyDescent="0.35">
      <c r="A465" t="str">
        <f ca="1">IF(LEFT(TEXT([1]Planilha1!$L465,"0000000"),1)="5","MS","SP")</f>
        <v>SP</v>
      </c>
      <c r="B465" t="str">
        <f ca="1">IF(RIGHT([1]Planilha1!$A465,5)=" - MS",LEFT([1]Planilha1!$A465,LEN([1]Planilha1!$A465)-5),TRIM([1]Planilha1!$A465))</f>
        <v>SAO JOAO DA BOA VISTA</v>
      </c>
      <c r="C465" s="2">
        <f ca="1">[1]Planilha1!$L465</f>
        <v>3549102</v>
      </c>
      <c r="D465" t="str">
        <f>TRIM([1]Planilha1!$D465)</f>
        <v>ISP LOCAL</v>
      </c>
      <c r="E465" t="str">
        <f>IF(TRIM([1]Planilha1!$D465)="Claro","Claro","Concorrente")</f>
        <v>Concorrente</v>
      </c>
      <c r="F465" t="s">
        <v>58</v>
      </c>
      <c r="G465" t="str">
        <f t="shared" ca="1" si="33"/>
        <v>Banda Larga + Conteudo</v>
      </c>
      <c r="H465" t="str">
        <f ca="1">TRIM([1]Planilha1!$E465)</f>
        <v>TELEMÍDIA - 800M R$109,90</v>
      </c>
      <c r="I465" t="str">
        <f ca="1">IF([1]Planilha1!$F465="","",TRIM([1]Planilha1!$F465))</f>
        <v>Fibra</v>
      </c>
      <c r="J465" s="3">
        <f ca="1">IF([1]Planilha1!$G465="","",[1]Planilha1!$G465)</f>
        <v>800</v>
      </c>
      <c r="K465" s="4" t="str" cm="1">
        <f t="array" aca="1" ref="K465" ca="1">IFERROR(VALUE(_xlfn.REGEXEXTRACT([1]Planilha1!$E465,"\+\s*(\d+)GB",2)),"")</f>
        <v/>
      </c>
      <c r="L465" s="5">
        <f ca="1">IF([1]Planilha1!$H465="","",[1]Planilha1!$H465)</f>
        <v>109.9</v>
      </c>
      <c r="M465" s="5" t="str">
        <f ca="1">IF([1]Planilha1!$I465="","",[1]Planilha1!$I465)</f>
        <v/>
      </c>
      <c r="N465" s="2" t="str" cm="1">
        <f t="array" aca="1" ref="N465" ca="1">IFERROR(VALUE(_xlfn.REGEXEXTRACT([1]Planilha1!$E465,"(\d+)\s*MESES",2)),IFERROR(VALUE(_xlfn.REGEXEXTRACT([1]Planilha1!$E465,"por\s*(\d+)\s*M",2)),IF(_xlfn.REGEXTEST([1]Planilha1!$E465,"1[ºª]"),1,"")))</f>
        <v/>
      </c>
      <c r="O465" s="6">
        <f t="shared" ca="1" si="34"/>
        <v>0.137375</v>
      </c>
      <c r="P465" t="str">
        <f ca="1">IF([1]Planilha1!$J465="","",TRIM([1]Planilha1!$J465))</f>
        <v>0</v>
      </c>
      <c r="Q465" s="7">
        <f ca="1">IF($D465="Claro","",IFERROR($L465-VLOOKUP($B465&amp;"|Claro",[1]AUX_CLARO!$A:$C,2,FALSE),""))</f>
        <v>-30</v>
      </c>
      <c r="R465" s="8">
        <f ca="1">IF($D465="Claro","",IFERROR($J465-VLOOKUP($B465&amp;"|Claro",[1]AUX_CLARO!$A:$C,3,FALSE),""))</f>
        <v>200</v>
      </c>
      <c r="S465" t="str">
        <f t="shared" ca="1" si="35"/>
        <v>Claro mais cara</v>
      </c>
      <c r="T465" t="str">
        <f t="shared" ca="1" si="36"/>
        <v>Claro com menor velocidade</v>
      </c>
      <c r="U465" s="9">
        <f t="shared" si="37"/>
        <v>46174</v>
      </c>
      <c r="V465" t="str">
        <f ca="1">IF(OR([1]Planilha1!$B465="",[1]Planilha1!$B465="NÃO MAPEADO"),"",TRIM([1]Planilha1!$B465))</f>
        <v>SUDESTE</v>
      </c>
      <c r="W465" t="str">
        <f ca="1">IF([1]Planilha1!$C465="","",TRIM([1]Planilha1!$C465))</f>
        <v>MD 1</v>
      </c>
      <c r="X465" s="12" t="str">
        <f ca="1">IFERROR(VLOOKUP($C465,[1]Planilha2!$B:$H,7,FALSE),"")</f>
        <v>13870-001</v>
      </c>
    </row>
    <row r="466" spans="1:24" x14ac:dyDescent="0.35">
      <c r="A466" t="str">
        <f ca="1">IF(LEFT(TEXT([1]Planilha1!$L466,"0000000"),1)="5","MS","SP")</f>
        <v>SP</v>
      </c>
      <c r="B466" t="str">
        <f ca="1">IF(RIGHT([1]Planilha1!$A466,5)=" - MS",LEFT([1]Planilha1!$A466,LEN([1]Planilha1!$A466)-5),TRIM([1]Planilha1!$A466))</f>
        <v>SAO JOAQUIM DA BARRA</v>
      </c>
      <c r="C466" s="2">
        <f ca="1">[1]Planilha1!$L466</f>
        <v>3549409</v>
      </c>
      <c r="D466" t="str">
        <f>TRIM([1]Planilha1!$D466)</f>
        <v>Claro</v>
      </c>
      <c r="E466" t="str">
        <f>IF(TRIM([1]Planilha1!$D466)="Claro","Claro","Concorrente")</f>
        <v>Claro</v>
      </c>
      <c r="F466" t="s">
        <v>24</v>
      </c>
      <c r="G466" t="str">
        <f t="shared" ca="1" si="33"/>
        <v>Banda Larga + Movel</v>
      </c>
      <c r="H466" t="str">
        <f ca="1">TRIM([1]Planilha1!$E466)</f>
        <v>600M+100GB=R$119,90 por 6M, após R$139,90</v>
      </c>
      <c r="I466" t="str">
        <f ca="1">IF([1]Planilha1!$F466="","",TRIM([1]Planilha1!$F466))</f>
        <v>Fibra</v>
      </c>
      <c r="J466" s="3">
        <f ca="1">IF([1]Planilha1!$G466="","",[1]Planilha1!$G466)</f>
        <v>600</v>
      </c>
      <c r="K466" s="4" cm="1">
        <f t="array" aca="1" ref="K466" ca="1">IFERROR(VALUE(_xlfn.REGEXEXTRACT([1]Planilha1!$E466,"\+\s*(\d+)GB",2)),"")</f>
        <v>100</v>
      </c>
      <c r="L466" s="5">
        <f ca="1">IF([1]Planilha1!$H466="","",[1]Planilha1!$H466)</f>
        <v>139.9</v>
      </c>
      <c r="M466" s="5">
        <f ca="1">IF([1]Planilha1!$I466="","",[1]Planilha1!$I466)</f>
        <v>119.9</v>
      </c>
      <c r="N466" s="2" cm="1">
        <f t="array" aca="1" ref="N466" ca="1">IFERROR(VALUE(_xlfn.REGEXEXTRACT([1]Planilha1!$E466,"(\d+)\s*MESES",2)),IFERROR(VALUE(_xlfn.REGEXEXTRACT([1]Planilha1!$E466,"por\s*(\d+)\s*M",2)),IF(_xlfn.REGEXTEST([1]Planilha1!$E466,"1[ºª]"),1,"")))</f>
        <v>6</v>
      </c>
      <c r="O466" s="6">
        <f t="shared" ca="1" si="34"/>
        <v>0.23316666666666669</v>
      </c>
      <c r="P466" t="str">
        <f ca="1">IF([1]Planilha1!$J466="","",TRIM([1]Planilha1!$J466))</f>
        <v>GLOBOPLAY</v>
      </c>
      <c r="Q466" s="7" t="str">
        <f>IF($D466="Claro","",IFERROR($L466-VLOOKUP($B466&amp;"|Claro",[1]AUX_CLARO!$A:$C,2,FALSE),""))</f>
        <v/>
      </c>
      <c r="R466" s="8" t="str">
        <f>IF($D466="Claro","",IFERROR($J466-VLOOKUP($B466&amp;"|Claro",[1]AUX_CLARO!$A:$C,3,FALSE),""))</f>
        <v/>
      </c>
      <c r="S466" t="str">
        <f t="shared" si="35"/>
        <v/>
      </c>
      <c r="T466" t="str">
        <f t="shared" si="36"/>
        <v/>
      </c>
      <c r="U466" s="9">
        <f t="shared" si="37"/>
        <v>46174</v>
      </c>
      <c r="V466" t="str">
        <f ca="1">IF(OR([1]Planilha1!$B466="",[1]Planilha1!$B466="NÃO MAPEADO"),"",TRIM([1]Planilha1!$B466))</f>
        <v>NOROESTE</v>
      </c>
      <c r="W466" t="str">
        <f ca="1">IF([1]Planilha1!$C466="","",TRIM([1]Planilha1!$C466))</f>
        <v>MD 1</v>
      </c>
      <c r="X466" t="str">
        <f ca="1">IFERROR(VLOOKUP($C466,[1]Planilha2!$B:$H,7,FALSE),"")</f>
        <v>14600-001</v>
      </c>
    </row>
    <row r="467" spans="1:24" x14ac:dyDescent="0.35">
      <c r="A467" t="str">
        <f ca="1">IF(LEFT(TEXT([1]Planilha1!$L467,"0000000"),1)="5","MS","SP")</f>
        <v>SP</v>
      </c>
      <c r="B467" t="str">
        <f ca="1">IF(RIGHT([1]Planilha1!$A467,5)=" - MS",LEFT([1]Planilha1!$A467,LEN([1]Planilha1!$A467)-5),TRIM([1]Planilha1!$A467))</f>
        <v>SAO JOAQUIM DA BARRA</v>
      </c>
      <c r="C467" s="2">
        <f ca="1">[1]Planilha1!$L467</f>
        <v>3549409</v>
      </c>
      <c r="D467" t="str">
        <f>TRIM([1]Planilha1!$D467)</f>
        <v>Algar</v>
      </c>
      <c r="E467" t="str">
        <f>IF(TRIM([1]Planilha1!$D467)="Claro","Claro","Concorrente")</f>
        <v>Concorrente</v>
      </c>
      <c r="F467" t="s">
        <v>38</v>
      </c>
      <c r="G467" t="str">
        <f t="shared" ca="1" si="33"/>
        <v>Banda Larga + Conteudo</v>
      </c>
      <c r="H467" t="str">
        <f ca="1">TRIM([1]Planilha1!$E467)</f>
        <v>800M R$99,90</v>
      </c>
      <c r="I467" t="str">
        <f ca="1">IF([1]Planilha1!$F467="","",TRIM([1]Planilha1!$F467))</f>
        <v>Fibra</v>
      </c>
      <c r="J467" s="3">
        <f ca="1">IF([1]Planilha1!$G467="","",[1]Planilha1!$G467)</f>
        <v>800</v>
      </c>
      <c r="K467" s="4" t="str" cm="1">
        <f t="array" aca="1" ref="K467" ca="1">IFERROR(VALUE(_xlfn.REGEXEXTRACT([1]Planilha1!$E467,"\+\s*(\d+)GB",2)),"")</f>
        <v/>
      </c>
      <c r="L467" s="5">
        <f ca="1">IF([1]Planilha1!$H467="","",[1]Planilha1!$H467)</f>
        <v>99.9</v>
      </c>
      <c r="M467" s="5" t="str">
        <f ca="1">IF([1]Planilha1!$I467="","",[1]Planilha1!$I467)</f>
        <v/>
      </c>
      <c r="N467" s="2" t="str" cm="1">
        <f t="array" aca="1" ref="N467" ca="1">IFERROR(VALUE(_xlfn.REGEXEXTRACT([1]Planilha1!$E467,"(\d+)\s*MESES",2)),IFERROR(VALUE(_xlfn.REGEXEXTRACT([1]Planilha1!$E467,"por\s*(\d+)\s*M",2)),IF(_xlfn.REGEXTEST([1]Planilha1!$E467,"1[ºª]"),1,"")))</f>
        <v/>
      </c>
      <c r="O467" s="6">
        <f t="shared" ca="1" si="34"/>
        <v>0.12487500000000001</v>
      </c>
      <c r="P467" t="str">
        <f ca="1">IF([1]Planilha1!$J467="","",TRIM([1]Planilha1!$J467))</f>
        <v>0</v>
      </c>
      <c r="Q467" s="7">
        <f ca="1">IF($D467="Claro","",IFERROR($L467-VLOOKUP($B467&amp;"|Claro",[1]AUX_CLARO!$A:$C,2,FALSE),""))</f>
        <v>-40</v>
      </c>
      <c r="R467" s="8">
        <f ca="1">IF($D467="Claro","",IFERROR($J467-VLOOKUP($B467&amp;"|Claro",[1]AUX_CLARO!$A:$C,3,FALSE),""))</f>
        <v>200</v>
      </c>
      <c r="S467" t="str">
        <f t="shared" ca="1" si="35"/>
        <v>Claro mais cara</v>
      </c>
      <c r="T467" t="str">
        <f t="shared" ca="1" si="36"/>
        <v>Claro com menor velocidade</v>
      </c>
      <c r="U467" s="9">
        <f t="shared" si="37"/>
        <v>46174</v>
      </c>
      <c r="V467" t="str">
        <f ca="1">IF(OR([1]Planilha1!$B467="",[1]Planilha1!$B467="NÃO MAPEADO"),"",TRIM([1]Planilha1!$B467))</f>
        <v>NOROESTE</v>
      </c>
      <c r="W467" t="str">
        <f ca="1">IF([1]Planilha1!$C467="","",TRIM([1]Planilha1!$C467))</f>
        <v>MD 1</v>
      </c>
      <c r="X467" t="str">
        <f ca="1">IFERROR(VLOOKUP($C467,[1]Planilha2!$B:$H,7,FALSE),"")</f>
        <v>14600-001</v>
      </c>
    </row>
    <row r="468" spans="1:24" x14ac:dyDescent="0.35">
      <c r="A468" t="str">
        <f ca="1">IF(LEFT(TEXT([1]Planilha1!$L468,"0000000"),1)="5","MS","SP")</f>
        <v>SP</v>
      </c>
      <c r="B468" t="str">
        <f ca="1">IF(RIGHT([1]Planilha1!$A468,5)=" - MS",LEFT([1]Planilha1!$A468,LEN([1]Planilha1!$A468)-5),TRIM([1]Planilha1!$A468))</f>
        <v>SAO JOAQUIM DA BARRA</v>
      </c>
      <c r="C468" s="2">
        <f ca="1">[1]Planilha1!$L468</f>
        <v>3549409</v>
      </c>
      <c r="D468" t="str">
        <f>TRIM([1]Planilha1!$D468)</f>
        <v>ISP LOCAL</v>
      </c>
      <c r="E468" t="str">
        <f>IF(TRIM([1]Planilha1!$D468)="Claro","Claro","Concorrente")</f>
        <v>Concorrente</v>
      </c>
      <c r="F468" t="s">
        <v>47</v>
      </c>
      <c r="G468" t="str">
        <f t="shared" ca="1" si="33"/>
        <v>Banda Larga + Conteudo</v>
      </c>
      <c r="H468" t="str">
        <f ca="1">TRIM([1]Planilha1!$E468)</f>
        <v>ALLOHA - 600M + GLOBOPLAY R$109,99</v>
      </c>
      <c r="I468" t="str">
        <f ca="1">IF([1]Planilha1!$F468="","",TRIM([1]Planilha1!$F468))</f>
        <v>Fibra</v>
      </c>
      <c r="J468" s="3">
        <f ca="1">IF([1]Planilha1!$G468="","",[1]Planilha1!$G468)</f>
        <v>600</v>
      </c>
      <c r="K468" s="4" t="str" cm="1">
        <f t="array" aca="1" ref="K468" ca="1">IFERROR(VALUE(_xlfn.REGEXEXTRACT([1]Planilha1!$E468,"\+\s*(\d+)GB",2)),"")</f>
        <v/>
      </c>
      <c r="L468" s="5">
        <f ca="1">IF([1]Planilha1!$H468="","",[1]Planilha1!$H468)</f>
        <v>109.99</v>
      </c>
      <c r="M468" s="5" t="str">
        <f ca="1">IF([1]Planilha1!$I468="","",[1]Planilha1!$I468)</f>
        <v/>
      </c>
      <c r="N468" s="2" t="str" cm="1">
        <f t="array" aca="1" ref="N468" ca="1">IFERROR(VALUE(_xlfn.REGEXEXTRACT([1]Planilha1!$E468,"(\d+)\s*MESES",2)),IFERROR(VALUE(_xlfn.REGEXEXTRACT([1]Planilha1!$E468,"por\s*(\d+)\s*M",2)),IF(_xlfn.REGEXTEST([1]Planilha1!$E468,"1[ºª]"),1,"")))</f>
        <v/>
      </c>
      <c r="O468" s="6">
        <f t="shared" ca="1" si="34"/>
        <v>0.18331666666666666</v>
      </c>
      <c r="P468" t="str">
        <f ca="1">IF([1]Planilha1!$J468="","",TRIM([1]Planilha1!$J468))</f>
        <v>GLOBOPLAY</v>
      </c>
      <c r="Q468" s="7">
        <f ca="1">IF($D468="Claro","",IFERROR($L468-VLOOKUP($B468&amp;"|Claro",[1]AUX_CLARO!$A:$C,2,FALSE),""))</f>
        <v>-29.910000000000011</v>
      </c>
      <c r="R468" s="8">
        <f ca="1">IF($D468="Claro","",IFERROR($J468-VLOOKUP($B468&amp;"|Claro",[1]AUX_CLARO!$A:$C,3,FALSE),""))</f>
        <v>0</v>
      </c>
      <c r="S468" t="str">
        <f t="shared" ca="1" si="35"/>
        <v>Claro mais cara</v>
      </c>
      <c r="T468" t="str">
        <f t="shared" ca="1" si="36"/>
        <v>Mesma velocidade</v>
      </c>
      <c r="U468" s="9">
        <f t="shared" si="37"/>
        <v>46174</v>
      </c>
      <c r="V468" t="str">
        <f ca="1">IF(OR([1]Planilha1!$B468="",[1]Planilha1!$B468="NÃO MAPEADO"),"",TRIM([1]Planilha1!$B468))</f>
        <v>NOROESTE</v>
      </c>
      <c r="W468" t="str">
        <f ca="1">IF([1]Planilha1!$C468="","",TRIM([1]Planilha1!$C468))</f>
        <v>MD 1</v>
      </c>
      <c r="X468" t="str">
        <f ca="1">IFERROR(VLOOKUP($C468,[1]Planilha2!$B:$H,7,FALSE),"")</f>
        <v>14600-001</v>
      </c>
    </row>
    <row r="469" spans="1:24" x14ac:dyDescent="0.35">
      <c r="A469" t="str">
        <f ca="1">IF(LEFT(TEXT([1]Planilha1!$L469,"0000000"),1)="5","MS","SP")</f>
        <v>SP</v>
      </c>
      <c r="B469" t="str">
        <f ca="1">IF(RIGHT([1]Planilha1!$A469,5)=" - MS",LEFT([1]Planilha1!$A469,LEN([1]Planilha1!$A469)-5),TRIM([1]Planilha1!$A469))</f>
        <v>SAO JOSE DO RIO PARDO</v>
      </c>
      <c r="C469" s="2">
        <f ca="1">[1]Planilha1!$L469</f>
        <v>3549706</v>
      </c>
      <c r="D469" t="str">
        <f>TRIM([1]Planilha1!$D469)</f>
        <v>Claro</v>
      </c>
      <c r="E469" t="str">
        <f>IF(TRIM([1]Planilha1!$D469)="Claro","Claro","Concorrente")</f>
        <v>Claro</v>
      </c>
      <c r="F469" t="s">
        <v>24</v>
      </c>
      <c r="G469" t="str">
        <f t="shared" ca="1" si="33"/>
        <v>Banda Larga + Movel</v>
      </c>
      <c r="H469" t="str">
        <f ca="1">TRIM([1]Planilha1!$E469)</f>
        <v>600M+100GB=R$109,90 por 6M, após R$139,90</v>
      </c>
      <c r="I469" t="str">
        <f ca="1">IF([1]Planilha1!$F469="","",TRIM([1]Planilha1!$F469))</f>
        <v>Fibra</v>
      </c>
      <c r="J469" s="3">
        <f ca="1">IF([1]Planilha1!$G469="","",[1]Planilha1!$G469)</f>
        <v>600</v>
      </c>
      <c r="K469" s="4" cm="1">
        <f t="array" aca="1" ref="K469" ca="1">IFERROR(VALUE(_xlfn.REGEXEXTRACT([1]Planilha1!$E469,"\+\s*(\d+)GB",2)),"")</f>
        <v>100</v>
      </c>
      <c r="L469" s="5">
        <f ca="1">IF([1]Planilha1!$H469="","",[1]Planilha1!$H469)</f>
        <v>139.9</v>
      </c>
      <c r="M469" s="5">
        <f ca="1">IF([1]Planilha1!$I469="","",[1]Planilha1!$I469)</f>
        <v>109.9</v>
      </c>
      <c r="N469" s="2" cm="1">
        <f t="array" aca="1" ref="N469" ca="1">IFERROR(VALUE(_xlfn.REGEXEXTRACT([1]Planilha1!$E469,"(\d+)\s*MESES",2)),IFERROR(VALUE(_xlfn.REGEXEXTRACT([1]Planilha1!$E469,"por\s*(\d+)\s*M",2)),IF(_xlfn.REGEXTEST([1]Planilha1!$E469,"1[ºª]"),1,"")))</f>
        <v>6</v>
      </c>
      <c r="O469" s="6">
        <f t="shared" ca="1" si="34"/>
        <v>0.23316666666666669</v>
      </c>
      <c r="P469" t="str">
        <f ca="1">IF([1]Planilha1!$J469="","",TRIM([1]Planilha1!$J469))</f>
        <v>GLOBOPLAY</v>
      </c>
      <c r="Q469" s="7" t="str">
        <f>IF($D469="Claro","",IFERROR($L469-VLOOKUP($B469&amp;"|Claro",[1]AUX_CLARO!$A:$C,2,FALSE),""))</f>
        <v/>
      </c>
      <c r="R469" s="8" t="str">
        <f>IF($D469="Claro","",IFERROR($J469-VLOOKUP($B469&amp;"|Claro",[1]AUX_CLARO!$A:$C,3,FALSE),""))</f>
        <v/>
      </c>
      <c r="S469" t="str">
        <f t="shared" si="35"/>
        <v/>
      </c>
      <c r="T469" t="str">
        <f t="shared" si="36"/>
        <v/>
      </c>
      <c r="U469" s="9">
        <f t="shared" si="37"/>
        <v>46174</v>
      </c>
      <c r="V469" t="str">
        <f ca="1">IF(OR([1]Planilha1!$B469="",[1]Planilha1!$B469="NÃO MAPEADO"),"",TRIM([1]Planilha1!$B469))</f>
        <v>SUDESTE</v>
      </c>
      <c r="W469" t="str">
        <f ca="1">IF([1]Planilha1!$C469="","",TRIM([1]Planilha1!$C469))</f>
        <v>MD 2</v>
      </c>
      <c r="X469" s="12" t="str">
        <f ca="1">IFERROR(VLOOKUP($C469,[1]Planilha2!$B:$H,7,FALSE),"")</f>
        <v>13720-001</v>
      </c>
    </row>
    <row r="470" spans="1:24" x14ac:dyDescent="0.35">
      <c r="A470" t="str">
        <f ca="1">IF(LEFT(TEXT([1]Planilha1!$L470,"0000000"),1)="5","MS","SP")</f>
        <v>SP</v>
      </c>
      <c r="B470" t="str">
        <f ca="1">IF(RIGHT([1]Planilha1!$A470,5)=" - MS",LEFT([1]Planilha1!$A470,LEN([1]Planilha1!$A470)-5),TRIM([1]Planilha1!$A470))</f>
        <v>SAO JOSE DO RIO PARDO</v>
      </c>
      <c r="C470" s="2">
        <f ca="1">[1]Planilha1!$L470</f>
        <v>3549706</v>
      </c>
      <c r="D470" t="str">
        <f>TRIM([1]Planilha1!$D470)</f>
        <v>Vivo</v>
      </c>
      <c r="E470" t="str">
        <f>IF(TRIM([1]Planilha1!$D470)="Claro","Claro","Concorrente")</f>
        <v>Concorrente</v>
      </c>
      <c r="F470" t="s">
        <v>25</v>
      </c>
      <c r="G470" t="str">
        <f t="shared" ca="1" si="33"/>
        <v>Banda Larga + Movel</v>
      </c>
      <c r="H470" t="s">
        <v>26</v>
      </c>
      <c r="I470" t="str">
        <f ca="1">IF([1]Planilha1!$F470="","",TRIM([1]Planilha1!$F470))</f>
        <v>Fibra</v>
      </c>
      <c r="J470" s="11" t="s">
        <v>27</v>
      </c>
      <c r="K470" s="4" cm="1">
        <f t="array" aca="1" ref="K470" ca="1">IFERROR(VALUE(_xlfn.REGEXEXTRACT([1]Planilha1!$E470,"\+\s*(\d+)GB",2)),"")</f>
        <v>70</v>
      </c>
      <c r="L470" s="5">
        <v>160</v>
      </c>
      <c r="M470" s="5" t="str">
        <f ca="1">IF([1]Planilha1!$I470="","",[1]Planilha1!$I470)</f>
        <v/>
      </c>
      <c r="N470" s="2" t="str" cm="1">
        <f t="array" aca="1" ref="N470" ca="1">IFERROR(VALUE(_xlfn.REGEXEXTRACT([1]Planilha1!$E470,"(\d+)\s*MESES",2)),IFERROR(VALUE(_xlfn.REGEXEXTRACT([1]Planilha1!$E470,"por\s*(\d+)\s*M",2)),IF(_xlfn.REGEXTEST([1]Planilha1!$E470,"1[ºª]"),1,"")))</f>
        <v/>
      </c>
      <c r="O470" s="6" t="str">
        <f t="shared" si="34"/>
        <v/>
      </c>
      <c r="P470" t="str">
        <f ca="1">IF([1]Planilha1!$J470="","",TRIM([1]Planilha1!$J470))</f>
        <v>0</v>
      </c>
      <c r="Q470" s="7">
        <f ca="1">IF($D470="Claro","",IFERROR($L470-VLOOKUP($B470&amp;"|Claro",[1]AUX_CLARO!$A:$C,2,FALSE),""))</f>
        <v>20.099999999999994</v>
      </c>
      <c r="R470" s="8" t="str">
        <f ca="1">IF($D470="Claro","",IFERROR($J470-VLOOKUP($B470&amp;"|Claro",[1]AUX_CLARO!$A:$C,3,FALSE),""))</f>
        <v/>
      </c>
      <c r="S470" t="str">
        <f t="shared" ca="1" si="35"/>
        <v>Claro mais barata</v>
      </c>
      <c r="T470" t="str">
        <f t="shared" ca="1" si="36"/>
        <v/>
      </c>
      <c r="U470" s="9">
        <f t="shared" si="37"/>
        <v>46174</v>
      </c>
      <c r="V470" t="str">
        <f ca="1">IF(OR([1]Planilha1!$B470="",[1]Planilha1!$B470="NÃO MAPEADO"),"",TRIM([1]Planilha1!$B470))</f>
        <v>SUDESTE</v>
      </c>
      <c r="W470" t="str">
        <f ca="1">IF([1]Planilha1!$C470="","",TRIM([1]Planilha1!$C470))</f>
        <v>MD 2</v>
      </c>
      <c r="X470" s="12" t="str">
        <f ca="1">IFERROR(VLOOKUP($C470,[1]Planilha2!$B:$H,7,FALSE),"")</f>
        <v>13720-001</v>
      </c>
    </row>
    <row r="471" spans="1:24" x14ac:dyDescent="0.35">
      <c r="A471" t="str">
        <f ca="1">IF(LEFT(TEXT([1]Planilha1!$L471,"0000000"),1)="5","MS","SP")</f>
        <v>SP</v>
      </c>
      <c r="B471" t="str">
        <f ca="1">IF(RIGHT([1]Planilha1!$A471,5)=" - MS",LEFT([1]Planilha1!$A471,LEN([1]Planilha1!$A471)-5),TRIM([1]Planilha1!$A471))</f>
        <v>SAO JOSE DO RIO PARDO</v>
      </c>
      <c r="C471" s="2">
        <f ca="1">[1]Planilha1!$L471</f>
        <v>3549706</v>
      </c>
      <c r="D471" t="str">
        <f>TRIM([1]Planilha1!$D471)</f>
        <v>Alares</v>
      </c>
      <c r="E471" t="str">
        <f>IF(TRIM([1]Planilha1!$D471)="Claro","Claro","Concorrente")</f>
        <v>Concorrente</v>
      </c>
      <c r="F471" t="s">
        <v>32</v>
      </c>
      <c r="G471" t="str">
        <f t="shared" ca="1" si="33"/>
        <v>Banda Larga + Conteudo</v>
      </c>
      <c r="H471" t="str">
        <f ca="1">TRIM([1]Planilha1!$E471)</f>
        <v>1GB + GLOBOPLAY R$99,90</v>
      </c>
      <c r="I471" t="str">
        <f ca="1">IF([1]Planilha1!$F471="","",TRIM([1]Planilha1!$F471))</f>
        <v>Fibra</v>
      </c>
      <c r="J471" s="3">
        <f ca="1">IF([1]Planilha1!$G471="","",[1]Planilha1!$G471)</f>
        <v>1000</v>
      </c>
      <c r="K471" s="4" t="str" cm="1">
        <f t="array" aca="1" ref="K471" ca="1">IFERROR(VALUE(_xlfn.REGEXEXTRACT([1]Planilha1!$E471,"\+\s*(\d+)GB",2)),"")</f>
        <v/>
      </c>
      <c r="L471" s="5">
        <f ca="1">IF([1]Planilha1!$H471="","",[1]Planilha1!$H471)</f>
        <v>99.9</v>
      </c>
      <c r="M471" s="5" t="str">
        <f ca="1">IF([1]Planilha1!$I471="","",[1]Planilha1!$I471)</f>
        <v/>
      </c>
      <c r="N471" s="2" t="str" cm="1">
        <f t="array" aca="1" ref="N471" ca="1">IFERROR(VALUE(_xlfn.REGEXEXTRACT([1]Planilha1!$E471,"(\d+)\s*MESES",2)),IFERROR(VALUE(_xlfn.REGEXEXTRACT([1]Planilha1!$E471,"por\s*(\d+)\s*M",2)),IF(_xlfn.REGEXTEST([1]Planilha1!$E471,"1[ºª]"),1,"")))</f>
        <v/>
      </c>
      <c r="O471" s="6">
        <f t="shared" ca="1" si="34"/>
        <v>9.9900000000000003E-2</v>
      </c>
      <c r="P471" t="str">
        <f ca="1">IF([1]Planilha1!$J471="","",TRIM([1]Planilha1!$J471))</f>
        <v>GLOBOPLAY</v>
      </c>
      <c r="Q471" s="7">
        <f ca="1">IF($D471="Claro","",IFERROR($L471-VLOOKUP($B471&amp;"|Claro",[1]AUX_CLARO!$A:$C,2,FALSE),""))</f>
        <v>-40</v>
      </c>
      <c r="R471" s="8">
        <f ca="1">IF($D471="Claro","",IFERROR($J471-VLOOKUP($B471&amp;"|Claro",[1]AUX_CLARO!$A:$C,3,FALSE),""))</f>
        <v>400</v>
      </c>
      <c r="S471" t="str">
        <f t="shared" ca="1" si="35"/>
        <v>Claro mais cara</v>
      </c>
      <c r="T471" t="str">
        <f t="shared" ca="1" si="36"/>
        <v>Claro com menor velocidade</v>
      </c>
      <c r="U471" s="9">
        <f t="shared" si="37"/>
        <v>46174</v>
      </c>
      <c r="V471" t="str">
        <f ca="1">IF(OR([1]Planilha1!$B471="",[1]Planilha1!$B471="NÃO MAPEADO"),"",TRIM([1]Planilha1!$B471))</f>
        <v>SUDESTE</v>
      </c>
      <c r="W471" t="str">
        <f ca="1">IF([1]Planilha1!$C471="","",TRIM([1]Planilha1!$C471))</f>
        <v>MD 2</v>
      </c>
      <c r="X471" s="12" t="str">
        <f ca="1">IFERROR(VLOOKUP($C471,[1]Planilha2!$B:$H,7,FALSE),"")</f>
        <v>13720-001</v>
      </c>
    </row>
    <row r="472" spans="1:24" x14ac:dyDescent="0.35">
      <c r="A472" t="str">
        <f ca="1">IF(LEFT(TEXT([1]Planilha1!$L472,"0000000"),1)="5","MS","SP")</f>
        <v>SP</v>
      </c>
      <c r="B472" t="str">
        <f ca="1">IF(RIGHT([1]Planilha1!$A472,5)=" - MS",LEFT([1]Planilha1!$A472,LEN([1]Planilha1!$A472)-5),TRIM([1]Planilha1!$A472))</f>
        <v>SAO JOSE DO RIO PARDO</v>
      </c>
      <c r="C472" s="2">
        <f ca="1">[1]Planilha1!$L472</f>
        <v>3549706</v>
      </c>
      <c r="D472" t="str">
        <f>TRIM([1]Planilha1!$D472)</f>
        <v>ISP LOCAL</v>
      </c>
      <c r="E472" t="str">
        <f>IF(TRIM([1]Planilha1!$D472)="Claro","Claro","Concorrente")</f>
        <v>Concorrente</v>
      </c>
      <c r="F472" t="s">
        <v>85</v>
      </c>
      <c r="G472" t="str">
        <f t="shared" ca="1" si="33"/>
        <v>Banda Larga + Conteudo</v>
      </c>
      <c r="H472" t="str">
        <f ca="1">TRIM([1]Planilha1!$E472)</f>
        <v>NUVYON - 500M R$99,90</v>
      </c>
      <c r="I472" t="str">
        <f ca="1">IF([1]Planilha1!$F472="","",TRIM([1]Planilha1!$F472))</f>
        <v>Fibra</v>
      </c>
      <c r="J472" s="3">
        <f ca="1">IF([1]Planilha1!$G472="","",[1]Planilha1!$G472)</f>
        <v>500</v>
      </c>
      <c r="K472" s="4" t="str" cm="1">
        <f t="array" aca="1" ref="K472" ca="1">IFERROR(VALUE(_xlfn.REGEXEXTRACT([1]Planilha1!$E472,"\+\s*(\d+)GB",2)),"")</f>
        <v/>
      </c>
      <c r="L472" s="5">
        <f ca="1">IF([1]Planilha1!$H472="","",[1]Planilha1!$H472)</f>
        <v>99.9</v>
      </c>
      <c r="M472" s="5" t="str">
        <f ca="1">IF([1]Planilha1!$I472="","",[1]Planilha1!$I472)</f>
        <v/>
      </c>
      <c r="N472" s="2" t="str" cm="1">
        <f t="array" aca="1" ref="N472" ca="1">IFERROR(VALUE(_xlfn.REGEXEXTRACT([1]Planilha1!$E472,"(\d+)\s*MESES",2)),IFERROR(VALUE(_xlfn.REGEXEXTRACT([1]Planilha1!$E472,"por\s*(\d+)\s*M",2)),IF(_xlfn.REGEXTEST([1]Planilha1!$E472,"1[ºª]"),1,"")))</f>
        <v/>
      </c>
      <c r="O472" s="6">
        <f t="shared" ca="1" si="34"/>
        <v>0.19980000000000001</v>
      </c>
      <c r="P472" t="str">
        <f ca="1">IF([1]Planilha1!$J472="","",TRIM([1]Planilha1!$J472))</f>
        <v>0</v>
      </c>
      <c r="Q472" s="7">
        <f ca="1">IF($D472="Claro","",IFERROR($L472-VLOOKUP($B472&amp;"|Claro",[1]AUX_CLARO!$A:$C,2,FALSE),""))</f>
        <v>-40</v>
      </c>
      <c r="R472" s="8">
        <f ca="1">IF($D472="Claro","",IFERROR($J472-VLOOKUP($B472&amp;"|Claro",[1]AUX_CLARO!$A:$C,3,FALSE),""))</f>
        <v>-100</v>
      </c>
      <c r="S472" t="str">
        <f t="shared" ca="1" si="35"/>
        <v>Claro mais cara</v>
      </c>
      <c r="T472" t="str">
        <f t="shared" ca="1" si="36"/>
        <v>Claro com maior velocidade</v>
      </c>
      <c r="U472" s="9">
        <f t="shared" si="37"/>
        <v>46174</v>
      </c>
      <c r="V472" t="str">
        <f ca="1">IF(OR([1]Planilha1!$B472="",[1]Planilha1!$B472="NÃO MAPEADO"),"",TRIM([1]Planilha1!$B472))</f>
        <v>SUDESTE</v>
      </c>
      <c r="W472" t="str">
        <f ca="1">IF([1]Planilha1!$C472="","",TRIM([1]Planilha1!$C472))</f>
        <v>MD 2</v>
      </c>
      <c r="X472" s="12" t="str">
        <f ca="1">IFERROR(VLOOKUP($C472,[1]Planilha2!$B:$H,7,FALSE),"")</f>
        <v>13720-001</v>
      </c>
    </row>
    <row r="473" spans="1:24" x14ac:dyDescent="0.35">
      <c r="A473" t="str">
        <f ca="1">IF(LEFT(TEXT([1]Planilha1!$L473,"0000000"),1)="5","MS","SP")</f>
        <v>SP</v>
      </c>
      <c r="B473" t="str">
        <f ca="1">IF(RIGHT([1]Planilha1!$A473,5)=" - MS",LEFT([1]Planilha1!$A473,LEN([1]Planilha1!$A473)-5),TRIM([1]Planilha1!$A473))</f>
        <v>SAO JOSE DO RIO PRETO</v>
      </c>
      <c r="C473" s="2">
        <f ca="1">[1]Planilha1!$L473</f>
        <v>3549805</v>
      </c>
      <c r="D473" t="str">
        <f>TRIM([1]Planilha1!$D473)</f>
        <v>Claro</v>
      </c>
      <c r="E473" t="str">
        <f>IF(TRIM([1]Planilha1!$D473)="Claro","Claro","Concorrente")</f>
        <v>Claro</v>
      </c>
      <c r="F473" t="s">
        <v>24</v>
      </c>
      <c r="G473" t="str">
        <f t="shared" ca="1" si="33"/>
        <v>Banda Larga + Movel</v>
      </c>
      <c r="H473" t="str">
        <f ca="1">TRIM([1]Planilha1!$E473)</f>
        <v>1GB+100GB = R$99,90</v>
      </c>
      <c r="I473" t="str">
        <f ca="1">IF([1]Planilha1!$F473="","",TRIM([1]Planilha1!$F473))</f>
        <v>Fibra</v>
      </c>
      <c r="J473" s="3">
        <f ca="1">IF([1]Planilha1!$G473="","",[1]Planilha1!$G473)</f>
        <v>1000</v>
      </c>
      <c r="K473" s="4" cm="1">
        <f t="array" aca="1" ref="K473" ca="1">IFERROR(VALUE(_xlfn.REGEXEXTRACT([1]Planilha1!$E473,"\+\s*(\d+)GB",2)),"")</f>
        <v>100</v>
      </c>
      <c r="L473" s="5">
        <f ca="1">IF([1]Planilha1!$H473="","",[1]Planilha1!$H473)</f>
        <v>99.9</v>
      </c>
      <c r="M473" s="5" t="str">
        <f ca="1">IF([1]Planilha1!$I473="","",[1]Planilha1!$I473)</f>
        <v/>
      </c>
      <c r="N473" s="2" t="str" cm="1">
        <f t="array" aca="1" ref="N473" ca="1">IFERROR(VALUE(_xlfn.REGEXEXTRACT([1]Planilha1!$E473,"(\d+)\s*MESES",2)),IFERROR(VALUE(_xlfn.REGEXEXTRACT([1]Planilha1!$E473,"por\s*(\d+)\s*M",2)),IF(_xlfn.REGEXTEST([1]Planilha1!$E473,"1[ºª]"),1,"")))</f>
        <v/>
      </c>
      <c r="O473" s="6">
        <f t="shared" ca="1" si="34"/>
        <v>9.9900000000000003E-2</v>
      </c>
      <c r="P473" t="str">
        <f ca="1">IF([1]Planilha1!$J473="","",TRIM([1]Planilha1!$J473))</f>
        <v>GLOBOPLAY</v>
      </c>
      <c r="Q473" s="7" t="str">
        <f>IF($D473="Claro","",IFERROR($L473-VLOOKUP($B473&amp;"|Claro",[1]AUX_CLARO!$A:$C,2,FALSE),""))</f>
        <v/>
      </c>
      <c r="R473" s="8" t="str">
        <f>IF($D473="Claro","",IFERROR($J473-VLOOKUP($B473&amp;"|Claro",[1]AUX_CLARO!$A:$C,3,FALSE),""))</f>
        <v/>
      </c>
      <c r="S473" t="str">
        <f t="shared" si="35"/>
        <v/>
      </c>
      <c r="T473" t="str">
        <f t="shared" si="36"/>
        <v/>
      </c>
      <c r="U473" s="9">
        <f t="shared" si="37"/>
        <v>46174</v>
      </c>
      <c r="V473" t="str">
        <f ca="1">IF(OR([1]Planilha1!$B473="",[1]Planilha1!$B473="NÃO MAPEADO"),"",TRIM([1]Planilha1!$B473))</f>
        <v>OESTE</v>
      </c>
      <c r="W473" t="str">
        <f ca="1">IF([1]Planilha1!$C473="","",TRIM([1]Planilha1!$C473))</f>
        <v>RUBI</v>
      </c>
      <c r="X473" t="str">
        <f ca="1">IFERROR(VLOOKUP($C473,[1]Planilha2!$B:$H,7,FALSE),"")</f>
        <v>15000-001</v>
      </c>
    </row>
    <row r="474" spans="1:24" x14ac:dyDescent="0.35">
      <c r="A474" t="str">
        <f ca="1">IF(LEFT(TEXT([1]Planilha1!$L474,"0000000"),1)="5","MS","SP")</f>
        <v>SP</v>
      </c>
      <c r="B474" t="str">
        <f ca="1">IF(RIGHT([1]Planilha1!$A474,5)=" - MS",LEFT([1]Planilha1!$A474,LEN([1]Planilha1!$A474)-5),TRIM([1]Planilha1!$A474))</f>
        <v>SAO JOSE DO RIO PRETO</v>
      </c>
      <c r="C474" s="2">
        <f ca="1">[1]Planilha1!$L474</f>
        <v>3549805</v>
      </c>
      <c r="D474" t="str">
        <f>TRIM([1]Planilha1!$D474)</f>
        <v>Vivo</v>
      </c>
      <c r="E474" t="str">
        <f>IF(TRIM([1]Planilha1!$D474)="Claro","Claro","Concorrente")</f>
        <v>Concorrente</v>
      </c>
      <c r="F474" t="s">
        <v>25</v>
      </c>
      <c r="G474" t="str">
        <f t="shared" ca="1" si="33"/>
        <v>Banda Larga + Movel</v>
      </c>
      <c r="H474" t="s">
        <v>26</v>
      </c>
      <c r="I474" t="str">
        <f ca="1">IF([1]Planilha1!$F474="","",TRIM([1]Planilha1!$F474))</f>
        <v>Fibra</v>
      </c>
      <c r="J474" s="11" t="s">
        <v>27</v>
      </c>
      <c r="K474" s="4" cm="1">
        <f t="array" aca="1" ref="K474" ca="1">IFERROR(VALUE(_xlfn.REGEXEXTRACT([1]Planilha1!$E474,"\+\s*(\d+)GB",2)),"")</f>
        <v>70</v>
      </c>
      <c r="L474" s="5">
        <v>160</v>
      </c>
      <c r="M474" s="5" t="str">
        <f ca="1">IF([1]Planilha1!$I474="","",[1]Planilha1!$I474)</f>
        <v/>
      </c>
      <c r="N474" s="2" t="str" cm="1">
        <f t="array" aca="1" ref="N474" ca="1">IFERROR(VALUE(_xlfn.REGEXEXTRACT([1]Planilha1!$E474,"(\d+)\s*MESES",2)),IFERROR(VALUE(_xlfn.REGEXEXTRACT([1]Planilha1!$E474,"por\s*(\d+)\s*M",2)),IF(_xlfn.REGEXTEST([1]Planilha1!$E474,"1[ºª]"),1,"")))</f>
        <v/>
      </c>
      <c r="O474" s="6" t="str">
        <f t="shared" si="34"/>
        <v/>
      </c>
      <c r="P474" t="str">
        <f ca="1">IF([1]Planilha1!$J474="","",TRIM([1]Planilha1!$J474))</f>
        <v>0</v>
      </c>
      <c r="Q474" s="7">
        <f ca="1">IF($D474="Claro","",IFERROR($L474-VLOOKUP($B474&amp;"|Claro",[1]AUX_CLARO!$A:$C,2,FALSE),""))</f>
        <v>60.099999999999994</v>
      </c>
      <c r="R474" s="8" t="str">
        <f ca="1">IF($D474="Claro","",IFERROR($J474-VLOOKUP($B474&amp;"|Claro",[1]AUX_CLARO!$A:$C,3,FALSE),""))</f>
        <v/>
      </c>
      <c r="S474" t="str">
        <f t="shared" ca="1" si="35"/>
        <v>Claro mais barata</v>
      </c>
      <c r="T474" t="str">
        <f t="shared" ca="1" si="36"/>
        <v/>
      </c>
      <c r="U474" s="9">
        <f t="shared" si="37"/>
        <v>46174</v>
      </c>
      <c r="V474" t="str">
        <f ca="1">IF(OR([1]Planilha1!$B474="",[1]Planilha1!$B474="NÃO MAPEADO"),"",TRIM([1]Planilha1!$B474))</f>
        <v>OESTE</v>
      </c>
      <c r="W474" t="str">
        <f ca="1">IF([1]Planilha1!$C474="","",TRIM([1]Planilha1!$C474))</f>
        <v>RUBI</v>
      </c>
      <c r="X474" t="str">
        <f ca="1">IFERROR(VLOOKUP($C474,[1]Planilha2!$B:$H,7,FALSE),"")</f>
        <v>15000-001</v>
      </c>
    </row>
    <row r="475" spans="1:24" x14ac:dyDescent="0.35">
      <c r="A475" t="str">
        <f ca="1">IF(LEFT(TEXT([1]Planilha1!$L475,"0000000"),1)="5","MS","SP")</f>
        <v>SP</v>
      </c>
      <c r="B475" t="str">
        <f ca="1">IF(RIGHT([1]Planilha1!$A475,5)=" - MS",LEFT([1]Planilha1!$A475,LEN([1]Planilha1!$A475)-5),TRIM([1]Planilha1!$A475))</f>
        <v>SAO JOSE DO RIO PRETO</v>
      </c>
      <c r="C475" s="2">
        <f ca="1">[1]Planilha1!$L475</f>
        <v>3549805</v>
      </c>
      <c r="D475" t="str">
        <f>TRIM([1]Planilha1!$D475)</f>
        <v>Desktop</v>
      </c>
      <c r="E475" t="str">
        <f>IF(TRIM([1]Planilha1!$D475)="Claro","Claro","Concorrente")</f>
        <v>Concorrente</v>
      </c>
      <c r="F475" t="s">
        <v>29</v>
      </c>
      <c r="G475" t="str">
        <f t="shared" ca="1" si="33"/>
        <v>Banda Larga + Conteudo</v>
      </c>
      <c r="H475" t="str">
        <f ca="1">TRIM([1]Planilha1!$E475)</f>
        <v>600M=R$49,99 por 2M, após R$89,99</v>
      </c>
      <c r="I475" t="str">
        <f ca="1">IF([1]Planilha1!$F475="","",TRIM([1]Planilha1!$F475))</f>
        <v>Fibra</v>
      </c>
      <c r="J475" s="3">
        <f ca="1">IF([1]Planilha1!$G475="","",[1]Planilha1!$G475)</f>
        <v>600</v>
      </c>
      <c r="K475" s="4" t="str" cm="1">
        <f t="array" aca="1" ref="K475" ca="1">IFERROR(VALUE(_xlfn.REGEXEXTRACT([1]Planilha1!$E475,"\+\s*(\d+)GB",2)),"")</f>
        <v/>
      </c>
      <c r="L475" s="5">
        <f ca="1">IF([1]Planilha1!$H475="","",[1]Planilha1!$H475)</f>
        <v>89.99</v>
      </c>
      <c r="M475" s="5">
        <f ca="1">IF([1]Planilha1!$I475="","",[1]Planilha1!$I475)</f>
        <v>49.99</v>
      </c>
      <c r="N475" s="2" cm="1">
        <f t="array" aca="1" ref="N475" ca="1">IFERROR(VALUE(_xlfn.REGEXEXTRACT([1]Planilha1!$E475,"(\d+)\s*MESES",2)),IFERROR(VALUE(_xlfn.REGEXEXTRACT([1]Planilha1!$E475,"por\s*(\d+)\s*M",2)),IF(_xlfn.REGEXTEST([1]Planilha1!$E475,"1[ºª]"),1,"")))</f>
        <v>2</v>
      </c>
      <c r="O475" s="6">
        <f t="shared" ca="1" si="34"/>
        <v>0.14998333333333333</v>
      </c>
      <c r="P475" t="str">
        <f ca="1">IF([1]Planilha1!$J475="","",TRIM([1]Planilha1!$J475))</f>
        <v>0</v>
      </c>
      <c r="Q475" s="7">
        <f ca="1">IF($D475="Claro","",IFERROR($L475-VLOOKUP($B475&amp;"|Claro",[1]AUX_CLARO!$A:$C,2,FALSE),""))</f>
        <v>-9.9100000000000108</v>
      </c>
      <c r="R475" s="8">
        <f ca="1">IF($D475="Claro","",IFERROR($J475-VLOOKUP($B475&amp;"|Claro",[1]AUX_CLARO!$A:$C,3,FALSE),""))</f>
        <v>-400</v>
      </c>
      <c r="S475" t="str">
        <f t="shared" ca="1" si="35"/>
        <v>Claro mais cara</v>
      </c>
      <c r="T475" t="str">
        <f t="shared" ca="1" si="36"/>
        <v>Claro com maior velocidade</v>
      </c>
      <c r="U475" s="9">
        <f t="shared" si="37"/>
        <v>46174</v>
      </c>
      <c r="V475" t="str">
        <f ca="1">IF(OR([1]Planilha1!$B475="",[1]Planilha1!$B475="NÃO MAPEADO"),"",TRIM([1]Planilha1!$B475))</f>
        <v>OESTE</v>
      </c>
      <c r="W475" t="str">
        <f ca="1">IF([1]Planilha1!$C475="","",TRIM([1]Planilha1!$C475))</f>
        <v>RUBI</v>
      </c>
      <c r="X475" t="str">
        <f ca="1">IFERROR(VLOOKUP($C475,[1]Planilha2!$B:$H,7,FALSE),"")</f>
        <v>15000-001</v>
      </c>
    </row>
    <row r="476" spans="1:24" x14ac:dyDescent="0.35">
      <c r="A476" t="str">
        <f ca="1">IF(LEFT(TEXT([1]Planilha1!$L476,"0000000"),1)="5","MS","SP")</f>
        <v>SP</v>
      </c>
      <c r="B476" t="str">
        <f ca="1">IF(RIGHT([1]Planilha1!$A476,5)=" - MS",LEFT([1]Planilha1!$A476,LEN([1]Planilha1!$A476)-5),TRIM([1]Planilha1!$A476))</f>
        <v>SAO JOSE DO RIO PRETO</v>
      </c>
      <c r="C476" s="2">
        <f ca="1">[1]Planilha1!$L476</f>
        <v>3549805</v>
      </c>
      <c r="D476" t="str">
        <f>TRIM([1]Planilha1!$D476)</f>
        <v>Vero</v>
      </c>
      <c r="E476" t="str">
        <f>IF(TRIM([1]Planilha1!$D476)="Claro","Claro","Concorrente")</f>
        <v>Concorrente</v>
      </c>
      <c r="F476" t="s">
        <v>30</v>
      </c>
      <c r="G476" t="str">
        <f t="shared" ca="1" si="33"/>
        <v>Banda Larga + Movel</v>
      </c>
      <c r="H476" t="str">
        <f ca="1">TRIM([1]Planilha1!$E476)</f>
        <v>850M+60GB=R$149,99 (C/ GLOBOPLAY, HBO, DISNEY+)</v>
      </c>
      <c r="I476" t="str">
        <f ca="1">IF([1]Planilha1!$F476="","",TRIM([1]Planilha1!$F476))</f>
        <v>Fibra</v>
      </c>
      <c r="J476" s="3">
        <f ca="1">IF([1]Planilha1!$G476="","",[1]Planilha1!$G476)</f>
        <v>850</v>
      </c>
      <c r="K476" s="4" cm="1">
        <f t="array" aca="1" ref="K476" ca="1">IFERROR(VALUE(_xlfn.REGEXEXTRACT([1]Planilha1!$E476,"\+\s*(\d+)GB",2)),"")</f>
        <v>60</v>
      </c>
      <c r="L476" s="5">
        <f ca="1">IF([1]Planilha1!$H476="","",[1]Planilha1!$H476)</f>
        <v>149.99</v>
      </c>
      <c r="M476" s="5" t="str">
        <f ca="1">IF([1]Planilha1!$I476="","",[1]Planilha1!$I476)</f>
        <v/>
      </c>
      <c r="N476" s="2" t="str" cm="1">
        <f t="array" aca="1" ref="N476" ca="1">IFERROR(VALUE(_xlfn.REGEXEXTRACT([1]Planilha1!$E476,"(\d+)\s*MESES",2)),IFERROR(VALUE(_xlfn.REGEXEXTRACT([1]Planilha1!$E476,"por\s*(\d+)\s*M",2)),IF(_xlfn.REGEXTEST([1]Planilha1!$E476,"1[ºª]"),1,"")))</f>
        <v/>
      </c>
      <c r="O476" s="6">
        <f t="shared" ca="1" si="34"/>
        <v>0.17645882352941178</v>
      </c>
      <c r="P476" t="str">
        <f ca="1">IF([1]Planilha1!$J476="","",TRIM([1]Planilha1!$J476))</f>
        <v>GLOBOPLAY, HBO, DISNEY+</v>
      </c>
      <c r="Q476" s="7">
        <f ca="1">IF($D476="Claro","",IFERROR($L476-VLOOKUP($B476&amp;"|Claro",[1]AUX_CLARO!$A:$C,2,FALSE),""))</f>
        <v>50.09</v>
      </c>
      <c r="R476" s="8">
        <f ca="1">IF($D476="Claro","",IFERROR($J476-VLOOKUP($B476&amp;"|Claro",[1]AUX_CLARO!$A:$C,3,FALSE),""))</f>
        <v>-150</v>
      </c>
      <c r="S476" t="str">
        <f t="shared" ca="1" si="35"/>
        <v>Claro mais barata</v>
      </c>
      <c r="T476" t="str">
        <f t="shared" ca="1" si="36"/>
        <v>Claro com maior velocidade</v>
      </c>
      <c r="U476" s="9">
        <f t="shared" si="37"/>
        <v>46174</v>
      </c>
      <c r="V476" t="str">
        <f ca="1">IF(OR([1]Planilha1!$B476="",[1]Planilha1!$B476="NÃO MAPEADO"),"",TRIM([1]Planilha1!$B476))</f>
        <v>OESTE</v>
      </c>
      <c r="W476" t="str">
        <f ca="1">IF([1]Planilha1!$C476="","",TRIM([1]Planilha1!$C476))</f>
        <v>RUBI</v>
      </c>
      <c r="X476" t="str">
        <f ca="1">IFERROR(VLOOKUP($C476,[1]Planilha2!$B:$H,7,FALSE),"")</f>
        <v>15000-001</v>
      </c>
    </row>
    <row r="477" spans="1:24" x14ac:dyDescent="0.35">
      <c r="A477" t="str">
        <f ca="1">IF(LEFT(TEXT([1]Planilha1!$L477,"0000000"),1)="5","MS","SP")</f>
        <v>SP</v>
      </c>
      <c r="B477" t="str">
        <f ca="1">IF(RIGHT([1]Planilha1!$A477,5)=" - MS",LEFT([1]Planilha1!$A477,LEN([1]Planilha1!$A477)-5),TRIM([1]Planilha1!$A477))</f>
        <v>SAO JOSE DO RIO PRETO</v>
      </c>
      <c r="C477" s="2">
        <f ca="1">[1]Planilha1!$L477</f>
        <v>3549805</v>
      </c>
      <c r="D477" t="str">
        <f>TRIM([1]Planilha1!$D477)</f>
        <v>Algar</v>
      </c>
      <c r="E477" t="str">
        <f>IF(TRIM([1]Planilha1!$D477)="Claro","Claro","Concorrente")</f>
        <v>Concorrente</v>
      </c>
      <c r="F477" t="s">
        <v>38</v>
      </c>
      <c r="G477" t="str">
        <f t="shared" ca="1" si="33"/>
        <v>Banda Larga + Conteudo</v>
      </c>
      <c r="H477" t="str">
        <f ca="1">TRIM([1]Planilha1!$E477)</f>
        <v>800M R$99,90</v>
      </c>
      <c r="I477" t="str">
        <f ca="1">IF([1]Planilha1!$F477="","",TRIM([1]Planilha1!$F477))</f>
        <v>Fibra</v>
      </c>
      <c r="J477" s="3">
        <f ca="1">IF([1]Planilha1!$G477="","",[1]Planilha1!$G477)</f>
        <v>800</v>
      </c>
      <c r="K477" s="4" t="str" cm="1">
        <f t="array" aca="1" ref="K477" ca="1">IFERROR(VALUE(_xlfn.REGEXEXTRACT([1]Planilha1!$E477,"\+\s*(\d+)GB",2)),"")</f>
        <v/>
      </c>
      <c r="L477" s="5">
        <f ca="1">IF([1]Planilha1!$H477="","",[1]Planilha1!$H477)</f>
        <v>99.9</v>
      </c>
      <c r="M477" s="5" t="str">
        <f ca="1">IF([1]Planilha1!$I477="","",[1]Planilha1!$I477)</f>
        <v/>
      </c>
      <c r="N477" s="2" t="str" cm="1">
        <f t="array" aca="1" ref="N477" ca="1">IFERROR(VALUE(_xlfn.REGEXEXTRACT([1]Planilha1!$E477,"(\d+)\s*MESES",2)),IFERROR(VALUE(_xlfn.REGEXEXTRACT([1]Planilha1!$E477,"por\s*(\d+)\s*M",2)),IF(_xlfn.REGEXTEST([1]Planilha1!$E477,"1[ºª]"),1,"")))</f>
        <v/>
      </c>
      <c r="O477" s="6">
        <f t="shared" ca="1" si="34"/>
        <v>0.12487500000000001</v>
      </c>
      <c r="P477" t="str">
        <f ca="1">IF([1]Planilha1!$J477="","",TRIM([1]Planilha1!$J477))</f>
        <v>0</v>
      </c>
      <c r="Q477" s="7">
        <f ca="1">IF($D477="Claro","",IFERROR($L477-VLOOKUP($B477&amp;"|Claro",[1]AUX_CLARO!$A:$C,2,FALSE),""))</f>
        <v>0</v>
      </c>
      <c r="R477" s="8">
        <f ca="1">IF($D477="Claro","",IFERROR($J477-VLOOKUP($B477&amp;"|Claro",[1]AUX_CLARO!$A:$C,3,FALSE),""))</f>
        <v>-200</v>
      </c>
      <c r="S477" t="str">
        <f t="shared" ca="1" si="35"/>
        <v>Mesmo preco</v>
      </c>
      <c r="T477" t="str">
        <f t="shared" ca="1" si="36"/>
        <v>Claro com maior velocidade</v>
      </c>
      <c r="U477" s="9">
        <f t="shared" si="37"/>
        <v>46174</v>
      </c>
      <c r="V477" t="str">
        <f ca="1">IF(OR([1]Planilha1!$B477="",[1]Planilha1!$B477="NÃO MAPEADO"),"",TRIM([1]Planilha1!$B477))</f>
        <v>OESTE</v>
      </c>
      <c r="W477" t="str">
        <f ca="1">IF([1]Planilha1!$C477="","",TRIM([1]Planilha1!$C477))</f>
        <v>RUBI</v>
      </c>
      <c r="X477" t="str">
        <f ca="1">IFERROR(VLOOKUP($C477,[1]Planilha2!$B:$H,7,FALSE),"")</f>
        <v>15000-001</v>
      </c>
    </row>
    <row r="478" spans="1:24" x14ac:dyDescent="0.35">
      <c r="A478" t="str">
        <f ca="1">IF(LEFT(TEXT([1]Planilha1!$L478,"0000000"),1)="5","MS","SP")</f>
        <v>SP</v>
      </c>
      <c r="B478" t="str">
        <f ca="1">IF(RIGHT([1]Planilha1!$A478,5)=" - MS",LEFT([1]Planilha1!$A478,LEN([1]Planilha1!$A478)-5),TRIM([1]Planilha1!$A478))</f>
        <v>SAO JOSE DO RIO PRETO</v>
      </c>
      <c r="C478" s="2">
        <f ca="1">[1]Planilha1!$L478</f>
        <v>3549805</v>
      </c>
      <c r="D478" t="str">
        <f>TRIM([1]Planilha1!$D478)</f>
        <v>Weclix</v>
      </c>
      <c r="E478" t="str">
        <f>IF(TRIM([1]Planilha1!$D478)="Claro","Claro","Concorrente")</f>
        <v>Concorrente</v>
      </c>
      <c r="F478" t="s">
        <v>34</v>
      </c>
      <c r="G478" t="str">
        <f t="shared" ca="1" si="33"/>
        <v>Banda Larga + Conteudo</v>
      </c>
      <c r="H478" t="str">
        <f ca="1">TRIM([1]Planilha1!$E478)</f>
        <v>1GB R$59,90 - 1ª MENSALIDADE, APÓS R$99,90</v>
      </c>
      <c r="I478" t="str">
        <f ca="1">IF([1]Planilha1!$F478="","",TRIM([1]Planilha1!$F478))</f>
        <v>Fibra</v>
      </c>
      <c r="J478" s="3">
        <f ca="1">IF([1]Planilha1!$G478="","",[1]Planilha1!$G478)</f>
        <v>1000</v>
      </c>
      <c r="K478" s="4" t="str" cm="1">
        <f t="array" aca="1" ref="K478" ca="1">IFERROR(VALUE(_xlfn.REGEXEXTRACT([1]Planilha1!$E478,"\+\s*(\d+)GB",2)),"")</f>
        <v/>
      </c>
      <c r="L478" s="5">
        <f ca="1">IF([1]Planilha1!$H478="","",[1]Planilha1!$H478)</f>
        <v>99.9</v>
      </c>
      <c r="M478" s="5">
        <f ca="1">IF([1]Planilha1!$I478="","",[1]Planilha1!$I478)</f>
        <v>59.9</v>
      </c>
      <c r="N478" s="2" cm="1">
        <f t="array" aca="1" ref="N478" ca="1">IFERROR(VALUE(_xlfn.REGEXEXTRACT([1]Planilha1!$E478,"(\d+)\s*MESES",2)),IFERROR(VALUE(_xlfn.REGEXEXTRACT([1]Planilha1!$E478,"por\s*(\d+)\s*M",2)),IF(_xlfn.REGEXTEST([1]Planilha1!$E478,"1[ºª]"),1,"")))</f>
        <v>1</v>
      </c>
      <c r="O478" s="6">
        <f t="shared" ca="1" si="34"/>
        <v>9.9900000000000003E-2</v>
      </c>
      <c r="P478" t="str">
        <f ca="1">IF([1]Planilha1!$J478="","",TRIM([1]Planilha1!$J478))</f>
        <v>0</v>
      </c>
      <c r="Q478" s="7">
        <f ca="1">IF($D478="Claro","",IFERROR($L478-VLOOKUP($B478&amp;"|Claro",[1]AUX_CLARO!$A:$C,2,FALSE),""))</f>
        <v>0</v>
      </c>
      <c r="R478" s="8">
        <f ca="1">IF($D478="Claro","",IFERROR($J478-VLOOKUP($B478&amp;"|Claro",[1]AUX_CLARO!$A:$C,3,FALSE),""))</f>
        <v>0</v>
      </c>
      <c r="S478" t="str">
        <f t="shared" ca="1" si="35"/>
        <v>Mesmo preco</v>
      </c>
      <c r="T478" t="str">
        <f t="shared" ca="1" si="36"/>
        <v>Mesma velocidade</v>
      </c>
      <c r="U478" s="9">
        <f t="shared" si="37"/>
        <v>46174</v>
      </c>
      <c r="V478" t="str">
        <f ca="1">IF(OR([1]Planilha1!$B478="",[1]Planilha1!$B478="NÃO MAPEADO"),"",TRIM([1]Planilha1!$B478))</f>
        <v>OESTE</v>
      </c>
      <c r="W478" t="str">
        <f ca="1">IF([1]Planilha1!$C478="","",TRIM([1]Planilha1!$C478))</f>
        <v>RUBI</v>
      </c>
      <c r="X478" t="str">
        <f ca="1">IFERROR(VLOOKUP($C478,[1]Planilha2!$B:$H,7,FALSE),"")</f>
        <v>15000-001</v>
      </c>
    </row>
    <row r="479" spans="1:24" x14ac:dyDescent="0.35">
      <c r="A479" t="str">
        <f ca="1">IF(LEFT(TEXT([1]Planilha1!$L479,"0000000"),1)="5","MS","SP")</f>
        <v>SP</v>
      </c>
      <c r="B479" t="str">
        <f ca="1">IF(RIGHT([1]Planilha1!$A479,5)=" - MS",LEFT([1]Planilha1!$A479,LEN([1]Planilha1!$A479)-5),TRIM([1]Planilha1!$A479))</f>
        <v>SAO JOSE DO RIO PRETO</v>
      </c>
      <c r="C479" s="2">
        <f ca="1">[1]Planilha1!$L479</f>
        <v>3549805</v>
      </c>
      <c r="D479" t="str">
        <f>TRIM([1]Planilha1!$D479)</f>
        <v>ISP LOCAL</v>
      </c>
      <c r="E479" t="str">
        <f>IF(TRIM([1]Planilha1!$D479)="Claro","Claro","Concorrente")</f>
        <v>Concorrente</v>
      </c>
      <c r="F479" t="s">
        <v>86</v>
      </c>
      <c r="G479" t="str">
        <f t="shared" ca="1" si="33"/>
        <v>Banda Larga + Conteudo</v>
      </c>
      <c r="H479" t="str">
        <f ca="1">TRIM([1]Planilha1!$E479)</f>
        <v>N4 TELECOM - 600M R$149,90</v>
      </c>
      <c r="I479" t="str">
        <f ca="1">IF([1]Planilha1!$F479="","",TRIM([1]Planilha1!$F479))</f>
        <v>Fibra</v>
      </c>
      <c r="J479" s="3">
        <f ca="1">IF([1]Planilha1!$G479="","",[1]Planilha1!$G479)</f>
        <v>600</v>
      </c>
      <c r="K479" s="4" t="str" cm="1">
        <f t="array" aca="1" ref="K479" ca="1">IFERROR(VALUE(_xlfn.REGEXEXTRACT([1]Planilha1!$E479,"\+\s*(\d+)GB",2)),"")</f>
        <v/>
      </c>
      <c r="L479" s="5">
        <f ca="1">IF([1]Planilha1!$H479="","",[1]Planilha1!$H479)</f>
        <v>149.9</v>
      </c>
      <c r="M479" s="5" t="str">
        <f ca="1">IF([1]Planilha1!$I479="","",[1]Planilha1!$I479)</f>
        <v/>
      </c>
      <c r="N479" s="2" t="str" cm="1">
        <f t="array" aca="1" ref="N479" ca="1">IFERROR(VALUE(_xlfn.REGEXEXTRACT([1]Planilha1!$E479,"(\d+)\s*MESES",2)),IFERROR(VALUE(_xlfn.REGEXEXTRACT([1]Planilha1!$E479,"por\s*(\d+)\s*M",2)),IF(_xlfn.REGEXTEST([1]Planilha1!$E479,"1[ºª]"),1,"")))</f>
        <v/>
      </c>
      <c r="O479" s="6">
        <f t="shared" ca="1" si="34"/>
        <v>0.24983333333333335</v>
      </c>
      <c r="P479" t="str">
        <f ca="1">IF([1]Planilha1!$J479="","",TRIM([1]Planilha1!$J479))</f>
        <v>0</v>
      </c>
      <c r="Q479" s="7">
        <f ca="1">IF($D479="Claro","",IFERROR($L479-VLOOKUP($B479&amp;"|Claro",[1]AUX_CLARO!$A:$C,2,FALSE),""))</f>
        <v>50</v>
      </c>
      <c r="R479" s="8">
        <f ca="1">IF($D479="Claro","",IFERROR($J479-VLOOKUP($B479&amp;"|Claro",[1]AUX_CLARO!$A:$C,3,FALSE),""))</f>
        <v>-400</v>
      </c>
      <c r="S479" t="str">
        <f t="shared" ca="1" si="35"/>
        <v>Claro mais barata</v>
      </c>
      <c r="T479" t="str">
        <f t="shared" ca="1" si="36"/>
        <v>Claro com maior velocidade</v>
      </c>
      <c r="U479" s="9">
        <f t="shared" si="37"/>
        <v>46174</v>
      </c>
      <c r="V479" t="str">
        <f ca="1">IF(OR([1]Planilha1!$B479="",[1]Planilha1!$B479="NÃO MAPEADO"),"",TRIM([1]Planilha1!$B479))</f>
        <v>OESTE</v>
      </c>
      <c r="W479" t="str">
        <f ca="1">IF([1]Planilha1!$C479="","",TRIM([1]Planilha1!$C479))</f>
        <v>RUBI</v>
      </c>
      <c r="X479" t="str">
        <f ca="1">IFERROR(VLOOKUP($C479,[1]Planilha2!$B:$H,7,FALSE),"")</f>
        <v>15000-001</v>
      </c>
    </row>
    <row r="480" spans="1:24" x14ac:dyDescent="0.35">
      <c r="A480" t="str">
        <f ca="1">IF(LEFT(TEXT([1]Planilha1!$L480,"0000000"),1)="5","MS","SP")</f>
        <v>SP</v>
      </c>
      <c r="B480" t="str">
        <f ca="1">IF(RIGHT([1]Planilha1!$A480,5)=" - MS",LEFT([1]Planilha1!$A480,LEN([1]Planilha1!$A480)-5),TRIM([1]Planilha1!$A480))</f>
        <v>SAO JOSE DOS CAMPOS</v>
      </c>
      <c r="C480" s="2">
        <f ca="1">[1]Planilha1!$L480</f>
        <v>3549904</v>
      </c>
      <c r="D480" t="str">
        <f>TRIM([1]Planilha1!$D480)</f>
        <v>Claro</v>
      </c>
      <c r="E480" t="str">
        <f>IF(TRIM([1]Planilha1!$D480)="Claro","Claro","Concorrente")</f>
        <v>Claro</v>
      </c>
      <c r="F480" t="s">
        <v>24</v>
      </c>
      <c r="G480" t="str">
        <f t="shared" ca="1" si="33"/>
        <v>Banda Larga + Movel</v>
      </c>
      <c r="H480" t="str">
        <f ca="1">TRIM([1]Planilha1!$E480)</f>
        <v>1GB+100GB = R$99,90</v>
      </c>
      <c r="I480" t="str">
        <f ca="1">IF([1]Planilha1!$F480="","",TRIM([1]Planilha1!$F480))</f>
        <v>Fibra</v>
      </c>
      <c r="J480" s="3">
        <f ca="1">IF([1]Planilha1!$G480="","",[1]Planilha1!$G480)</f>
        <v>1000</v>
      </c>
      <c r="K480" s="4" cm="1">
        <f t="array" aca="1" ref="K480" ca="1">IFERROR(VALUE(_xlfn.REGEXEXTRACT([1]Planilha1!$E480,"\+\s*(\d+)GB",2)),"")</f>
        <v>100</v>
      </c>
      <c r="L480" s="5">
        <f ca="1">IF([1]Planilha1!$H480="","",[1]Planilha1!$H480)</f>
        <v>99.9</v>
      </c>
      <c r="M480" s="5" t="str">
        <f ca="1">IF([1]Planilha1!$I480="","",[1]Planilha1!$I480)</f>
        <v/>
      </c>
      <c r="N480" s="2" t="str" cm="1">
        <f t="array" aca="1" ref="N480" ca="1">IFERROR(VALUE(_xlfn.REGEXEXTRACT([1]Planilha1!$E480,"(\d+)\s*MESES",2)),IFERROR(VALUE(_xlfn.REGEXEXTRACT([1]Planilha1!$E480,"por\s*(\d+)\s*M",2)),IF(_xlfn.REGEXTEST([1]Planilha1!$E480,"1[ºª]"),1,"")))</f>
        <v/>
      </c>
      <c r="O480" s="6">
        <f t="shared" ca="1" si="34"/>
        <v>9.9900000000000003E-2</v>
      </c>
      <c r="P480" t="str">
        <f ca="1">IF([1]Planilha1!$J480="","",TRIM([1]Planilha1!$J480))</f>
        <v>GLOBOPLAY</v>
      </c>
      <c r="Q480" s="7" t="str">
        <f>IF($D480="Claro","",IFERROR($L480-VLOOKUP($B480&amp;"|Claro",[1]AUX_CLARO!$A:$C,2,FALSE),""))</f>
        <v/>
      </c>
      <c r="R480" s="8" t="str">
        <f>IF($D480="Claro","",IFERROR($J480-VLOOKUP($B480&amp;"|Claro",[1]AUX_CLARO!$A:$C,3,FALSE),""))</f>
        <v/>
      </c>
      <c r="S480" t="str">
        <f t="shared" si="35"/>
        <v/>
      </c>
      <c r="T480" t="str">
        <f t="shared" si="36"/>
        <v/>
      </c>
      <c r="U480" s="9">
        <f t="shared" si="37"/>
        <v>46174</v>
      </c>
      <c r="V480" t="str">
        <f ca="1">IF(OR([1]Planilha1!$B480="",[1]Planilha1!$B480="NÃO MAPEADO"),"",TRIM([1]Planilha1!$B480))</f>
        <v>LITORAL</v>
      </c>
      <c r="W480" t="str">
        <f ca="1">IF([1]Planilha1!$C480="","",TRIM([1]Planilha1!$C480))</f>
        <v>RUBI</v>
      </c>
      <c r="X480" t="str">
        <f ca="1">IFERROR(VLOOKUP($C480,[1]Planilha2!$B:$H,7,FALSE),"")</f>
        <v>12200-001</v>
      </c>
    </row>
    <row r="481" spans="1:24" x14ac:dyDescent="0.35">
      <c r="A481" t="str">
        <f ca="1">IF(LEFT(TEXT([1]Planilha1!$L481,"0000000"),1)="5","MS","SP")</f>
        <v>SP</v>
      </c>
      <c r="B481" t="str">
        <f ca="1">IF(RIGHT([1]Planilha1!$A481,5)=" - MS",LEFT([1]Planilha1!$A481,LEN([1]Planilha1!$A481)-5),TRIM([1]Planilha1!$A481))</f>
        <v>SAO JOSE DOS CAMPOS</v>
      </c>
      <c r="C481" s="2">
        <f ca="1">[1]Planilha1!$L481</f>
        <v>3549904</v>
      </c>
      <c r="D481" t="str">
        <f>TRIM([1]Planilha1!$D481)</f>
        <v>Vivo</v>
      </c>
      <c r="E481" t="str">
        <f>IF(TRIM([1]Planilha1!$D481)="Claro","Claro","Concorrente")</f>
        <v>Concorrente</v>
      </c>
      <c r="F481" t="s">
        <v>25</v>
      </c>
      <c r="G481" t="str">
        <f t="shared" ca="1" si="33"/>
        <v>Banda Larga + Movel</v>
      </c>
      <c r="H481" t="s">
        <v>26</v>
      </c>
      <c r="I481" t="str">
        <f ca="1">IF([1]Planilha1!$F481="","",TRIM([1]Planilha1!$F481))</f>
        <v>Fibra</v>
      </c>
      <c r="J481" s="11" t="s">
        <v>27</v>
      </c>
      <c r="K481" s="4" cm="1">
        <f t="array" aca="1" ref="K481" ca="1">IFERROR(VALUE(_xlfn.REGEXEXTRACT([1]Planilha1!$E481,"\+\s*(\d+)GB",2)),"")</f>
        <v>70</v>
      </c>
      <c r="L481" s="5">
        <v>160</v>
      </c>
      <c r="M481" s="5" t="str">
        <f ca="1">IF([1]Planilha1!$I481="","",[1]Planilha1!$I481)</f>
        <v/>
      </c>
      <c r="N481" s="2" t="str" cm="1">
        <f t="array" aca="1" ref="N481" ca="1">IFERROR(VALUE(_xlfn.REGEXEXTRACT([1]Planilha1!$E481,"(\d+)\s*MESES",2)),IFERROR(VALUE(_xlfn.REGEXEXTRACT([1]Planilha1!$E481,"por\s*(\d+)\s*M",2)),IF(_xlfn.REGEXTEST([1]Planilha1!$E481,"1[ºª]"),1,"")))</f>
        <v/>
      </c>
      <c r="O481" s="6" t="str">
        <f t="shared" si="34"/>
        <v/>
      </c>
      <c r="P481" t="str">
        <f ca="1">IF([1]Planilha1!$J481="","",TRIM([1]Planilha1!$J481))</f>
        <v>0</v>
      </c>
      <c r="Q481" s="7">
        <f ca="1">IF($D481="Claro","",IFERROR($L481-VLOOKUP($B481&amp;"|Claro",[1]AUX_CLARO!$A:$C,2,FALSE),""))</f>
        <v>60.099999999999994</v>
      </c>
      <c r="R481" s="8" t="str">
        <f ca="1">IF($D481="Claro","",IFERROR($J481-VLOOKUP($B481&amp;"|Claro",[1]AUX_CLARO!$A:$C,3,FALSE),""))</f>
        <v/>
      </c>
      <c r="S481" t="str">
        <f t="shared" ca="1" si="35"/>
        <v>Claro mais barata</v>
      </c>
      <c r="T481" t="str">
        <f t="shared" ca="1" si="36"/>
        <v/>
      </c>
      <c r="U481" s="9">
        <f t="shared" si="37"/>
        <v>46174</v>
      </c>
      <c r="V481" t="str">
        <f ca="1">IF(OR([1]Planilha1!$B481="",[1]Planilha1!$B481="NÃO MAPEADO"),"",TRIM([1]Planilha1!$B481))</f>
        <v>LITORAL</v>
      </c>
      <c r="W481" t="str">
        <f ca="1">IF([1]Planilha1!$C481="","",TRIM([1]Planilha1!$C481))</f>
        <v>RUBI</v>
      </c>
      <c r="X481" t="str">
        <f ca="1">IFERROR(VLOOKUP($C481,[1]Planilha2!$B:$H,7,FALSE),"")</f>
        <v>12200-001</v>
      </c>
    </row>
    <row r="482" spans="1:24" x14ac:dyDescent="0.35">
      <c r="A482" t="str">
        <f ca="1">IF(LEFT(TEXT([1]Planilha1!$L482,"0000000"),1)="5","MS","SP")</f>
        <v>SP</v>
      </c>
      <c r="B482" t="str">
        <f ca="1">IF(RIGHT([1]Planilha1!$A482,5)=" - MS",LEFT([1]Planilha1!$A482,LEN([1]Planilha1!$A482)-5),TRIM([1]Planilha1!$A482))</f>
        <v>SAO JOSE DOS CAMPOS</v>
      </c>
      <c r="C482" s="2">
        <f ca="1">[1]Planilha1!$L482</f>
        <v>3549904</v>
      </c>
      <c r="D482" t="str">
        <f>TRIM([1]Planilha1!$D482)</f>
        <v>Desktop</v>
      </c>
      <c r="E482" t="str">
        <f>IF(TRIM([1]Planilha1!$D482)="Claro","Claro","Concorrente")</f>
        <v>Concorrente</v>
      </c>
      <c r="F482" t="s">
        <v>29</v>
      </c>
      <c r="G482" t="str">
        <f t="shared" ca="1" si="33"/>
        <v>Banda Larga + Movel</v>
      </c>
      <c r="H482" t="str">
        <f ca="1">TRIM([1]Planilha1!$E482)</f>
        <v>600M+15GB=R$129,99 - 6 MESES, APÓS R$139,99</v>
      </c>
      <c r="I482" t="str">
        <f ca="1">IF([1]Planilha1!$F482="","",TRIM([1]Planilha1!$F482))</f>
        <v>Fibra</v>
      </c>
      <c r="J482" s="3">
        <f ca="1">IF([1]Planilha1!$G482="","",[1]Planilha1!$G482)</f>
        <v>600</v>
      </c>
      <c r="K482" s="4" cm="1">
        <f t="array" aca="1" ref="K482" ca="1">IFERROR(VALUE(_xlfn.REGEXEXTRACT([1]Planilha1!$E482,"\+\s*(\d+)GB",2)),"")</f>
        <v>15</v>
      </c>
      <c r="L482" s="5">
        <f ca="1">IF([1]Planilha1!$H482="","",[1]Planilha1!$H482)</f>
        <v>139.99</v>
      </c>
      <c r="M482" s="5">
        <f ca="1">IF([1]Planilha1!$I482="","",[1]Planilha1!$I482)</f>
        <v>129.99</v>
      </c>
      <c r="N482" s="2" cm="1">
        <f t="array" aca="1" ref="N482" ca="1">IFERROR(VALUE(_xlfn.REGEXEXTRACT([1]Planilha1!$E482,"(\d+)\s*MESES",2)),IFERROR(VALUE(_xlfn.REGEXEXTRACT([1]Planilha1!$E482,"por\s*(\d+)\s*M",2)),IF(_xlfn.REGEXTEST([1]Planilha1!$E482,"1[ºª]"),1,"")))</f>
        <v>6</v>
      </c>
      <c r="O482" s="6">
        <f t="shared" ca="1" si="34"/>
        <v>0.23331666666666667</v>
      </c>
      <c r="P482" t="str">
        <f ca="1">IF([1]Planilha1!$J482="","",TRIM([1]Planilha1!$J482))</f>
        <v>0</v>
      </c>
      <c r="Q482" s="7">
        <f ca="1">IF($D482="Claro","",IFERROR($L482-VLOOKUP($B482&amp;"|Claro",[1]AUX_CLARO!$A:$C,2,FALSE),""))</f>
        <v>40.090000000000003</v>
      </c>
      <c r="R482" s="8">
        <f ca="1">IF($D482="Claro","",IFERROR($J482-VLOOKUP($B482&amp;"|Claro",[1]AUX_CLARO!$A:$C,3,FALSE),""))</f>
        <v>-400</v>
      </c>
      <c r="S482" t="str">
        <f t="shared" ca="1" si="35"/>
        <v>Claro mais barata</v>
      </c>
      <c r="T482" t="str">
        <f t="shared" ca="1" si="36"/>
        <v>Claro com maior velocidade</v>
      </c>
      <c r="U482" s="9">
        <f t="shared" si="37"/>
        <v>46174</v>
      </c>
      <c r="V482" t="str">
        <f ca="1">IF(OR([1]Planilha1!$B482="",[1]Planilha1!$B482="NÃO MAPEADO"),"",TRIM([1]Planilha1!$B482))</f>
        <v>LITORAL</v>
      </c>
      <c r="W482" t="str">
        <f ca="1">IF([1]Planilha1!$C482="","",TRIM([1]Planilha1!$C482))</f>
        <v>RUBI</v>
      </c>
      <c r="X482" t="str">
        <f ca="1">IFERROR(VLOOKUP($C482,[1]Planilha2!$B:$H,7,FALSE),"")</f>
        <v>12200-001</v>
      </c>
    </row>
    <row r="483" spans="1:24" x14ac:dyDescent="0.35">
      <c r="A483" t="str">
        <f ca="1">IF(LEFT(TEXT([1]Planilha1!$L483,"0000000"),1)="5","MS","SP")</f>
        <v>SP</v>
      </c>
      <c r="B483" t="str">
        <f ca="1">IF(RIGHT([1]Planilha1!$A483,5)=" - MS",LEFT([1]Planilha1!$A483,LEN([1]Planilha1!$A483)-5),TRIM([1]Planilha1!$A483))</f>
        <v>SAO JOSE DOS CAMPOS</v>
      </c>
      <c r="C483" s="2">
        <f ca="1">[1]Planilha1!$L483</f>
        <v>3549904</v>
      </c>
      <c r="D483" t="str">
        <f>TRIM([1]Planilha1!$D483)</f>
        <v>Vero</v>
      </c>
      <c r="E483" t="str">
        <f>IF(TRIM([1]Planilha1!$D483)="Claro","Claro","Concorrente")</f>
        <v>Concorrente</v>
      </c>
      <c r="F483" t="s">
        <v>30</v>
      </c>
      <c r="G483" t="str">
        <f t="shared" ca="1" si="33"/>
        <v>Banda Larga + Movel</v>
      </c>
      <c r="H483" t="str">
        <f ca="1">TRIM([1]Planilha1!$E483)</f>
        <v>850M+60GB=R$149,99 (C/ GLOBOPLAY, HBO, DISNEY+)</v>
      </c>
      <c r="I483" t="str">
        <f ca="1">IF([1]Planilha1!$F483="","",TRIM([1]Planilha1!$F483))</f>
        <v>Fibra</v>
      </c>
      <c r="J483" s="3">
        <f ca="1">IF([1]Planilha1!$G483="","",[1]Planilha1!$G483)</f>
        <v>850</v>
      </c>
      <c r="K483" s="4" cm="1">
        <f t="array" aca="1" ref="K483" ca="1">IFERROR(VALUE(_xlfn.REGEXEXTRACT([1]Planilha1!$E483,"\+\s*(\d+)GB",2)),"")</f>
        <v>60</v>
      </c>
      <c r="L483" s="5">
        <f ca="1">IF([1]Planilha1!$H483="","",[1]Planilha1!$H483)</f>
        <v>149.99</v>
      </c>
      <c r="M483" s="5" t="str">
        <f ca="1">IF([1]Planilha1!$I483="","",[1]Planilha1!$I483)</f>
        <v/>
      </c>
      <c r="N483" s="2" t="str" cm="1">
        <f t="array" aca="1" ref="N483" ca="1">IFERROR(VALUE(_xlfn.REGEXEXTRACT([1]Planilha1!$E483,"(\d+)\s*MESES",2)),IFERROR(VALUE(_xlfn.REGEXEXTRACT([1]Planilha1!$E483,"por\s*(\d+)\s*M",2)),IF(_xlfn.REGEXTEST([1]Planilha1!$E483,"1[ºª]"),1,"")))</f>
        <v/>
      </c>
      <c r="O483" s="6">
        <f t="shared" ca="1" si="34"/>
        <v>0.17645882352941178</v>
      </c>
      <c r="P483" t="str">
        <f ca="1">IF([1]Planilha1!$J483="","",TRIM([1]Planilha1!$J483))</f>
        <v>GLOBOPLAY, HBO, DISNEY+</v>
      </c>
      <c r="Q483" s="7">
        <f ca="1">IF($D483="Claro","",IFERROR($L483-VLOOKUP($B483&amp;"|Claro",[1]AUX_CLARO!$A:$C,2,FALSE),""))</f>
        <v>50.09</v>
      </c>
      <c r="R483" s="8">
        <f ca="1">IF($D483="Claro","",IFERROR($J483-VLOOKUP($B483&amp;"|Claro",[1]AUX_CLARO!$A:$C,3,FALSE),""))</f>
        <v>-150</v>
      </c>
      <c r="S483" t="str">
        <f t="shared" ca="1" si="35"/>
        <v>Claro mais barata</v>
      </c>
      <c r="T483" t="str">
        <f t="shared" ca="1" si="36"/>
        <v>Claro com maior velocidade</v>
      </c>
      <c r="U483" s="9">
        <f t="shared" si="37"/>
        <v>46174</v>
      </c>
      <c r="V483" t="str">
        <f ca="1">IF(OR([1]Planilha1!$B483="",[1]Planilha1!$B483="NÃO MAPEADO"),"",TRIM([1]Planilha1!$B483))</f>
        <v>LITORAL</v>
      </c>
      <c r="W483" t="str">
        <f ca="1">IF([1]Planilha1!$C483="","",TRIM([1]Planilha1!$C483))</f>
        <v>RUBI</v>
      </c>
      <c r="X483" t="str">
        <f ca="1">IFERROR(VLOOKUP($C483,[1]Planilha2!$B:$H,7,FALSE),"")</f>
        <v>12200-001</v>
      </c>
    </row>
    <row r="484" spans="1:24" x14ac:dyDescent="0.35">
      <c r="A484" t="str">
        <f ca="1">IF(LEFT(TEXT([1]Planilha1!$L484,"0000000"),1)="5","MS","SP")</f>
        <v>SP</v>
      </c>
      <c r="B484" t="str">
        <f ca="1">IF(RIGHT([1]Planilha1!$A484,5)=" - MS",LEFT([1]Planilha1!$A484,LEN([1]Planilha1!$A484)-5),TRIM([1]Planilha1!$A484))</f>
        <v>SAO JOSE DOS CAMPOS</v>
      </c>
      <c r="C484" s="2">
        <f ca="1">[1]Planilha1!$L484</f>
        <v>3549904</v>
      </c>
      <c r="D484" t="str">
        <f>TRIM([1]Planilha1!$D484)</f>
        <v>ISP LOCAL</v>
      </c>
      <c r="E484" t="str">
        <f>IF(TRIM([1]Planilha1!$D484)="Claro","Claro","Concorrente")</f>
        <v>Concorrente</v>
      </c>
      <c r="F484" t="s">
        <v>87</v>
      </c>
      <c r="G484" t="str">
        <f t="shared" ca="1" si="33"/>
        <v>Banda Larga + Conteudo</v>
      </c>
      <c r="H484" t="str">
        <f ca="1">TRIM([1]Planilha1!$E484)</f>
        <v>NIPBR - 600M R$119,99</v>
      </c>
      <c r="I484" t="str">
        <f ca="1">IF([1]Planilha1!$F484="","",TRIM([1]Planilha1!$F484))</f>
        <v>Fibra</v>
      </c>
      <c r="J484" s="3">
        <f ca="1">IF([1]Planilha1!$G484="","",[1]Planilha1!$G484)</f>
        <v>600</v>
      </c>
      <c r="K484" s="4" t="str" cm="1">
        <f t="array" aca="1" ref="K484" ca="1">IFERROR(VALUE(_xlfn.REGEXEXTRACT([1]Planilha1!$E484,"\+\s*(\d+)GB",2)),"")</f>
        <v/>
      </c>
      <c r="L484" s="5">
        <f ca="1">IF([1]Planilha1!$H484="","",[1]Planilha1!$H484)</f>
        <v>119.99</v>
      </c>
      <c r="M484" s="5" t="str">
        <f ca="1">IF([1]Planilha1!$I484="","",[1]Planilha1!$I484)</f>
        <v/>
      </c>
      <c r="N484" s="2" t="str" cm="1">
        <f t="array" aca="1" ref="N484" ca="1">IFERROR(VALUE(_xlfn.REGEXEXTRACT([1]Planilha1!$E484,"(\d+)\s*MESES",2)),IFERROR(VALUE(_xlfn.REGEXEXTRACT([1]Planilha1!$E484,"por\s*(\d+)\s*M",2)),IF(_xlfn.REGEXTEST([1]Planilha1!$E484,"1[ºª]"),1,"")))</f>
        <v/>
      </c>
      <c r="O484" s="6">
        <f t="shared" ca="1" si="34"/>
        <v>0.19998333333333332</v>
      </c>
      <c r="P484" t="str">
        <f ca="1">IF([1]Planilha1!$J484="","",TRIM([1]Planilha1!$J484))</f>
        <v>0</v>
      </c>
      <c r="Q484" s="7">
        <f ca="1">IF($D484="Claro","",IFERROR($L484-VLOOKUP($B484&amp;"|Claro",[1]AUX_CLARO!$A:$C,2,FALSE),""))</f>
        <v>20.089999999999989</v>
      </c>
      <c r="R484" s="8">
        <f ca="1">IF($D484="Claro","",IFERROR($J484-VLOOKUP($B484&amp;"|Claro",[1]AUX_CLARO!$A:$C,3,FALSE),""))</f>
        <v>-400</v>
      </c>
      <c r="S484" t="str">
        <f t="shared" ca="1" si="35"/>
        <v>Claro mais barata</v>
      </c>
      <c r="T484" t="str">
        <f t="shared" ca="1" si="36"/>
        <v>Claro com maior velocidade</v>
      </c>
      <c r="U484" s="9">
        <f t="shared" si="37"/>
        <v>46174</v>
      </c>
      <c r="V484" t="str">
        <f ca="1">IF(OR([1]Planilha1!$B484="",[1]Planilha1!$B484="NÃO MAPEADO"),"",TRIM([1]Planilha1!$B484))</f>
        <v>LITORAL</v>
      </c>
      <c r="W484" t="str">
        <f ca="1">IF([1]Planilha1!$C484="","",TRIM([1]Planilha1!$C484))</f>
        <v>RUBI</v>
      </c>
      <c r="X484" t="str">
        <f ca="1">IFERROR(VLOOKUP($C484,[1]Planilha2!$B:$H,7,FALSE),"")</f>
        <v>12200-001</v>
      </c>
    </row>
    <row r="485" spans="1:24" x14ac:dyDescent="0.35">
      <c r="A485" t="str">
        <f ca="1">IF(LEFT(TEXT([1]Planilha1!$L485,"0000000"),1)="5","MS","SP")</f>
        <v>SP</v>
      </c>
      <c r="B485" t="str">
        <f ca="1">IF(RIGHT([1]Planilha1!$A485,5)=" - MS",LEFT([1]Planilha1!$A485,LEN([1]Planilha1!$A485)-5),TRIM([1]Planilha1!$A485))</f>
        <v>SAO SEBASTIAO</v>
      </c>
      <c r="C485" s="2">
        <f ca="1">[1]Planilha1!$L485</f>
        <v>3550704</v>
      </c>
      <c r="D485" t="str">
        <f>TRIM([1]Planilha1!$D485)</f>
        <v>Claro</v>
      </c>
      <c r="E485" t="str">
        <f>IF(TRIM([1]Planilha1!$D485)="Claro","Claro","Concorrente")</f>
        <v>Claro</v>
      </c>
      <c r="F485" t="s">
        <v>24</v>
      </c>
      <c r="G485" t="str">
        <f t="shared" ca="1" si="33"/>
        <v>Banda Larga + Movel</v>
      </c>
      <c r="H485" t="str">
        <f ca="1">TRIM([1]Planilha1!$E485)</f>
        <v>600M+100GB=R$119,90 por 3M, após R$159,90</v>
      </c>
      <c r="I485" t="str">
        <f ca="1">IF([1]Planilha1!$F485="","",TRIM([1]Planilha1!$F485))</f>
        <v>Fibra</v>
      </c>
      <c r="J485" s="3">
        <f ca="1">IF([1]Planilha1!$G485="","",[1]Planilha1!$G485)</f>
        <v>600</v>
      </c>
      <c r="K485" s="4" cm="1">
        <f t="array" aca="1" ref="K485" ca="1">IFERROR(VALUE(_xlfn.REGEXEXTRACT([1]Planilha1!$E485,"\+\s*(\d+)GB",2)),"")</f>
        <v>100</v>
      </c>
      <c r="L485" s="5">
        <f ca="1">IF([1]Planilha1!$H485="","",[1]Planilha1!$H485)</f>
        <v>159.9</v>
      </c>
      <c r="M485" s="5">
        <f ca="1">IF([1]Planilha1!$I485="","",[1]Planilha1!$I485)</f>
        <v>119.9</v>
      </c>
      <c r="N485" s="2" cm="1">
        <f t="array" aca="1" ref="N485" ca="1">IFERROR(VALUE(_xlfn.REGEXEXTRACT([1]Planilha1!$E485,"(\d+)\s*MESES",2)),IFERROR(VALUE(_xlfn.REGEXEXTRACT([1]Planilha1!$E485,"por\s*(\d+)\s*M",2)),IF(_xlfn.REGEXTEST([1]Planilha1!$E485,"1[ºª]"),1,"")))</f>
        <v>3</v>
      </c>
      <c r="O485" s="6">
        <f t="shared" ca="1" si="34"/>
        <v>0.26650000000000001</v>
      </c>
      <c r="P485" t="str">
        <f ca="1">IF([1]Planilha1!$J485="","",TRIM([1]Planilha1!$J485))</f>
        <v>GLOBOPLAY</v>
      </c>
      <c r="Q485" s="7" t="str">
        <f>IF($D485="Claro","",IFERROR($L485-VLOOKUP($B485&amp;"|Claro",[1]AUX_CLARO!$A:$C,2,FALSE),""))</f>
        <v/>
      </c>
      <c r="R485" s="8" t="str">
        <f>IF($D485="Claro","",IFERROR($J485-VLOOKUP($B485&amp;"|Claro",[1]AUX_CLARO!$A:$C,3,FALSE),""))</f>
        <v/>
      </c>
      <c r="S485" t="str">
        <f t="shared" si="35"/>
        <v/>
      </c>
      <c r="T485" t="str">
        <f t="shared" si="36"/>
        <v/>
      </c>
      <c r="U485" s="9">
        <f t="shared" si="37"/>
        <v>46174</v>
      </c>
      <c r="V485" t="str">
        <f ca="1">IF(OR([1]Planilha1!$B485="",[1]Planilha1!$B485="NÃO MAPEADO"),"",TRIM([1]Planilha1!$B485))</f>
        <v>LITORAL</v>
      </c>
      <c r="W485" t="str">
        <f ca="1">IF([1]Planilha1!$C485="","",TRIM([1]Planilha1!$C485))</f>
        <v>ESPECIAL</v>
      </c>
      <c r="X485" t="str">
        <f ca="1">IFERROR(VLOOKUP($C485,[1]Planilha2!$B:$H,7,FALSE),"")</f>
        <v>11600-001</v>
      </c>
    </row>
    <row r="486" spans="1:24" x14ac:dyDescent="0.35">
      <c r="A486" t="str">
        <f ca="1">IF(LEFT(TEXT([1]Planilha1!$L486,"0000000"),1)="5","MS","SP")</f>
        <v>SP</v>
      </c>
      <c r="B486" t="str">
        <f ca="1">IF(RIGHT([1]Planilha1!$A486,5)=" - MS",LEFT([1]Planilha1!$A486,LEN([1]Planilha1!$A486)-5),TRIM([1]Planilha1!$A486))</f>
        <v>SAO SEBASTIAO</v>
      </c>
      <c r="C486" s="2">
        <f ca="1">[1]Planilha1!$L486</f>
        <v>3550704</v>
      </c>
      <c r="D486" t="str">
        <f>TRIM([1]Planilha1!$D486)</f>
        <v>Vivo</v>
      </c>
      <c r="E486" t="str">
        <f>IF(TRIM([1]Planilha1!$D486)="Claro","Claro","Concorrente")</f>
        <v>Concorrente</v>
      </c>
      <c r="F486" t="s">
        <v>25</v>
      </c>
      <c r="G486" t="str">
        <f t="shared" ca="1" si="33"/>
        <v>Banda Larga + Movel</v>
      </c>
      <c r="H486" t="s">
        <v>26</v>
      </c>
      <c r="I486" t="str">
        <f ca="1">IF([1]Planilha1!$F486="","",TRIM([1]Planilha1!$F486))</f>
        <v>Fibra</v>
      </c>
      <c r="J486" s="11" t="s">
        <v>27</v>
      </c>
      <c r="K486" s="4" cm="1">
        <f t="array" aca="1" ref="K486" ca="1">IFERROR(VALUE(_xlfn.REGEXEXTRACT([1]Planilha1!$E486,"\+\s*(\d+)GB",2)),"")</f>
        <v>70</v>
      </c>
      <c r="L486" s="5">
        <v>160</v>
      </c>
      <c r="M486" s="5" t="str">
        <f ca="1">IF([1]Planilha1!$I486="","",[1]Planilha1!$I486)</f>
        <v/>
      </c>
      <c r="N486" s="2" t="str" cm="1">
        <f t="array" aca="1" ref="N486" ca="1">IFERROR(VALUE(_xlfn.REGEXEXTRACT([1]Planilha1!$E486,"(\d+)\s*MESES",2)),IFERROR(VALUE(_xlfn.REGEXEXTRACT([1]Planilha1!$E486,"por\s*(\d+)\s*M",2)),IF(_xlfn.REGEXTEST([1]Planilha1!$E486,"1[ºª]"),1,"")))</f>
        <v/>
      </c>
      <c r="O486" s="6" t="str">
        <f t="shared" si="34"/>
        <v/>
      </c>
      <c r="P486" t="str">
        <f ca="1">IF([1]Planilha1!$J486="","",TRIM([1]Planilha1!$J486))</f>
        <v>0</v>
      </c>
      <c r="Q486" s="7">
        <f ca="1">IF($D486="Claro","",IFERROR($L486-VLOOKUP($B486&amp;"|Claro",[1]AUX_CLARO!$A:$C,2,FALSE),""))</f>
        <v>9.9999999999994316E-2</v>
      </c>
      <c r="R486" s="8" t="str">
        <f ca="1">IF($D486="Claro","",IFERROR($J486-VLOOKUP($B486&amp;"|Claro",[1]AUX_CLARO!$A:$C,3,FALSE),""))</f>
        <v/>
      </c>
      <c r="S486" t="str">
        <f t="shared" ca="1" si="35"/>
        <v>Claro mais barata</v>
      </c>
      <c r="T486" t="str">
        <f t="shared" ca="1" si="36"/>
        <v/>
      </c>
      <c r="U486" s="9">
        <f t="shared" si="37"/>
        <v>46174</v>
      </c>
      <c r="V486" t="str">
        <f ca="1">IF(OR([1]Planilha1!$B486="",[1]Planilha1!$B486="NÃO MAPEADO"),"",TRIM([1]Planilha1!$B486))</f>
        <v>LITORAL</v>
      </c>
      <c r="W486" t="str">
        <f ca="1">IF([1]Planilha1!$C486="","",TRIM([1]Planilha1!$C486))</f>
        <v>ESPECIAL</v>
      </c>
      <c r="X486" t="str">
        <f ca="1">IFERROR(VLOOKUP($C486,[1]Planilha2!$B:$H,7,FALSE),"")</f>
        <v>11600-001</v>
      </c>
    </row>
    <row r="487" spans="1:24" x14ac:dyDescent="0.35">
      <c r="A487" t="str">
        <f ca="1">IF(LEFT(TEXT([1]Planilha1!$L487,"0000000"),1)="5","MS","SP")</f>
        <v>SP</v>
      </c>
      <c r="B487" t="str">
        <f ca="1">IF(RIGHT([1]Planilha1!$A487,5)=" - MS",LEFT([1]Planilha1!$A487,LEN([1]Planilha1!$A487)-5),TRIM([1]Planilha1!$A487))</f>
        <v>SAO SEBASTIAO</v>
      </c>
      <c r="C487" s="2">
        <f ca="1">[1]Planilha1!$L487</f>
        <v>3550704</v>
      </c>
      <c r="D487" t="str">
        <f>TRIM([1]Planilha1!$D487)</f>
        <v>ISP LOCAL</v>
      </c>
      <c r="E487" t="str">
        <f>IF(TRIM([1]Planilha1!$D487)="Claro","Claro","Concorrente")</f>
        <v>Concorrente</v>
      </c>
      <c r="F487" t="s">
        <v>47</v>
      </c>
      <c r="G487" t="str">
        <f t="shared" ca="1" si="33"/>
        <v>Banda Larga + Conteudo</v>
      </c>
      <c r="H487" t="str">
        <f ca="1">TRIM([1]Planilha1!$E487)</f>
        <v>ALLOHA - 600M + GLOBOPLAY R$109,99</v>
      </c>
      <c r="I487" t="str">
        <f ca="1">IF([1]Planilha1!$F487="","",TRIM([1]Planilha1!$F487))</f>
        <v>Fibra</v>
      </c>
      <c r="J487" s="3">
        <f ca="1">IF([1]Planilha1!$G487="","",[1]Planilha1!$G487)</f>
        <v>600</v>
      </c>
      <c r="K487" s="4" t="str" cm="1">
        <f t="array" aca="1" ref="K487" ca="1">IFERROR(VALUE(_xlfn.REGEXEXTRACT([1]Planilha1!$E487,"\+\s*(\d+)GB",2)),"")</f>
        <v/>
      </c>
      <c r="L487" s="5">
        <f ca="1">IF([1]Planilha1!$H487="","",[1]Planilha1!$H487)</f>
        <v>109.99</v>
      </c>
      <c r="M487" s="5" t="str">
        <f ca="1">IF([1]Planilha1!$I487="","",[1]Planilha1!$I487)</f>
        <v/>
      </c>
      <c r="N487" s="2" t="str" cm="1">
        <f t="array" aca="1" ref="N487" ca="1">IFERROR(VALUE(_xlfn.REGEXEXTRACT([1]Planilha1!$E487,"(\d+)\s*MESES",2)),IFERROR(VALUE(_xlfn.REGEXEXTRACT([1]Planilha1!$E487,"por\s*(\d+)\s*M",2)),IF(_xlfn.REGEXTEST([1]Planilha1!$E487,"1[ºª]"),1,"")))</f>
        <v/>
      </c>
      <c r="O487" s="6">
        <f t="shared" ca="1" si="34"/>
        <v>0.18331666666666666</v>
      </c>
      <c r="P487" t="str">
        <f ca="1">IF([1]Planilha1!$J487="","",TRIM([1]Planilha1!$J487))</f>
        <v>GLOBOPLAY</v>
      </c>
      <c r="Q487" s="7">
        <f ca="1">IF($D487="Claro","",IFERROR($L487-VLOOKUP($B487&amp;"|Claro",[1]AUX_CLARO!$A:$C,2,FALSE),""))</f>
        <v>-49.910000000000011</v>
      </c>
      <c r="R487" s="8">
        <f ca="1">IF($D487="Claro","",IFERROR($J487-VLOOKUP($B487&amp;"|Claro",[1]AUX_CLARO!$A:$C,3,FALSE),""))</f>
        <v>0</v>
      </c>
      <c r="S487" t="str">
        <f t="shared" ca="1" si="35"/>
        <v>Claro mais cara</v>
      </c>
      <c r="T487" t="str">
        <f t="shared" ca="1" si="36"/>
        <v>Mesma velocidade</v>
      </c>
      <c r="U487" s="9">
        <f t="shared" si="37"/>
        <v>46174</v>
      </c>
      <c r="V487" t="str">
        <f ca="1">IF(OR([1]Planilha1!$B487="",[1]Planilha1!$B487="NÃO MAPEADO"),"",TRIM([1]Planilha1!$B487))</f>
        <v>LITORAL</v>
      </c>
      <c r="W487" t="str">
        <f ca="1">IF([1]Planilha1!$C487="","",TRIM([1]Planilha1!$C487))</f>
        <v>ESPECIAL</v>
      </c>
      <c r="X487" t="str">
        <f ca="1">IFERROR(VLOOKUP($C487,[1]Planilha2!$B:$H,7,FALSE),"")</f>
        <v>11600-001</v>
      </c>
    </row>
    <row r="488" spans="1:24" x14ac:dyDescent="0.35">
      <c r="A488" t="str">
        <f ca="1">IF(LEFT(TEXT([1]Planilha1!$L488,"0000000"),1)="5","MS","SP")</f>
        <v>SP</v>
      </c>
      <c r="B488" t="str">
        <f ca="1">IF(RIGHT([1]Planilha1!$A488,5)=" - MS",LEFT([1]Planilha1!$A488,LEN([1]Planilha1!$A488)-5),TRIM([1]Planilha1!$A488))</f>
        <v>SAO VICENTE</v>
      </c>
      <c r="C488" s="2">
        <f ca="1">[1]Planilha1!$L488</f>
        <v>3551009</v>
      </c>
      <c r="D488" t="str">
        <f>TRIM([1]Planilha1!$D488)</f>
        <v>Claro</v>
      </c>
      <c r="E488" t="str">
        <f>IF(TRIM([1]Planilha1!$D488)="Claro","Claro","Concorrente")</f>
        <v>Claro</v>
      </c>
      <c r="F488" t="s">
        <v>24</v>
      </c>
      <c r="G488" t="str">
        <f t="shared" ca="1" si="33"/>
        <v>Banda Larga + Movel</v>
      </c>
      <c r="H488" t="str">
        <f ca="1">TRIM([1]Planilha1!$E488)</f>
        <v>600M+100GB=R$159,90</v>
      </c>
      <c r="I488" t="str">
        <f ca="1">IF([1]Planilha1!$F488="","",TRIM([1]Planilha1!$F488))</f>
        <v>Fibra</v>
      </c>
      <c r="J488" s="3">
        <f ca="1">IF([1]Planilha1!$G488="","",[1]Planilha1!$G488)</f>
        <v>600</v>
      </c>
      <c r="K488" s="4" cm="1">
        <f t="array" aca="1" ref="K488" ca="1">IFERROR(VALUE(_xlfn.REGEXEXTRACT([1]Planilha1!$E488,"\+\s*(\d+)GB",2)),"")</f>
        <v>100</v>
      </c>
      <c r="L488" s="5">
        <f ca="1">IF([1]Planilha1!$H488="","",[1]Planilha1!$H488)</f>
        <v>159.9</v>
      </c>
      <c r="M488" s="5" t="str">
        <f ca="1">IF([1]Planilha1!$I488="","",[1]Planilha1!$I488)</f>
        <v/>
      </c>
      <c r="N488" s="2" t="str" cm="1">
        <f t="array" aca="1" ref="N488" ca="1">IFERROR(VALUE(_xlfn.REGEXEXTRACT([1]Planilha1!$E488,"(\d+)\s*MESES",2)),IFERROR(VALUE(_xlfn.REGEXEXTRACT([1]Planilha1!$E488,"por\s*(\d+)\s*M",2)),IF(_xlfn.REGEXTEST([1]Planilha1!$E488,"1[ºª]"),1,"")))</f>
        <v/>
      </c>
      <c r="O488" s="6">
        <f t="shared" ca="1" si="34"/>
        <v>0.26650000000000001</v>
      </c>
      <c r="P488" t="str">
        <f ca="1">IF([1]Planilha1!$J488="","",TRIM([1]Planilha1!$J488))</f>
        <v>GLOBOPLAY</v>
      </c>
      <c r="Q488" s="7" t="str">
        <f>IF($D488="Claro","",IFERROR($L488-VLOOKUP($B488&amp;"|Claro",[1]AUX_CLARO!$A:$C,2,FALSE),""))</f>
        <v/>
      </c>
      <c r="R488" s="8" t="str">
        <f>IF($D488="Claro","",IFERROR($J488-VLOOKUP($B488&amp;"|Claro",[1]AUX_CLARO!$A:$C,3,FALSE),""))</f>
        <v/>
      </c>
      <c r="S488" t="str">
        <f t="shared" si="35"/>
        <v/>
      </c>
      <c r="T488" t="str">
        <f t="shared" si="36"/>
        <v/>
      </c>
      <c r="U488" s="9">
        <f t="shared" si="37"/>
        <v>46174</v>
      </c>
      <c r="V488" t="str">
        <f ca="1">IF(OR([1]Planilha1!$B488="",[1]Planilha1!$B488="NÃO MAPEADO"),"",TRIM([1]Planilha1!$B488))</f>
        <v>LITORAL</v>
      </c>
      <c r="W488" t="str">
        <f ca="1">IF([1]Planilha1!$C488="","",TRIM([1]Planilha1!$C488))</f>
        <v>PADRÃO</v>
      </c>
      <c r="X488" t="str">
        <f ca="1">IFERROR(VLOOKUP($C488,[1]Planilha2!$B:$H,7,FALSE),"")</f>
        <v>11300-001</v>
      </c>
    </row>
    <row r="489" spans="1:24" x14ac:dyDescent="0.35">
      <c r="A489" t="str">
        <f ca="1">IF(LEFT(TEXT([1]Planilha1!$L489,"0000000"),1)="5","MS","SP")</f>
        <v>SP</v>
      </c>
      <c r="B489" t="str">
        <f ca="1">IF(RIGHT([1]Planilha1!$A489,5)=" - MS",LEFT([1]Planilha1!$A489,LEN([1]Planilha1!$A489)-5),TRIM([1]Planilha1!$A489))</f>
        <v>SAO VICENTE</v>
      </c>
      <c r="C489" s="2">
        <f ca="1">[1]Planilha1!$L489</f>
        <v>3551009</v>
      </c>
      <c r="D489" t="str">
        <f>TRIM([1]Planilha1!$D489)</f>
        <v>Vivo</v>
      </c>
      <c r="E489" t="str">
        <f>IF(TRIM([1]Planilha1!$D489)="Claro","Claro","Concorrente")</f>
        <v>Concorrente</v>
      </c>
      <c r="F489" t="s">
        <v>25</v>
      </c>
      <c r="G489" t="str">
        <f t="shared" ca="1" si="33"/>
        <v>Banda Larga + Movel</v>
      </c>
      <c r="H489" t="s">
        <v>26</v>
      </c>
      <c r="I489" t="str">
        <f ca="1">IF([1]Planilha1!$F489="","",TRIM([1]Planilha1!$F489))</f>
        <v>Fibra</v>
      </c>
      <c r="J489" s="11" t="s">
        <v>27</v>
      </c>
      <c r="K489" s="4" cm="1">
        <f t="array" aca="1" ref="K489" ca="1">IFERROR(VALUE(_xlfn.REGEXEXTRACT([1]Planilha1!$E489,"\+\s*(\d+)GB",2)),"")</f>
        <v>70</v>
      </c>
      <c r="L489" s="5">
        <v>160</v>
      </c>
      <c r="M489" s="5" t="str">
        <f ca="1">IF([1]Planilha1!$I489="","",[1]Planilha1!$I489)</f>
        <v/>
      </c>
      <c r="N489" s="2" t="str" cm="1">
        <f t="array" aca="1" ref="N489" ca="1">IFERROR(VALUE(_xlfn.REGEXEXTRACT([1]Planilha1!$E489,"(\d+)\s*MESES",2)),IFERROR(VALUE(_xlfn.REGEXEXTRACT([1]Planilha1!$E489,"por\s*(\d+)\s*M",2)),IF(_xlfn.REGEXTEST([1]Planilha1!$E489,"1[ºª]"),1,"")))</f>
        <v/>
      </c>
      <c r="O489" s="6" t="str">
        <f t="shared" si="34"/>
        <v/>
      </c>
      <c r="P489" t="str">
        <f ca="1">IF([1]Planilha1!$J489="","",TRIM([1]Planilha1!$J489))</f>
        <v>0</v>
      </c>
      <c r="Q489" s="7">
        <f ca="1">IF($D489="Claro","",IFERROR($L489-VLOOKUP($B489&amp;"|Claro",[1]AUX_CLARO!$A:$C,2,FALSE),""))</f>
        <v>9.9999999999994316E-2</v>
      </c>
      <c r="R489" s="8" t="str">
        <f ca="1">IF($D489="Claro","",IFERROR($J489-VLOOKUP($B489&amp;"|Claro",[1]AUX_CLARO!$A:$C,3,FALSE),""))</f>
        <v/>
      </c>
      <c r="S489" t="str">
        <f t="shared" ca="1" si="35"/>
        <v>Claro mais barata</v>
      </c>
      <c r="T489" t="str">
        <f t="shared" ca="1" si="36"/>
        <v/>
      </c>
      <c r="U489" s="9">
        <f t="shared" si="37"/>
        <v>46174</v>
      </c>
      <c r="V489" t="str">
        <f ca="1">IF(OR([1]Planilha1!$B489="",[1]Planilha1!$B489="NÃO MAPEADO"),"",TRIM([1]Planilha1!$B489))</f>
        <v>LITORAL</v>
      </c>
      <c r="W489" t="str">
        <f ca="1">IF([1]Planilha1!$C489="","",TRIM([1]Planilha1!$C489))</f>
        <v>PADRÃO</v>
      </c>
      <c r="X489" t="str">
        <f ca="1">IFERROR(VLOOKUP($C489,[1]Planilha2!$B:$H,7,FALSE),"")</f>
        <v>11300-001</v>
      </c>
    </row>
    <row r="490" spans="1:24" x14ac:dyDescent="0.35">
      <c r="A490" t="str">
        <f ca="1">IF(LEFT(TEXT([1]Planilha1!$L490,"0000000"),1)="5","MS","SP")</f>
        <v>SP</v>
      </c>
      <c r="B490" t="str">
        <f ca="1">IF(RIGHT([1]Planilha1!$A490,5)=" - MS",LEFT([1]Planilha1!$A490,LEN([1]Planilha1!$A490)-5),TRIM([1]Planilha1!$A490))</f>
        <v>SAO VICENTE</v>
      </c>
      <c r="C490" s="2">
        <f ca="1">[1]Planilha1!$L490</f>
        <v>3551009</v>
      </c>
      <c r="D490" t="str">
        <f>TRIM([1]Planilha1!$D490)</f>
        <v>Desktop</v>
      </c>
      <c r="E490" t="str">
        <f>IF(TRIM([1]Planilha1!$D490)="Claro","Claro","Concorrente")</f>
        <v>Concorrente</v>
      </c>
      <c r="F490" t="s">
        <v>29</v>
      </c>
      <c r="G490" t="str">
        <f t="shared" ca="1" si="33"/>
        <v>Banda Larga + Movel</v>
      </c>
      <c r="H490" t="str">
        <f ca="1">TRIM([1]Planilha1!$E490)</f>
        <v>600M+15GB=R$129,99 - 6 MESES, APÓS R$139,99</v>
      </c>
      <c r="I490" t="str">
        <f ca="1">IF([1]Planilha1!$F490="","",TRIM([1]Planilha1!$F490))</f>
        <v>Fibra</v>
      </c>
      <c r="J490" s="3">
        <f ca="1">IF([1]Planilha1!$G490="","",[1]Planilha1!$G490)</f>
        <v>600</v>
      </c>
      <c r="K490" s="4" cm="1">
        <f t="array" aca="1" ref="K490" ca="1">IFERROR(VALUE(_xlfn.REGEXEXTRACT([1]Planilha1!$E490,"\+\s*(\d+)GB",2)),"")</f>
        <v>15</v>
      </c>
      <c r="L490" s="5">
        <f ca="1">IF([1]Planilha1!$H490="","",[1]Planilha1!$H490)</f>
        <v>139.99</v>
      </c>
      <c r="M490" s="5">
        <f ca="1">IF([1]Planilha1!$I490="","",[1]Planilha1!$I490)</f>
        <v>129.99</v>
      </c>
      <c r="N490" s="2" cm="1">
        <f t="array" aca="1" ref="N490" ca="1">IFERROR(VALUE(_xlfn.REGEXEXTRACT([1]Planilha1!$E490,"(\d+)\s*MESES",2)),IFERROR(VALUE(_xlfn.REGEXEXTRACT([1]Planilha1!$E490,"por\s*(\d+)\s*M",2)),IF(_xlfn.REGEXTEST([1]Planilha1!$E490,"1[ºª]"),1,"")))</f>
        <v>6</v>
      </c>
      <c r="O490" s="6">
        <f t="shared" ca="1" si="34"/>
        <v>0.23331666666666667</v>
      </c>
      <c r="P490" t="str">
        <f ca="1">IF([1]Planilha1!$J490="","",TRIM([1]Planilha1!$J490))</f>
        <v>0</v>
      </c>
      <c r="Q490" s="7">
        <f ca="1">IF($D490="Claro","",IFERROR($L490-VLOOKUP($B490&amp;"|Claro",[1]AUX_CLARO!$A:$C,2,FALSE),""))</f>
        <v>-19.909999999999997</v>
      </c>
      <c r="R490" s="8">
        <f ca="1">IF($D490="Claro","",IFERROR($J490-VLOOKUP($B490&amp;"|Claro",[1]AUX_CLARO!$A:$C,3,FALSE),""))</f>
        <v>0</v>
      </c>
      <c r="S490" t="str">
        <f t="shared" ca="1" si="35"/>
        <v>Claro mais cara</v>
      </c>
      <c r="T490" t="str">
        <f t="shared" ca="1" si="36"/>
        <v>Mesma velocidade</v>
      </c>
      <c r="U490" s="9">
        <f t="shared" si="37"/>
        <v>46174</v>
      </c>
      <c r="V490" t="str">
        <f ca="1">IF(OR([1]Planilha1!$B490="",[1]Planilha1!$B490="NÃO MAPEADO"),"",TRIM([1]Planilha1!$B490))</f>
        <v>LITORAL</v>
      </c>
      <c r="W490" t="str">
        <f ca="1">IF([1]Planilha1!$C490="","",TRIM([1]Planilha1!$C490))</f>
        <v>PADRÃO</v>
      </c>
      <c r="X490" t="str">
        <f ca="1">IFERROR(VLOOKUP($C490,[1]Planilha2!$B:$H,7,FALSE),"")</f>
        <v>11300-001</v>
      </c>
    </row>
    <row r="491" spans="1:24" x14ac:dyDescent="0.35">
      <c r="A491" t="str">
        <f ca="1">IF(LEFT(TEXT([1]Planilha1!$L491,"0000000"),1)="5","MS","SP")</f>
        <v>SP</v>
      </c>
      <c r="B491" t="str">
        <f ca="1">IF(RIGHT([1]Planilha1!$A491,5)=" - MS",LEFT([1]Planilha1!$A491,LEN([1]Planilha1!$A491)-5),TRIM([1]Planilha1!$A491))</f>
        <v>SAO VICENTE</v>
      </c>
      <c r="C491" s="2">
        <f ca="1">[1]Planilha1!$L491</f>
        <v>3551009</v>
      </c>
      <c r="D491" t="str">
        <f>TRIM([1]Planilha1!$D491)</f>
        <v>ISP LOCAL</v>
      </c>
      <c r="E491" t="str">
        <f>IF(TRIM([1]Planilha1!$D491)="Claro","Claro","Concorrente")</f>
        <v>Concorrente</v>
      </c>
      <c r="F491" t="s">
        <v>47</v>
      </c>
      <c r="G491" t="str">
        <f t="shared" ca="1" si="33"/>
        <v>Banda Larga + Conteudo</v>
      </c>
      <c r="H491" t="str">
        <f ca="1">TRIM([1]Planilha1!$E491)</f>
        <v>ALLOHA - 600M + GLOBOPLAY R$109,99</v>
      </c>
      <c r="I491" t="str">
        <f ca="1">IF([1]Planilha1!$F491="","",TRIM([1]Planilha1!$F491))</f>
        <v>Fibra</v>
      </c>
      <c r="J491" s="3">
        <f ca="1">IF([1]Planilha1!$G491="","",[1]Planilha1!$G491)</f>
        <v>600</v>
      </c>
      <c r="K491" s="4" t="str" cm="1">
        <f t="array" aca="1" ref="K491" ca="1">IFERROR(VALUE(_xlfn.REGEXEXTRACT([1]Planilha1!$E491,"\+\s*(\d+)GB",2)),"")</f>
        <v/>
      </c>
      <c r="L491" s="5">
        <f ca="1">IF([1]Planilha1!$H491="","",[1]Planilha1!$H491)</f>
        <v>109.99</v>
      </c>
      <c r="M491" s="5" t="str">
        <f ca="1">IF([1]Planilha1!$I491="","",[1]Planilha1!$I491)</f>
        <v/>
      </c>
      <c r="N491" s="2" t="str" cm="1">
        <f t="array" aca="1" ref="N491" ca="1">IFERROR(VALUE(_xlfn.REGEXEXTRACT([1]Planilha1!$E491,"(\d+)\s*MESES",2)),IFERROR(VALUE(_xlfn.REGEXEXTRACT([1]Planilha1!$E491,"por\s*(\d+)\s*M",2)),IF(_xlfn.REGEXTEST([1]Planilha1!$E491,"1[ºª]"),1,"")))</f>
        <v/>
      </c>
      <c r="O491" s="6">
        <f t="shared" ca="1" si="34"/>
        <v>0.18331666666666666</v>
      </c>
      <c r="P491" t="str">
        <f ca="1">IF([1]Planilha1!$J491="","",TRIM([1]Planilha1!$J491))</f>
        <v>GLOBOPLAY</v>
      </c>
      <c r="Q491" s="7">
        <f ca="1">IF($D491="Claro","",IFERROR($L491-VLOOKUP($B491&amp;"|Claro",[1]AUX_CLARO!$A:$C,2,FALSE),""))</f>
        <v>-49.910000000000011</v>
      </c>
      <c r="R491" s="8">
        <f ca="1">IF($D491="Claro","",IFERROR($J491-VLOOKUP($B491&amp;"|Claro",[1]AUX_CLARO!$A:$C,3,FALSE),""))</f>
        <v>0</v>
      </c>
      <c r="S491" t="str">
        <f t="shared" ca="1" si="35"/>
        <v>Claro mais cara</v>
      </c>
      <c r="T491" t="str">
        <f t="shared" ca="1" si="36"/>
        <v>Mesma velocidade</v>
      </c>
      <c r="U491" s="9">
        <f t="shared" si="37"/>
        <v>46174</v>
      </c>
      <c r="V491" t="str">
        <f ca="1">IF(OR([1]Planilha1!$B491="",[1]Planilha1!$B491="NÃO MAPEADO"),"",TRIM([1]Planilha1!$B491))</f>
        <v>LITORAL</v>
      </c>
      <c r="W491" t="str">
        <f ca="1">IF([1]Planilha1!$C491="","",TRIM([1]Planilha1!$C491))</f>
        <v>PADRÃO</v>
      </c>
      <c r="X491" t="str">
        <f ca="1">IFERROR(VLOOKUP($C491,[1]Planilha2!$B:$H,7,FALSE),"")</f>
        <v>11300-001</v>
      </c>
    </row>
    <row r="492" spans="1:24" x14ac:dyDescent="0.35">
      <c r="A492" t="str">
        <f ca="1">IF(LEFT(TEXT([1]Planilha1!$L492,"0000000"),1)="5","MS","SP")</f>
        <v>SP</v>
      </c>
      <c r="B492" t="str">
        <f ca="1">IF(RIGHT([1]Planilha1!$A492,5)=" - MS",LEFT([1]Planilha1!$A492,LEN([1]Planilha1!$A492)-5),TRIM([1]Planilha1!$A492))</f>
        <v>SERRA NEGRA</v>
      </c>
      <c r="C492" s="2">
        <f ca="1">[1]Planilha1!$L492</f>
        <v>3551603</v>
      </c>
      <c r="D492" t="str">
        <f>TRIM([1]Planilha1!$D492)</f>
        <v>Claro</v>
      </c>
      <c r="E492" t="str">
        <f>IF(TRIM([1]Planilha1!$D492)="Claro","Claro","Concorrente")</f>
        <v>Claro</v>
      </c>
      <c r="F492" t="s">
        <v>24</v>
      </c>
      <c r="G492" t="str">
        <f t="shared" ca="1" si="33"/>
        <v>Banda Larga + Movel</v>
      </c>
      <c r="H492" t="str">
        <f ca="1">TRIM([1]Planilha1!$E492)</f>
        <v>600M+100GB=R$109,90 por 6M, após R$139,90</v>
      </c>
      <c r="I492" t="str">
        <f ca="1">IF([1]Planilha1!$F492="","",TRIM([1]Planilha1!$F492))</f>
        <v>Fibra</v>
      </c>
      <c r="J492" s="3">
        <f ca="1">IF([1]Planilha1!$G492="","",[1]Planilha1!$G492)</f>
        <v>600</v>
      </c>
      <c r="K492" s="4" cm="1">
        <f t="array" aca="1" ref="K492" ca="1">IFERROR(VALUE(_xlfn.REGEXEXTRACT([1]Planilha1!$E492,"\+\s*(\d+)GB",2)),"")</f>
        <v>100</v>
      </c>
      <c r="L492" s="5">
        <f ca="1">IF([1]Planilha1!$H492="","",[1]Planilha1!$H492)</f>
        <v>139.9</v>
      </c>
      <c r="M492" s="5">
        <f ca="1">IF([1]Planilha1!$I492="","",[1]Planilha1!$I492)</f>
        <v>109.9</v>
      </c>
      <c r="N492" s="2" cm="1">
        <f t="array" aca="1" ref="N492" ca="1">IFERROR(VALUE(_xlfn.REGEXEXTRACT([1]Planilha1!$E492,"(\d+)\s*MESES",2)),IFERROR(VALUE(_xlfn.REGEXEXTRACT([1]Planilha1!$E492,"por\s*(\d+)\s*M",2)),IF(_xlfn.REGEXTEST([1]Planilha1!$E492,"1[ºª]"),1,"")))</f>
        <v>6</v>
      </c>
      <c r="O492" s="6">
        <f t="shared" ca="1" si="34"/>
        <v>0.23316666666666669</v>
      </c>
      <c r="P492" t="str">
        <f ca="1">IF([1]Planilha1!$J492="","",TRIM([1]Planilha1!$J492))</f>
        <v>GLOBOPLAY</v>
      </c>
      <c r="Q492" s="7" t="str">
        <f>IF($D492="Claro","",IFERROR($L492-VLOOKUP($B492&amp;"|Claro",[1]AUX_CLARO!$A:$C,2,FALSE),""))</f>
        <v/>
      </c>
      <c r="R492" s="8" t="str">
        <f>IF($D492="Claro","",IFERROR($J492-VLOOKUP($B492&amp;"|Claro",[1]AUX_CLARO!$A:$C,3,FALSE),""))</f>
        <v/>
      </c>
      <c r="S492" t="str">
        <f t="shared" si="35"/>
        <v/>
      </c>
      <c r="T492" t="str">
        <f t="shared" si="36"/>
        <v/>
      </c>
      <c r="U492" s="9">
        <f t="shared" si="37"/>
        <v>46174</v>
      </c>
      <c r="V492" t="str">
        <f ca="1">IF(OR([1]Planilha1!$B492="",[1]Planilha1!$B492="NÃO MAPEADO"),"",TRIM([1]Planilha1!$B492))</f>
        <v>SUDESTE</v>
      </c>
      <c r="W492" t="str">
        <f ca="1">IF([1]Planilha1!$C492="","",TRIM([1]Planilha1!$C492))</f>
        <v>MD 2</v>
      </c>
      <c r="X492" s="12" t="str">
        <f ca="1">IFERROR(VLOOKUP($C492,[1]Planilha2!$B:$H,7,FALSE),"")</f>
        <v>13930-001</v>
      </c>
    </row>
    <row r="493" spans="1:24" x14ac:dyDescent="0.35">
      <c r="A493" t="str">
        <f ca="1">IF(LEFT(TEXT([1]Planilha1!$L493,"0000000"),1)="5","MS","SP")</f>
        <v>SP</v>
      </c>
      <c r="B493" t="str">
        <f ca="1">IF(RIGHT([1]Planilha1!$A493,5)=" - MS",LEFT([1]Planilha1!$A493,LEN([1]Planilha1!$A493)-5),TRIM([1]Planilha1!$A493))</f>
        <v>SERRA NEGRA</v>
      </c>
      <c r="C493" s="2">
        <f ca="1">[1]Planilha1!$L493</f>
        <v>3551603</v>
      </c>
      <c r="D493" t="str">
        <f>TRIM([1]Planilha1!$D493)</f>
        <v>Vivo</v>
      </c>
      <c r="E493" t="str">
        <f>IF(TRIM([1]Planilha1!$D493)="Claro","Claro","Concorrente")</f>
        <v>Concorrente</v>
      </c>
      <c r="F493" t="s">
        <v>25</v>
      </c>
      <c r="G493" t="str">
        <f t="shared" ca="1" si="33"/>
        <v>Banda Larga + Movel</v>
      </c>
      <c r="H493" t="s">
        <v>26</v>
      </c>
      <c r="I493" t="str">
        <f ca="1">IF([1]Planilha1!$F493="","",TRIM([1]Planilha1!$F493))</f>
        <v>Fibra</v>
      </c>
      <c r="J493" s="11" t="s">
        <v>27</v>
      </c>
      <c r="K493" s="4" cm="1">
        <f t="array" aca="1" ref="K493" ca="1">IFERROR(VALUE(_xlfn.REGEXEXTRACT([1]Planilha1!$E493,"\+\s*(\d+)GB",2)),"")</f>
        <v>70</v>
      </c>
      <c r="L493" s="5">
        <v>160</v>
      </c>
      <c r="M493" s="5" t="str">
        <f ca="1">IF([1]Planilha1!$I493="","",[1]Planilha1!$I493)</f>
        <v/>
      </c>
      <c r="N493" s="2" t="str" cm="1">
        <f t="array" aca="1" ref="N493" ca="1">IFERROR(VALUE(_xlfn.REGEXEXTRACT([1]Planilha1!$E493,"(\d+)\s*MESES",2)),IFERROR(VALUE(_xlfn.REGEXEXTRACT([1]Planilha1!$E493,"por\s*(\d+)\s*M",2)),IF(_xlfn.REGEXTEST([1]Planilha1!$E493,"1[ºª]"),1,"")))</f>
        <v/>
      </c>
      <c r="O493" s="6" t="str">
        <f t="shared" si="34"/>
        <v/>
      </c>
      <c r="P493" t="str">
        <f ca="1">IF([1]Planilha1!$J493="","",TRIM([1]Planilha1!$J493))</f>
        <v>0</v>
      </c>
      <c r="Q493" s="7">
        <f ca="1">IF($D493="Claro","",IFERROR($L493-VLOOKUP($B493&amp;"|Claro",[1]AUX_CLARO!$A:$C,2,FALSE),""))</f>
        <v>20.099999999999994</v>
      </c>
      <c r="R493" s="8" t="str">
        <f ca="1">IF($D493="Claro","",IFERROR($J493-VLOOKUP($B493&amp;"|Claro",[1]AUX_CLARO!$A:$C,3,FALSE),""))</f>
        <v/>
      </c>
      <c r="S493" t="str">
        <f t="shared" ca="1" si="35"/>
        <v>Claro mais barata</v>
      </c>
      <c r="T493" t="str">
        <f t="shared" ca="1" si="36"/>
        <v/>
      </c>
      <c r="U493" s="9">
        <f t="shared" si="37"/>
        <v>46174</v>
      </c>
      <c r="V493" t="str">
        <f ca="1">IF(OR([1]Planilha1!$B493="",[1]Planilha1!$B493="NÃO MAPEADO"),"",TRIM([1]Planilha1!$B493))</f>
        <v>SUDESTE</v>
      </c>
      <c r="W493" t="str">
        <f ca="1">IF([1]Planilha1!$C493="","",TRIM([1]Planilha1!$C493))</f>
        <v>MD 2</v>
      </c>
      <c r="X493" s="12" t="str">
        <f ca="1">IFERROR(VLOOKUP($C493,[1]Planilha2!$B:$H,7,FALSE),"")</f>
        <v>13930-001</v>
      </c>
    </row>
    <row r="494" spans="1:24" x14ac:dyDescent="0.35">
      <c r="A494" t="str">
        <f ca="1">IF(LEFT(TEXT([1]Planilha1!$L494,"0000000"),1)="5","MS","SP")</f>
        <v>SP</v>
      </c>
      <c r="B494" t="str">
        <f ca="1">IF(RIGHT([1]Planilha1!$A494,5)=" - MS",LEFT([1]Planilha1!$A494,LEN([1]Planilha1!$A494)-5),TRIM([1]Planilha1!$A494))</f>
        <v>SERRA NEGRA</v>
      </c>
      <c r="C494" s="2">
        <f ca="1">[1]Planilha1!$L494</f>
        <v>3551603</v>
      </c>
      <c r="D494" t="str">
        <f>TRIM([1]Planilha1!$D494)</f>
        <v>ISP LOCAL</v>
      </c>
      <c r="E494" t="str">
        <f>IF(TRIM([1]Planilha1!$D494)="Claro","Claro","Concorrente")</f>
        <v>Concorrente</v>
      </c>
      <c r="F494" t="s">
        <v>35</v>
      </c>
      <c r="G494" t="str">
        <f t="shared" ca="1" si="33"/>
        <v>Banda Larga + Conteudo</v>
      </c>
      <c r="H494" t="str">
        <f ca="1">TRIM([1]Planilha1!$E494)</f>
        <v>TELESON - 500M R$159,90</v>
      </c>
      <c r="I494" t="str">
        <f ca="1">IF([1]Planilha1!$F494="","",TRIM([1]Planilha1!$F494))</f>
        <v>Fibra</v>
      </c>
      <c r="J494" s="3">
        <f ca="1">IF([1]Planilha1!$G494="","",[1]Planilha1!$G494)</f>
        <v>500</v>
      </c>
      <c r="K494" s="4" t="str" cm="1">
        <f t="array" aca="1" ref="K494" ca="1">IFERROR(VALUE(_xlfn.REGEXEXTRACT([1]Planilha1!$E494,"\+\s*(\d+)GB",2)),"")</f>
        <v/>
      </c>
      <c r="L494" s="5">
        <f ca="1">IF([1]Planilha1!$H494="","",[1]Planilha1!$H494)</f>
        <v>159.9</v>
      </c>
      <c r="M494" s="5" t="str">
        <f ca="1">IF([1]Planilha1!$I494="","",[1]Planilha1!$I494)</f>
        <v/>
      </c>
      <c r="N494" s="2" t="str" cm="1">
        <f t="array" aca="1" ref="N494" ca="1">IFERROR(VALUE(_xlfn.REGEXEXTRACT([1]Planilha1!$E494,"(\d+)\s*MESES",2)),IFERROR(VALUE(_xlfn.REGEXEXTRACT([1]Planilha1!$E494,"por\s*(\d+)\s*M",2)),IF(_xlfn.REGEXTEST([1]Planilha1!$E494,"1[ºª]"),1,"")))</f>
        <v/>
      </c>
      <c r="O494" s="6">
        <f t="shared" ca="1" si="34"/>
        <v>0.31980000000000003</v>
      </c>
      <c r="P494" t="str">
        <f ca="1">IF([1]Planilha1!$J494="","",TRIM([1]Planilha1!$J494))</f>
        <v>0</v>
      </c>
      <c r="Q494" s="7">
        <f ca="1">IF($D494="Claro","",IFERROR($L494-VLOOKUP($B494&amp;"|Claro",[1]AUX_CLARO!$A:$C,2,FALSE),""))</f>
        <v>20</v>
      </c>
      <c r="R494" s="8">
        <f ca="1">IF($D494="Claro","",IFERROR($J494-VLOOKUP($B494&amp;"|Claro",[1]AUX_CLARO!$A:$C,3,FALSE),""))</f>
        <v>-100</v>
      </c>
      <c r="S494" t="str">
        <f t="shared" ca="1" si="35"/>
        <v>Claro mais barata</v>
      </c>
      <c r="T494" t="str">
        <f t="shared" ca="1" si="36"/>
        <v>Claro com maior velocidade</v>
      </c>
      <c r="U494" s="9">
        <f t="shared" si="37"/>
        <v>46174</v>
      </c>
      <c r="V494" t="str">
        <f ca="1">IF(OR([1]Planilha1!$B494="",[1]Planilha1!$B494="NÃO MAPEADO"),"",TRIM([1]Planilha1!$B494))</f>
        <v>SUDESTE</v>
      </c>
      <c r="W494" t="str">
        <f ca="1">IF([1]Planilha1!$C494="","",TRIM([1]Planilha1!$C494))</f>
        <v>MD 2</v>
      </c>
      <c r="X494" s="12" t="str">
        <f ca="1">IFERROR(VLOOKUP($C494,[1]Planilha2!$B:$H,7,FALSE),"")</f>
        <v>13930-001</v>
      </c>
    </row>
    <row r="495" spans="1:24" x14ac:dyDescent="0.35">
      <c r="A495" t="str">
        <f ca="1">IF(LEFT(TEXT([1]Planilha1!$L495,"0000000"),1)="5","MS","SP")</f>
        <v>SP</v>
      </c>
      <c r="B495" t="str">
        <f ca="1">IF(RIGHT([1]Planilha1!$A495,5)=" - MS",LEFT([1]Planilha1!$A495,LEN([1]Planilha1!$A495)-5),TRIM([1]Planilha1!$A495))</f>
        <v>SERRANA</v>
      </c>
      <c r="C495" s="2">
        <f ca="1">[1]Planilha1!$L495</f>
        <v>3551504</v>
      </c>
      <c r="D495" t="str">
        <f>TRIM([1]Planilha1!$D495)</f>
        <v>Claro</v>
      </c>
      <c r="E495" t="str">
        <f>IF(TRIM([1]Planilha1!$D495)="Claro","Claro","Concorrente")</f>
        <v>Claro</v>
      </c>
      <c r="F495" t="s">
        <v>24</v>
      </c>
      <c r="G495" t="str">
        <f t="shared" ca="1" si="33"/>
        <v>Banda Larga + Movel</v>
      </c>
      <c r="H495" t="str">
        <f ca="1">TRIM([1]Planilha1!$E495)</f>
        <v>600M+100GB=R$119,90 por 6M, após R$139,90</v>
      </c>
      <c r="I495" t="str">
        <f ca="1">IF([1]Planilha1!$F495="","",TRIM([1]Planilha1!$F495))</f>
        <v>Fibra</v>
      </c>
      <c r="J495" s="3">
        <f ca="1">IF([1]Planilha1!$G495="","",[1]Planilha1!$G495)</f>
        <v>600</v>
      </c>
      <c r="K495" s="4" cm="1">
        <f t="array" aca="1" ref="K495" ca="1">IFERROR(VALUE(_xlfn.REGEXEXTRACT([1]Planilha1!$E495,"\+\s*(\d+)GB",2)),"")</f>
        <v>100</v>
      </c>
      <c r="L495" s="5">
        <f ca="1">IF([1]Planilha1!$H495="","",[1]Planilha1!$H495)</f>
        <v>139.9</v>
      </c>
      <c r="M495" s="5">
        <f ca="1">IF([1]Planilha1!$I495="","",[1]Planilha1!$I495)</f>
        <v>119.9</v>
      </c>
      <c r="N495" s="2" cm="1">
        <f t="array" aca="1" ref="N495" ca="1">IFERROR(VALUE(_xlfn.REGEXEXTRACT([1]Planilha1!$E495,"(\d+)\s*MESES",2)),IFERROR(VALUE(_xlfn.REGEXEXTRACT([1]Planilha1!$E495,"por\s*(\d+)\s*M",2)),IF(_xlfn.REGEXTEST([1]Planilha1!$E495,"1[ºª]"),1,"")))</f>
        <v>6</v>
      </c>
      <c r="O495" s="6">
        <f t="shared" ca="1" si="34"/>
        <v>0.23316666666666669</v>
      </c>
      <c r="P495" t="str">
        <f ca="1">IF([1]Planilha1!$J495="","",TRIM([1]Planilha1!$J495))</f>
        <v>GLOBOPLAY</v>
      </c>
      <c r="Q495" s="7" t="str">
        <f>IF($D495="Claro","",IFERROR($L495-VLOOKUP($B495&amp;"|Claro",[1]AUX_CLARO!$A:$C,2,FALSE),""))</f>
        <v/>
      </c>
      <c r="R495" s="8" t="str">
        <f>IF($D495="Claro","",IFERROR($J495-VLOOKUP($B495&amp;"|Claro",[1]AUX_CLARO!$A:$C,3,FALSE),""))</f>
        <v/>
      </c>
      <c r="S495" t="str">
        <f t="shared" si="35"/>
        <v/>
      </c>
      <c r="T495" t="str">
        <f t="shared" si="36"/>
        <v/>
      </c>
      <c r="U495" s="9">
        <f t="shared" si="37"/>
        <v>46174</v>
      </c>
      <c r="V495" t="str">
        <f ca="1">IF(OR([1]Planilha1!$B495="",[1]Planilha1!$B495="NÃO MAPEADO"),"",TRIM([1]Planilha1!$B495))</f>
        <v>NOROESTE</v>
      </c>
      <c r="W495" t="str">
        <f ca="1">IF([1]Planilha1!$C495="","",TRIM([1]Planilha1!$C495))</f>
        <v>MD 1</v>
      </c>
      <c r="X495" t="str">
        <f ca="1">IFERROR(VLOOKUP($C495,[1]Planilha2!$B:$H,7,FALSE),"")</f>
        <v>14150-001</v>
      </c>
    </row>
    <row r="496" spans="1:24" x14ac:dyDescent="0.35">
      <c r="A496" t="str">
        <f ca="1">IF(LEFT(TEXT([1]Planilha1!$L496,"0000000"),1)="5","MS","SP")</f>
        <v>SP</v>
      </c>
      <c r="B496" t="str">
        <f ca="1">IF(RIGHT([1]Planilha1!$A496,5)=" - MS",LEFT([1]Planilha1!$A496,LEN([1]Planilha1!$A496)-5),TRIM([1]Planilha1!$A496))</f>
        <v>SERRANA</v>
      </c>
      <c r="C496" s="2">
        <f ca="1">[1]Planilha1!$L496</f>
        <v>3551504</v>
      </c>
      <c r="D496" t="str">
        <f>TRIM([1]Planilha1!$D496)</f>
        <v>ISP LOCAL</v>
      </c>
      <c r="E496" t="str">
        <f>IF(TRIM([1]Planilha1!$D496)="Claro","Claro","Concorrente")</f>
        <v>Concorrente</v>
      </c>
      <c r="F496" t="s">
        <v>45</v>
      </c>
      <c r="G496" t="str">
        <f t="shared" ca="1" si="33"/>
        <v>Banda Larga + Conteudo</v>
      </c>
      <c r="H496" t="str">
        <f ca="1">TRIM([1]Planilha1!$E496)</f>
        <v>ALCANS - 1GB R$109,00</v>
      </c>
      <c r="I496" t="str">
        <f ca="1">IF([1]Planilha1!$F496="","",TRIM([1]Planilha1!$F496))</f>
        <v>Fibra</v>
      </c>
      <c r="J496" s="3">
        <f ca="1">IF([1]Planilha1!$G496="","",[1]Planilha1!$G496)</f>
        <v>1000</v>
      </c>
      <c r="K496" s="4" t="str" cm="1">
        <f t="array" aca="1" ref="K496" ca="1">IFERROR(VALUE(_xlfn.REGEXEXTRACT([1]Planilha1!$E496,"\+\s*(\d+)GB",2)),"")</f>
        <v/>
      </c>
      <c r="L496" s="5">
        <f ca="1">IF([1]Planilha1!$H496="","",[1]Planilha1!$H496)</f>
        <v>109</v>
      </c>
      <c r="M496" s="5" t="str">
        <f ca="1">IF([1]Planilha1!$I496="","",[1]Planilha1!$I496)</f>
        <v/>
      </c>
      <c r="N496" s="2" t="str" cm="1">
        <f t="array" aca="1" ref="N496" ca="1">IFERROR(VALUE(_xlfn.REGEXEXTRACT([1]Planilha1!$E496,"(\d+)\s*MESES",2)),IFERROR(VALUE(_xlfn.REGEXEXTRACT([1]Planilha1!$E496,"por\s*(\d+)\s*M",2)),IF(_xlfn.REGEXTEST([1]Planilha1!$E496,"1[ºª]"),1,"")))</f>
        <v/>
      </c>
      <c r="O496" s="6">
        <f t="shared" ca="1" si="34"/>
        <v>0.109</v>
      </c>
      <c r="P496" t="str">
        <f ca="1">IF([1]Planilha1!$J496="","",TRIM([1]Planilha1!$J496))</f>
        <v>0</v>
      </c>
      <c r="Q496" s="7">
        <f ca="1">IF($D496="Claro","",IFERROR($L496-VLOOKUP($B496&amp;"|Claro",[1]AUX_CLARO!$A:$C,2,FALSE),""))</f>
        <v>-30.900000000000006</v>
      </c>
      <c r="R496" s="8">
        <f ca="1">IF($D496="Claro","",IFERROR($J496-VLOOKUP($B496&amp;"|Claro",[1]AUX_CLARO!$A:$C,3,FALSE),""))</f>
        <v>400</v>
      </c>
      <c r="S496" t="str">
        <f t="shared" ca="1" si="35"/>
        <v>Claro mais cara</v>
      </c>
      <c r="T496" t="str">
        <f t="shared" ca="1" si="36"/>
        <v>Claro com menor velocidade</v>
      </c>
      <c r="U496" s="9">
        <f t="shared" si="37"/>
        <v>46174</v>
      </c>
      <c r="V496" t="str">
        <f ca="1">IF(OR([1]Planilha1!$B496="",[1]Planilha1!$B496="NÃO MAPEADO"),"",TRIM([1]Planilha1!$B496))</f>
        <v>NOROESTE</v>
      </c>
      <c r="W496" t="str">
        <f ca="1">IF([1]Planilha1!$C496="","",TRIM([1]Planilha1!$C496))</f>
        <v>MD 1</v>
      </c>
      <c r="X496" t="str">
        <f ca="1">IFERROR(VLOOKUP($C496,[1]Planilha2!$B:$H,7,FALSE),"")</f>
        <v>14150-001</v>
      </c>
    </row>
    <row r="497" spans="1:24" x14ac:dyDescent="0.35">
      <c r="A497" t="str">
        <f ca="1">IF(LEFT(TEXT([1]Planilha1!$L497,"0000000"),1)="5","MS","SP")</f>
        <v>SP</v>
      </c>
      <c r="B497" t="str">
        <f ca="1">IF(RIGHT([1]Planilha1!$A497,5)=" - MS",LEFT([1]Planilha1!$A497,LEN([1]Planilha1!$A497)-5),TRIM([1]Planilha1!$A497))</f>
        <v>SERTAOZINHO</v>
      </c>
      <c r="C497" s="2">
        <f ca="1">[1]Planilha1!$L497</f>
        <v>3551702</v>
      </c>
      <c r="D497" t="str">
        <f>TRIM([1]Planilha1!$D497)</f>
        <v>Claro</v>
      </c>
      <c r="E497" t="str">
        <f>IF(TRIM([1]Planilha1!$D497)="Claro","Claro","Concorrente")</f>
        <v>Claro</v>
      </c>
      <c r="F497" t="s">
        <v>24</v>
      </c>
      <c r="G497" t="str">
        <f t="shared" ca="1" si="33"/>
        <v>Banda Larga + Movel</v>
      </c>
      <c r="H497" t="str">
        <f ca="1">TRIM([1]Planilha1!$E497)</f>
        <v>600M+100GB=R$159,90</v>
      </c>
      <c r="I497" t="str">
        <f ca="1">IF([1]Planilha1!$F497="","",TRIM([1]Planilha1!$F497))</f>
        <v>Fibra</v>
      </c>
      <c r="J497" s="3">
        <f ca="1">IF([1]Planilha1!$G497="","",[1]Planilha1!$G497)</f>
        <v>600</v>
      </c>
      <c r="K497" s="4" cm="1">
        <f t="array" aca="1" ref="K497" ca="1">IFERROR(VALUE(_xlfn.REGEXEXTRACT([1]Planilha1!$E497,"\+\s*(\d+)GB",2)),"")</f>
        <v>100</v>
      </c>
      <c r="L497" s="5">
        <f ca="1">IF([1]Planilha1!$H497="","",[1]Planilha1!$H497)</f>
        <v>159.9</v>
      </c>
      <c r="M497" s="5" t="str">
        <f ca="1">IF([1]Planilha1!$I497="","",[1]Planilha1!$I497)</f>
        <v/>
      </c>
      <c r="N497" s="2" t="str" cm="1">
        <f t="array" aca="1" ref="N497" ca="1">IFERROR(VALUE(_xlfn.REGEXEXTRACT([1]Planilha1!$E497,"(\d+)\s*MESES",2)),IFERROR(VALUE(_xlfn.REGEXEXTRACT([1]Planilha1!$E497,"por\s*(\d+)\s*M",2)),IF(_xlfn.REGEXTEST([1]Planilha1!$E497,"1[ºª]"),1,"")))</f>
        <v/>
      </c>
      <c r="O497" s="6">
        <f t="shared" ca="1" si="34"/>
        <v>0.26650000000000001</v>
      </c>
      <c r="P497" t="str">
        <f ca="1">IF([1]Planilha1!$J497="","",TRIM([1]Planilha1!$J497))</f>
        <v>GLOBOPLAY</v>
      </c>
      <c r="Q497" s="7" t="str">
        <f>IF($D497="Claro","",IFERROR($L497-VLOOKUP($B497&amp;"|Claro",[1]AUX_CLARO!$A:$C,2,FALSE),""))</f>
        <v/>
      </c>
      <c r="R497" s="8" t="str">
        <f>IF($D497="Claro","",IFERROR($J497-VLOOKUP($B497&amp;"|Claro",[1]AUX_CLARO!$A:$C,3,FALSE),""))</f>
        <v/>
      </c>
      <c r="S497" t="str">
        <f t="shared" si="35"/>
        <v/>
      </c>
      <c r="T497" t="str">
        <f t="shared" si="36"/>
        <v/>
      </c>
      <c r="U497" s="9">
        <f t="shared" si="37"/>
        <v>46174</v>
      </c>
      <c r="V497" t="str">
        <f ca="1">IF(OR([1]Planilha1!$B497="",[1]Planilha1!$B497="NÃO MAPEADO"),"",TRIM([1]Planilha1!$B497))</f>
        <v>OESTE</v>
      </c>
      <c r="W497" t="str">
        <f ca="1">IF([1]Planilha1!$C497="","",TRIM([1]Planilha1!$C497))</f>
        <v>PADRÃO</v>
      </c>
      <c r="X497" t="str">
        <f ca="1">IFERROR(VLOOKUP($C497,[1]Planilha2!$B:$H,7,FALSE),"")</f>
        <v>14160-001</v>
      </c>
    </row>
    <row r="498" spans="1:24" x14ac:dyDescent="0.35">
      <c r="A498" t="str">
        <f ca="1">IF(LEFT(TEXT([1]Planilha1!$L498,"0000000"),1)="5","MS","SP")</f>
        <v>SP</v>
      </c>
      <c r="B498" t="str">
        <f ca="1">IF(RIGHT([1]Planilha1!$A498,5)=" - MS",LEFT([1]Planilha1!$A498,LEN([1]Planilha1!$A498)-5),TRIM([1]Planilha1!$A498))</f>
        <v>SERTAOZINHO</v>
      </c>
      <c r="C498" s="2">
        <f ca="1">[1]Planilha1!$L498</f>
        <v>3551702</v>
      </c>
      <c r="D498" t="str">
        <f>TRIM([1]Planilha1!$D498)</f>
        <v>Vivo</v>
      </c>
      <c r="E498" t="str">
        <f>IF(TRIM([1]Planilha1!$D498)="Claro","Claro","Concorrente")</f>
        <v>Concorrente</v>
      </c>
      <c r="F498" t="s">
        <v>25</v>
      </c>
      <c r="G498" t="str">
        <f t="shared" ca="1" si="33"/>
        <v>Banda Larga + Movel</v>
      </c>
      <c r="H498" t="s">
        <v>26</v>
      </c>
      <c r="I498" t="str">
        <f ca="1">IF([1]Planilha1!$F498="","",TRIM([1]Planilha1!$F498))</f>
        <v>Fibra</v>
      </c>
      <c r="J498" s="11" t="s">
        <v>27</v>
      </c>
      <c r="K498" s="4" cm="1">
        <f t="array" aca="1" ref="K498" ca="1">IFERROR(VALUE(_xlfn.REGEXEXTRACT([1]Planilha1!$E498,"\+\s*(\d+)GB",2)),"")</f>
        <v>70</v>
      </c>
      <c r="L498" s="5">
        <v>160</v>
      </c>
      <c r="M498" s="5" t="str">
        <f ca="1">IF([1]Planilha1!$I498="","",[1]Planilha1!$I498)</f>
        <v/>
      </c>
      <c r="N498" s="2" t="str" cm="1">
        <f t="array" aca="1" ref="N498" ca="1">IFERROR(VALUE(_xlfn.REGEXEXTRACT([1]Planilha1!$E498,"(\d+)\s*MESES",2)),IFERROR(VALUE(_xlfn.REGEXEXTRACT([1]Planilha1!$E498,"por\s*(\d+)\s*M",2)),IF(_xlfn.REGEXTEST([1]Planilha1!$E498,"1[ºª]"),1,"")))</f>
        <v/>
      </c>
      <c r="O498" s="6" t="str">
        <f t="shared" si="34"/>
        <v/>
      </c>
      <c r="P498" t="str">
        <f ca="1">IF([1]Planilha1!$J498="","",TRIM([1]Planilha1!$J498))</f>
        <v>0</v>
      </c>
      <c r="Q498" s="7">
        <f ca="1">IF($D498="Claro","",IFERROR($L498-VLOOKUP($B498&amp;"|Claro",[1]AUX_CLARO!$A:$C,2,FALSE),""))</f>
        <v>9.9999999999994316E-2</v>
      </c>
      <c r="R498" s="8" t="str">
        <f ca="1">IF($D498="Claro","",IFERROR($J498-VLOOKUP($B498&amp;"|Claro",[1]AUX_CLARO!$A:$C,3,FALSE),""))</f>
        <v/>
      </c>
      <c r="S498" t="str">
        <f t="shared" ca="1" si="35"/>
        <v>Claro mais barata</v>
      </c>
      <c r="T498" t="str">
        <f t="shared" ca="1" si="36"/>
        <v/>
      </c>
      <c r="U498" s="9">
        <f t="shared" si="37"/>
        <v>46174</v>
      </c>
      <c r="V498" t="str">
        <f ca="1">IF(OR([1]Planilha1!$B498="",[1]Planilha1!$B498="NÃO MAPEADO"),"",TRIM([1]Planilha1!$B498))</f>
        <v>OESTE</v>
      </c>
      <c r="W498" t="str">
        <f ca="1">IF([1]Planilha1!$C498="","",TRIM([1]Planilha1!$C498))</f>
        <v>PADRÃO</v>
      </c>
      <c r="X498" t="str">
        <f ca="1">IFERROR(VLOOKUP($C498,[1]Planilha2!$B:$H,7,FALSE),"")</f>
        <v>14160-001</v>
      </c>
    </row>
    <row r="499" spans="1:24" x14ac:dyDescent="0.35">
      <c r="A499" t="str">
        <f ca="1">IF(LEFT(TEXT([1]Planilha1!$L499,"0000000"),1)="5","MS","SP")</f>
        <v>SP</v>
      </c>
      <c r="B499" t="str">
        <f ca="1">IF(RIGHT([1]Planilha1!$A499,5)=" - MS",LEFT([1]Planilha1!$A499,LEN([1]Planilha1!$A499)-5),TRIM([1]Planilha1!$A499))</f>
        <v>SERTAOZINHO</v>
      </c>
      <c r="C499" s="2">
        <f ca="1">[1]Planilha1!$L499</f>
        <v>3551702</v>
      </c>
      <c r="D499" t="str">
        <f>TRIM([1]Planilha1!$D499)</f>
        <v>Weclix</v>
      </c>
      <c r="E499" t="str">
        <f>IF(TRIM([1]Planilha1!$D499)="Claro","Claro","Concorrente")</f>
        <v>Concorrente</v>
      </c>
      <c r="F499" t="s">
        <v>34</v>
      </c>
      <c r="G499" t="str">
        <f t="shared" ca="1" si="33"/>
        <v>Banda Larga + Conteudo</v>
      </c>
      <c r="H499" t="str">
        <f ca="1">TRIM([1]Planilha1!$E499)</f>
        <v>1GB R$59,90 - 1ª MENSALIDADE, APÓS R$99,90</v>
      </c>
      <c r="I499" t="str">
        <f ca="1">IF([1]Planilha1!$F499="","",TRIM([1]Planilha1!$F499))</f>
        <v>Fibra</v>
      </c>
      <c r="J499" s="3">
        <f ca="1">IF([1]Planilha1!$G499="","",[1]Planilha1!$G499)</f>
        <v>1000</v>
      </c>
      <c r="K499" s="4" t="str" cm="1">
        <f t="array" aca="1" ref="K499" ca="1">IFERROR(VALUE(_xlfn.REGEXEXTRACT([1]Planilha1!$E499,"\+\s*(\d+)GB",2)),"")</f>
        <v/>
      </c>
      <c r="L499" s="5">
        <f ca="1">IF([1]Planilha1!$H499="","",[1]Planilha1!$H499)</f>
        <v>99.9</v>
      </c>
      <c r="M499" s="5">
        <f ca="1">IF([1]Planilha1!$I499="","",[1]Planilha1!$I499)</f>
        <v>59.9</v>
      </c>
      <c r="N499" s="2" cm="1">
        <f t="array" aca="1" ref="N499" ca="1">IFERROR(VALUE(_xlfn.REGEXEXTRACT([1]Planilha1!$E499,"(\d+)\s*MESES",2)),IFERROR(VALUE(_xlfn.REGEXEXTRACT([1]Planilha1!$E499,"por\s*(\d+)\s*M",2)),IF(_xlfn.REGEXTEST([1]Planilha1!$E499,"1[ºª]"),1,"")))</f>
        <v>1</v>
      </c>
      <c r="O499" s="6">
        <f t="shared" ca="1" si="34"/>
        <v>9.9900000000000003E-2</v>
      </c>
      <c r="P499" t="str">
        <f ca="1">IF([1]Planilha1!$J499="","",TRIM([1]Planilha1!$J499))</f>
        <v>0</v>
      </c>
      <c r="Q499" s="7">
        <f ca="1">IF($D499="Claro","",IFERROR($L499-VLOOKUP($B499&amp;"|Claro",[1]AUX_CLARO!$A:$C,2,FALSE),""))</f>
        <v>-60</v>
      </c>
      <c r="R499" s="8">
        <f ca="1">IF($D499="Claro","",IFERROR($J499-VLOOKUP($B499&amp;"|Claro",[1]AUX_CLARO!$A:$C,3,FALSE),""))</f>
        <v>400</v>
      </c>
      <c r="S499" t="str">
        <f t="shared" ca="1" si="35"/>
        <v>Claro mais cara</v>
      </c>
      <c r="T499" t="str">
        <f t="shared" ca="1" si="36"/>
        <v>Claro com menor velocidade</v>
      </c>
      <c r="U499" s="9">
        <f t="shared" si="37"/>
        <v>46174</v>
      </c>
      <c r="V499" t="str">
        <f ca="1">IF(OR([1]Planilha1!$B499="",[1]Planilha1!$B499="NÃO MAPEADO"),"",TRIM([1]Planilha1!$B499))</f>
        <v>OESTE</v>
      </c>
      <c r="W499" t="str">
        <f ca="1">IF([1]Planilha1!$C499="","",TRIM([1]Planilha1!$C499))</f>
        <v>PADRÃO</v>
      </c>
      <c r="X499" t="str">
        <f ca="1">IFERROR(VLOOKUP($C499,[1]Planilha2!$B:$H,7,FALSE),"")</f>
        <v>14160-001</v>
      </c>
    </row>
    <row r="500" spans="1:24" x14ac:dyDescent="0.35">
      <c r="A500" t="str">
        <f ca="1">IF(LEFT(TEXT([1]Planilha1!$L500,"0000000"),1)="5","MS","SP")</f>
        <v>SP</v>
      </c>
      <c r="B500" t="str">
        <f ca="1">IF(RIGHT([1]Planilha1!$A500,5)=" - MS",LEFT([1]Planilha1!$A500,LEN([1]Planilha1!$A500)-5),TRIM([1]Planilha1!$A500))</f>
        <v>SERTAOZINHO</v>
      </c>
      <c r="C500" s="2">
        <f ca="1">[1]Planilha1!$L500</f>
        <v>3551702</v>
      </c>
      <c r="D500" t="str">
        <f>TRIM([1]Planilha1!$D500)</f>
        <v>ISP LOCAL</v>
      </c>
      <c r="E500" t="str">
        <f>IF(TRIM([1]Planilha1!$D500)="Claro","Claro","Concorrente")</f>
        <v>Concorrente</v>
      </c>
      <c r="F500" t="s">
        <v>44</v>
      </c>
      <c r="G500" t="str">
        <f t="shared" ca="1" si="33"/>
        <v>Banda Larga + Conteudo</v>
      </c>
      <c r="H500" t="str">
        <f ca="1">TRIM([1]Planilha1!$E500)</f>
        <v>NIC NET - 800M R$59,90 - 3 MESES, APÓS R$99,90</v>
      </c>
      <c r="I500" t="str">
        <f ca="1">IF([1]Planilha1!$F500="","",TRIM([1]Planilha1!$F500))</f>
        <v>Fibra</v>
      </c>
      <c r="J500" s="3">
        <f ca="1">IF([1]Planilha1!$G500="","",[1]Planilha1!$G500)</f>
        <v>800</v>
      </c>
      <c r="K500" s="4" t="str" cm="1">
        <f t="array" aca="1" ref="K500" ca="1">IFERROR(VALUE(_xlfn.REGEXEXTRACT([1]Planilha1!$E500,"\+\s*(\d+)GB",2)),"")</f>
        <v/>
      </c>
      <c r="L500" s="5">
        <f ca="1">IF([1]Planilha1!$H500="","",[1]Planilha1!$H500)</f>
        <v>99.9</v>
      </c>
      <c r="M500" s="5">
        <f ca="1">IF([1]Planilha1!$I500="","",[1]Planilha1!$I500)</f>
        <v>59.9</v>
      </c>
      <c r="N500" s="2" cm="1">
        <f t="array" aca="1" ref="N500" ca="1">IFERROR(VALUE(_xlfn.REGEXEXTRACT([1]Planilha1!$E500,"(\d+)\s*MESES",2)),IFERROR(VALUE(_xlfn.REGEXEXTRACT([1]Planilha1!$E500,"por\s*(\d+)\s*M",2)),IF(_xlfn.REGEXTEST([1]Planilha1!$E500,"1[ºª]"),1,"")))</f>
        <v>3</v>
      </c>
      <c r="O500" s="6">
        <f t="shared" ca="1" si="34"/>
        <v>0.12487500000000001</v>
      </c>
      <c r="P500" t="str">
        <f ca="1">IF([1]Planilha1!$J500="","",TRIM([1]Planilha1!$J500))</f>
        <v>0</v>
      </c>
      <c r="Q500" s="7">
        <f ca="1">IF($D500="Claro","",IFERROR($L500-VLOOKUP($B500&amp;"|Claro",[1]AUX_CLARO!$A:$C,2,FALSE),""))</f>
        <v>-60</v>
      </c>
      <c r="R500" s="8">
        <f ca="1">IF($D500="Claro","",IFERROR($J500-VLOOKUP($B500&amp;"|Claro",[1]AUX_CLARO!$A:$C,3,FALSE),""))</f>
        <v>200</v>
      </c>
      <c r="S500" t="str">
        <f t="shared" ca="1" si="35"/>
        <v>Claro mais cara</v>
      </c>
      <c r="T500" t="str">
        <f t="shared" ca="1" si="36"/>
        <v>Claro com menor velocidade</v>
      </c>
      <c r="U500" s="9">
        <f t="shared" si="37"/>
        <v>46174</v>
      </c>
      <c r="V500" t="str">
        <f ca="1">IF(OR([1]Planilha1!$B500="",[1]Planilha1!$B500="NÃO MAPEADO"),"",TRIM([1]Planilha1!$B500))</f>
        <v>OESTE</v>
      </c>
      <c r="W500" t="str">
        <f ca="1">IF([1]Planilha1!$C500="","",TRIM([1]Planilha1!$C500))</f>
        <v>PADRÃO</v>
      </c>
      <c r="X500" t="str">
        <f ca="1">IFERROR(VLOOKUP($C500,[1]Planilha2!$B:$H,7,FALSE),"")</f>
        <v>14160-001</v>
      </c>
    </row>
    <row r="501" spans="1:24" x14ac:dyDescent="0.35">
      <c r="A501" t="str">
        <f ca="1">IF(LEFT(TEXT([1]Planilha1!$L501,"0000000"),1)="5","MS","SP")</f>
        <v>SP</v>
      </c>
      <c r="B501" t="str">
        <f ca="1">IF(RIGHT([1]Planilha1!$A501,5)=" - MS",LEFT([1]Planilha1!$A501,LEN([1]Planilha1!$A501)-5),TRIM([1]Planilha1!$A501))</f>
        <v>SOROCABA</v>
      </c>
      <c r="C501" s="2">
        <f ca="1">[1]Planilha1!$L501</f>
        <v>3552205</v>
      </c>
      <c r="D501" t="str">
        <f>TRIM([1]Planilha1!$D501)</f>
        <v>Claro</v>
      </c>
      <c r="E501" t="str">
        <f>IF(TRIM([1]Planilha1!$D501)="Claro","Claro","Concorrente")</f>
        <v>Claro</v>
      </c>
      <c r="F501" t="s">
        <v>24</v>
      </c>
      <c r="G501" t="str">
        <f t="shared" ca="1" si="33"/>
        <v>Banda Larga + Movel</v>
      </c>
      <c r="H501" t="str">
        <f ca="1">TRIM([1]Planilha1!$E501)</f>
        <v>600M+100GB=R$159,90</v>
      </c>
      <c r="I501" t="str">
        <f ca="1">IF([1]Planilha1!$F501="","",TRIM([1]Planilha1!$F501))</f>
        <v>Fibra</v>
      </c>
      <c r="J501" s="3">
        <f ca="1">IF([1]Planilha1!$G501="","",[1]Planilha1!$G501)</f>
        <v>600</v>
      </c>
      <c r="K501" s="4" cm="1">
        <f t="array" aca="1" ref="K501" ca="1">IFERROR(VALUE(_xlfn.REGEXEXTRACT([1]Planilha1!$E501,"\+\s*(\d+)GB",2)),"")</f>
        <v>100</v>
      </c>
      <c r="L501" s="5">
        <f ca="1">IF([1]Planilha1!$H501="","",[1]Planilha1!$H501)</f>
        <v>159.9</v>
      </c>
      <c r="M501" s="5" t="str">
        <f ca="1">IF([1]Planilha1!$I501="","",[1]Planilha1!$I501)</f>
        <v/>
      </c>
      <c r="N501" s="2" t="str" cm="1">
        <f t="array" aca="1" ref="N501" ca="1">IFERROR(VALUE(_xlfn.REGEXEXTRACT([1]Planilha1!$E501,"(\d+)\s*MESES",2)),IFERROR(VALUE(_xlfn.REGEXEXTRACT([1]Planilha1!$E501,"por\s*(\d+)\s*M",2)),IF(_xlfn.REGEXTEST([1]Planilha1!$E501,"1[ºª]"),1,"")))</f>
        <v/>
      </c>
      <c r="O501" s="6">
        <f t="shared" ca="1" si="34"/>
        <v>0.26650000000000001</v>
      </c>
      <c r="P501" t="str">
        <f ca="1">IF([1]Planilha1!$J501="","",TRIM([1]Planilha1!$J501))</f>
        <v>GLOBOPLAY</v>
      </c>
      <c r="Q501" s="7" t="str">
        <f>IF($D501="Claro","",IFERROR($L501-VLOOKUP($B501&amp;"|Claro",[1]AUX_CLARO!$A:$C,2,FALSE),""))</f>
        <v/>
      </c>
      <c r="R501" s="8" t="str">
        <f>IF($D501="Claro","",IFERROR($J501-VLOOKUP($B501&amp;"|Claro",[1]AUX_CLARO!$A:$C,3,FALSE),""))</f>
        <v/>
      </c>
      <c r="S501" t="str">
        <f t="shared" si="35"/>
        <v/>
      </c>
      <c r="T501" t="str">
        <f t="shared" si="36"/>
        <v/>
      </c>
      <c r="U501" s="9">
        <f t="shared" si="37"/>
        <v>46174</v>
      </c>
      <c r="V501" t="str">
        <f ca="1">IF(OR([1]Planilha1!$B501="",[1]Planilha1!$B501="NÃO MAPEADO"),"",TRIM([1]Planilha1!$B501))</f>
        <v>OESTE</v>
      </c>
      <c r="W501" t="str">
        <f ca="1">IF([1]Planilha1!$C501="","",TRIM([1]Planilha1!$C501))</f>
        <v>PADRÃO</v>
      </c>
      <c r="X501" t="str">
        <f ca="1">IFERROR(VLOOKUP($C501,[1]Planilha2!$B:$H,7,FALSE),"")</f>
        <v>18000-001</v>
      </c>
    </row>
    <row r="502" spans="1:24" x14ac:dyDescent="0.35">
      <c r="A502" t="str">
        <f ca="1">IF(LEFT(TEXT([1]Planilha1!$L502,"0000000"),1)="5","MS","SP")</f>
        <v>SP</v>
      </c>
      <c r="B502" t="str">
        <f ca="1">IF(RIGHT([1]Planilha1!$A502,5)=" - MS",LEFT([1]Planilha1!$A502,LEN([1]Planilha1!$A502)-5),TRIM([1]Planilha1!$A502))</f>
        <v>SOROCABA</v>
      </c>
      <c r="C502" s="2">
        <f ca="1">[1]Planilha1!$L502</f>
        <v>3552205</v>
      </c>
      <c r="D502" t="str">
        <f>TRIM([1]Planilha1!$D502)</f>
        <v>Vivo</v>
      </c>
      <c r="E502" t="str">
        <f>IF(TRIM([1]Planilha1!$D502)="Claro","Claro","Concorrente")</f>
        <v>Concorrente</v>
      </c>
      <c r="F502" t="s">
        <v>25</v>
      </c>
      <c r="G502" t="str">
        <f t="shared" ca="1" si="33"/>
        <v>Banda Larga + Movel</v>
      </c>
      <c r="H502" t="s">
        <v>26</v>
      </c>
      <c r="I502" t="str">
        <f ca="1">IF([1]Planilha1!$F502="","",TRIM([1]Planilha1!$F502))</f>
        <v>Fibra</v>
      </c>
      <c r="J502" s="11" t="s">
        <v>27</v>
      </c>
      <c r="K502" s="4" cm="1">
        <f t="array" aca="1" ref="K502" ca="1">IFERROR(VALUE(_xlfn.REGEXEXTRACT([1]Planilha1!$E502,"\+\s*(\d+)GB",2)),"")</f>
        <v>70</v>
      </c>
      <c r="L502" s="5">
        <v>160</v>
      </c>
      <c r="M502" s="5" t="str">
        <f ca="1">IF([1]Planilha1!$I502="","",[1]Planilha1!$I502)</f>
        <v/>
      </c>
      <c r="N502" s="2" t="str" cm="1">
        <f t="array" aca="1" ref="N502" ca="1">IFERROR(VALUE(_xlfn.REGEXEXTRACT([1]Planilha1!$E502,"(\d+)\s*MESES",2)),IFERROR(VALUE(_xlfn.REGEXEXTRACT([1]Planilha1!$E502,"por\s*(\d+)\s*M",2)),IF(_xlfn.REGEXTEST([1]Planilha1!$E502,"1[ºª]"),1,"")))</f>
        <v/>
      </c>
      <c r="O502" s="6" t="str">
        <f t="shared" si="34"/>
        <v/>
      </c>
      <c r="P502" t="str">
        <f ca="1">IF([1]Planilha1!$J502="","",TRIM([1]Planilha1!$J502))</f>
        <v>0</v>
      </c>
      <c r="Q502" s="7">
        <f ca="1">IF($D502="Claro","",IFERROR($L502-VLOOKUP($B502&amp;"|Claro",[1]AUX_CLARO!$A:$C,2,FALSE),""))</f>
        <v>9.9999999999994316E-2</v>
      </c>
      <c r="R502" s="8" t="str">
        <f ca="1">IF($D502="Claro","",IFERROR($J502-VLOOKUP($B502&amp;"|Claro",[1]AUX_CLARO!$A:$C,3,FALSE),""))</f>
        <v/>
      </c>
      <c r="S502" t="str">
        <f t="shared" ca="1" si="35"/>
        <v>Claro mais barata</v>
      </c>
      <c r="T502" t="str">
        <f t="shared" ca="1" si="36"/>
        <v/>
      </c>
      <c r="U502" s="9">
        <f t="shared" si="37"/>
        <v>46174</v>
      </c>
      <c r="V502" t="str">
        <f ca="1">IF(OR([1]Planilha1!$B502="",[1]Planilha1!$B502="NÃO MAPEADO"),"",TRIM([1]Planilha1!$B502))</f>
        <v>OESTE</v>
      </c>
      <c r="W502" t="str">
        <f ca="1">IF([1]Planilha1!$C502="","",TRIM([1]Planilha1!$C502))</f>
        <v>PADRÃO</v>
      </c>
      <c r="X502" t="str">
        <f ca="1">IFERROR(VLOOKUP($C502,[1]Planilha2!$B:$H,7,FALSE),"")</f>
        <v>18000-001</v>
      </c>
    </row>
    <row r="503" spans="1:24" x14ac:dyDescent="0.35">
      <c r="A503" t="str">
        <f ca="1">IF(LEFT(TEXT([1]Planilha1!$L503,"0000000"),1)="5","MS","SP")</f>
        <v>SP</v>
      </c>
      <c r="B503" t="str">
        <f ca="1">IF(RIGHT([1]Planilha1!$A503,5)=" - MS",LEFT([1]Planilha1!$A503,LEN([1]Planilha1!$A503)-5),TRIM([1]Planilha1!$A503))</f>
        <v>SOROCABA</v>
      </c>
      <c r="C503" s="2">
        <f ca="1">[1]Planilha1!$L503</f>
        <v>3552205</v>
      </c>
      <c r="D503" t="str">
        <f>TRIM([1]Planilha1!$D503)</f>
        <v>Desktop</v>
      </c>
      <c r="E503" t="str">
        <f>IF(TRIM([1]Planilha1!$D503)="Claro","Claro","Concorrente")</f>
        <v>Concorrente</v>
      </c>
      <c r="F503" t="s">
        <v>29</v>
      </c>
      <c r="G503" t="str">
        <f t="shared" ca="1" si="33"/>
        <v>Banda Larga + Movel</v>
      </c>
      <c r="H503" t="str">
        <f ca="1">TRIM([1]Planilha1!$E503)</f>
        <v>600M+15GB=R$129,99 - 6 MESES, APÓS R$139,99</v>
      </c>
      <c r="I503" t="str">
        <f ca="1">IF([1]Planilha1!$F503="","",TRIM([1]Planilha1!$F503))</f>
        <v>Fibra</v>
      </c>
      <c r="J503" s="3">
        <f ca="1">IF([1]Planilha1!$G503="","",[1]Planilha1!$G503)</f>
        <v>600</v>
      </c>
      <c r="K503" s="4" cm="1">
        <f t="array" aca="1" ref="K503" ca="1">IFERROR(VALUE(_xlfn.REGEXEXTRACT([1]Planilha1!$E503,"\+\s*(\d+)GB",2)),"")</f>
        <v>15</v>
      </c>
      <c r="L503" s="5">
        <f ca="1">IF([1]Planilha1!$H503="","",[1]Planilha1!$H503)</f>
        <v>139.99</v>
      </c>
      <c r="M503" s="5">
        <f ca="1">IF([1]Planilha1!$I503="","",[1]Planilha1!$I503)</f>
        <v>129.99</v>
      </c>
      <c r="N503" s="2" cm="1">
        <f t="array" aca="1" ref="N503" ca="1">IFERROR(VALUE(_xlfn.REGEXEXTRACT([1]Planilha1!$E503,"(\d+)\s*MESES",2)),IFERROR(VALUE(_xlfn.REGEXEXTRACT([1]Planilha1!$E503,"por\s*(\d+)\s*M",2)),IF(_xlfn.REGEXTEST([1]Planilha1!$E503,"1[ºª]"),1,"")))</f>
        <v>6</v>
      </c>
      <c r="O503" s="6">
        <f t="shared" ca="1" si="34"/>
        <v>0.23331666666666667</v>
      </c>
      <c r="P503" t="str">
        <f ca="1">IF([1]Planilha1!$J503="","",TRIM([1]Planilha1!$J503))</f>
        <v>0</v>
      </c>
      <c r="Q503" s="7">
        <f ca="1">IF($D503="Claro","",IFERROR($L503-VLOOKUP($B503&amp;"|Claro",[1]AUX_CLARO!$A:$C,2,FALSE),""))</f>
        <v>-19.909999999999997</v>
      </c>
      <c r="R503" s="8">
        <f ca="1">IF($D503="Claro","",IFERROR($J503-VLOOKUP($B503&amp;"|Claro",[1]AUX_CLARO!$A:$C,3,FALSE),""))</f>
        <v>0</v>
      </c>
      <c r="S503" t="str">
        <f t="shared" ca="1" si="35"/>
        <v>Claro mais cara</v>
      </c>
      <c r="T503" t="str">
        <f t="shared" ca="1" si="36"/>
        <v>Mesma velocidade</v>
      </c>
      <c r="U503" s="9">
        <f t="shared" si="37"/>
        <v>46174</v>
      </c>
      <c r="V503" t="str">
        <f ca="1">IF(OR([1]Planilha1!$B503="",[1]Planilha1!$B503="NÃO MAPEADO"),"",TRIM([1]Planilha1!$B503))</f>
        <v>OESTE</v>
      </c>
      <c r="W503" t="str">
        <f ca="1">IF([1]Planilha1!$C503="","",TRIM([1]Planilha1!$C503))</f>
        <v>PADRÃO</v>
      </c>
      <c r="X503" t="str">
        <f ca="1">IFERROR(VLOOKUP($C503,[1]Planilha2!$B:$H,7,FALSE),"")</f>
        <v>18000-001</v>
      </c>
    </row>
    <row r="504" spans="1:24" x14ac:dyDescent="0.35">
      <c r="A504" t="str">
        <f ca="1">IF(LEFT(TEXT([1]Planilha1!$L504,"0000000"),1)="5","MS","SP")</f>
        <v>SP</v>
      </c>
      <c r="B504" t="str">
        <f ca="1">IF(RIGHT([1]Planilha1!$A504,5)=" - MS",LEFT([1]Planilha1!$A504,LEN([1]Planilha1!$A504)-5),TRIM([1]Planilha1!$A504))</f>
        <v>SOROCABA</v>
      </c>
      <c r="C504" s="2">
        <f ca="1">[1]Planilha1!$L504</f>
        <v>3552205</v>
      </c>
      <c r="D504" t="str">
        <f>TRIM([1]Planilha1!$D504)</f>
        <v>Alares</v>
      </c>
      <c r="E504" t="str">
        <f>IF(TRIM([1]Planilha1!$D504)="Claro","Claro","Concorrente")</f>
        <v>Concorrente</v>
      </c>
      <c r="F504" t="s">
        <v>32</v>
      </c>
      <c r="G504" t="str">
        <f t="shared" ca="1" si="33"/>
        <v>Banda Larga + Conteudo</v>
      </c>
      <c r="H504" t="str">
        <f ca="1">TRIM([1]Planilha1!$E504)</f>
        <v>1GB + GLOBOPLAY R$99,90</v>
      </c>
      <c r="I504" t="str">
        <f ca="1">IF([1]Planilha1!$F504="","",TRIM([1]Planilha1!$F504))</f>
        <v>Fibra</v>
      </c>
      <c r="J504" s="3">
        <f ca="1">IF([1]Planilha1!$G504="","",[1]Planilha1!$G504)</f>
        <v>1000</v>
      </c>
      <c r="K504" s="4" t="str" cm="1">
        <f t="array" aca="1" ref="K504" ca="1">IFERROR(VALUE(_xlfn.REGEXEXTRACT([1]Planilha1!$E504,"\+\s*(\d+)GB",2)),"")</f>
        <v/>
      </c>
      <c r="L504" s="5">
        <f ca="1">IF([1]Planilha1!$H504="","",[1]Planilha1!$H504)</f>
        <v>99.9</v>
      </c>
      <c r="M504" s="5" t="str">
        <f ca="1">IF([1]Planilha1!$I504="","",[1]Planilha1!$I504)</f>
        <v/>
      </c>
      <c r="N504" s="2" t="str" cm="1">
        <f t="array" aca="1" ref="N504" ca="1">IFERROR(VALUE(_xlfn.REGEXEXTRACT([1]Planilha1!$E504,"(\d+)\s*MESES",2)),IFERROR(VALUE(_xlfn.REGEXEXTRACT([1]Planilha1!$E504,"por\s*(\d+)\s*M",2)),IF(_xlfn.REGEXTEST([1]Planilha1!$E504,"1[ºª]"),1,"")))</f>
        <v/>
      </c>
      <c r="O504" s="6">
        <f t="shared" ca="1" si="34"/>
        <v>9.9900000000000003E-2</v>
      </c>
      <c r="P504" t="str">
        <f ca="1">IF([1]Planilha1!$J504="","",TRIM([1]Planilha1!$J504))</f>
        <v>GLOBOPLAY</v>
      </c>
      <c r="Q504" s="7">
        <f ca="1">IF($D504="Claro","",IFERROR($L504-VLOOKUP($B504&amp;"|Claro",[1]AUX_CLARO!$A:$C,2,FALSE),""))</f>
        <v>-60</v>
      </c>
      <c r="R504" s="8">
        <f ca="1">IF($D504="Claro","",IFERROR($J504-VLOOKUP($B504&amp;"|Claro",[1]AUX_CLARO!$A:$C,3,FALSE),""))</f>
        <v>400</v>
      </c>
      <c r="S504" t="str">
        <f t="shared" ca="1" si="35"/>
        <v>Claro mais cara</v>
      </c>
      <c r="T504" t="str">
        <f t="shared" ca="1" si="36"/>
        <v>Claro com menor velocidade</v>
      </c>
      <c r="U504" s="9">
        <f t="shared" si="37"/>
        <v>46174</v>
      </c>
      <c r="V504" t="str">
        <f ca="1">IF(OR([1]Planilha1!$B504="",[1]Planilha1!$B504="NÃO MAPEADO"),"",TRIM([1]Planilha1!$B504))</f>
        <v>OESTE</v>
      </c>
      <c r="W504" t="str">
        <f ca="1">IF([1]Planilha1!$C504="","",TRIM([1]Planilha1!$C504))</f>
        <v>PADRÃO</v>
      </c>
      <c r="X504" t="str">
        <f ca="1">IFERROR(VLOOKUP($C504,[1]Planilha2!$B:$H,7,FALSE),"")</f>
        <v>18000-001</v>
      </c>
    </row>
    <row r="505" spans="1:24" x14ac:dyDescent="0.35">
      <c r="A505" t="str">
        <f ca="1">IF(LEFT(TEXT([1]Planilha1!$L505,"0000000"),1)="5","MS","SP")</f>
        <v>SP</v>
      </c>
      <c r="B505" t="str">
        <f ca="1">IF(RIGHT([1]Planilha1!$A505,5)=" - MS",LEFT([1]Planilha1!$A505,LEN([1]Planilha1!$A505)-5),TRIM([1]Planilha1!$A505))</f>
        <v>SOROCABA</v>
      </c>
      <c r="C505" s="2">
        <f ca="1">[1]Planilha1!$L505</f>
        <v>3552205</v>
      </c>
      <c r="D505" t="str">
        <f>TRIM([1]Planilha1!$D505)</f>
        <v>Vero</v>
      </c>
      <c r="E505" t="str">
        <f>IF(TRIM([1]Planilha1!$D505)="Claro","Claro","Concorrente")</f>
        <v>Concorrente</v>
      </c>
      <c r="F505" t="s">
        <v>30</v>
      </c>
      <c r="G505" t="str">
        <f t="shared" ca="1" si="33"/>
        <v>Banda Larga + Movel</v>
      </c>
      <c r="H505" t="str">
        <f ca="1">TRIM([1]Planilha1!$E505)</f>
        <v>850M+60GB=R$149,99 (C/ GLOBOPLAY, HBO, DISNEY+)</v>
      </c>
      <c r="I505" t="str">
        <f ca="1">IF([1]Planilha1!$F505="","",TRIM([1]Planilha1!$F505))</f>
        <v>Fibra</v>
      </c>
      <c r="J505" s="3">
        <f ca="1">IF([1]Planilha1!$G505="","",[1]Planilha1!$G505)</f>
        <v>850</v>
      </c>
      <c r="K505" s="4" cm="1">
        <f t="array" aca="1" ref="K505" ca="1">IFERROR(VALUE(_xlfn.REGEXEXTRACT([1]Planilha1!$E505,"\+\s*(\d+)GB",2)),"")</f>
        <v>60</v>
      </c>
      <c r="L505" s="5">
        <f ca="1">IF([1]Planilha1!$H505="","",[1]Planilha1!$H505)</f>
        <v>149.99</v>
      </c>
      <c r="M505" s="5" t="str">
        <f ca="1">IF([1]Planilha1!$I505="","",[1]Planilha1!$I505)</f>
        <v/>
      </c>
      <c r="N505" s="2" t="str" cm="1">
        <f t="array" aca="1" ref="N505" ca="1">IFERROR(VALUE(_xlfn.REGEXEXTRACT([1]Planilha1!$E505,"(\d+)\s*MESES",2)),IFERROR(VALUE(_xlfn.REGEXEXTRACT([1]Planilha1!$E505,"por\s*(\d+)\s*M",2)),IF(_xlfn.REGEXTEST([1]Planilha1!$E505,"1[ºª]"),1,"")))</f>
        <v/>
      </c>
      <c r="O505" s="6">
        <f t="shared" ca="1" si="34"/>
        <v>0.17645882352941178</v>
      </c>
      <c r="P505" t="str">
        <f ca="1">IF([1]Planilha1!$J505="","",TRIM([1]Planilha1!$J505))</f>
        <v>GLOBOPLAY, HBO, DISNEY+</v>
      </c>
      <c r="Q505" s="7">
        <f ca="1">IF($D505="Claro","",IFERROR($L505-VLOOKUP($B505&amp;"|Claro",[1]AUX_CLARO!$A:$C,2,FALSE),""))</f>
        <v>-9.9099999999999966</v>
      </c>
      <c r="R505" s="8">
        <f ca="1">IF($D505="Claro","",IFERROR($J505-VLOOKUP($B505&amp;"|Claro",[1]AUX_CLARO!$A:$C,3,FALSE),""))</f>
        <v>250</v>
      </c>
      <c r="S505" t="str">
        <f t="shared" ca="1" si="35"/>
        <v>Claro mais cara</v>
      </c>
      <c r="T505" t="str">
        <f t="shared" ca="1" si="36"/>
        <v>Claro com menor velocidade</v>
      </c>
      <c r="U505" s="9">
        <f t="shared" si="37"/>
        <v>46174</v>
      </c>
      <c r="V505" t="str">
        <f ca="1">IF(OR([1]Planilha1!$B505="",[1]Planilha1!$B505="NÃO MAPEADO"),"",TRIM([1]Planilha1!$B505))</f>
        <v>OESTE</v>
      </c>
      <c r="W505" t="str">
        <f ca="1">IF([1]Planilha1!$C505="","",TRIM([1]Planilha1!$C505))</f>
        <v>PADRÃO</v>
      </c>
      <c r="X505" t="str">
        <f ca="1">IFERROR(VLOOKUP($C505,[1]Planilha2!$B:$H,7,FALSE),"")</f>
        <v>18000-001</v>
      </c>
    </row>
    <row r="506" spans="1:24" x14ac:dyDescent="0.35">
      <c r="A506" t="str">
        <f ca="1">IF(LEFT(TEXT([1]Planilha1!$L506,"0000000"),1)="5","MS","SP")</f>
        <v>SP</v>
      </c>
      <c r="B506" t="str">
        <f ca="1">IF(RIGHT([1]Planilha1!$A506,5)=" - MS",LEFT([1]Planilha1!$A506,LEN([1]Planilha1!$A506)-5),TRIM([1]Planilha1!$A506))</f>
        <v>SOROCABA</v>
      </c>
      <c r="C506" s="2">
        <f ca="1">[1]Planilha1!$L506</f>
        <v>3552205</v>
      </c>
      <c r="D506" t="str">
        <f>TRIM([1]Planilha1!$D506)</f>
        <v>Algar</v>
      </c>
      <c r="E506" t="str">
        <f>IF(TRIM([1]Planilha1!$D506)="Claro","Claro","Concorrente")</f>
        <v>Concorrente</v>
      </c>
      <c r="F506" t="s">
        <v>38</v>
      </c>
      <c r="G506" t="str">
        <f t="shared" ca="1" si="33"/>
        <v>Banda Larga + Conteudo</v>
      </c>
      <c r="H506" t="str">
        <f ca="1">TRIM([1]Planilha1!$E506)</f>
        <v>800M R$99,90</v>
      </c>
      <c r="I506" t="str">
        <f ca="1">IF([1]Planilha1!$F506="","",TRIM([1]Planilha1!$F506))</f>
        <v>Fibra</v>
      </c>
      <c r="J506" s="3">
        <f ca="1">IF([1]Planilha1!$G506="","",[1]Planilha1!$G506)</f>
        <v>800</v>
      </c>
      <c r="K506" s="4" t="str" cm="1">
        <f t="array" aca="1" ref="K506" ca="1">IFERROR(VALUE(_xlfn.REGEXEXTRACT([1]Planilha1!$E506,"\+\s*(\d+)GB",2)),"")</f>
        <v/>
      </c>
      <c r="L506" s="5">
        <f ca="1">IF([1]Planilha1!$H506="","",[1]Planilha1!$H506)</f>
        <v>99.9</v>
      </c>
      <c r="M506" s="5" t="str">
        <f ca="1">IF([1]Planilha1!$I506="","",[1]Planilha1!$I506)</f>
        <v/>
      </c>
      <c r="N506" s="2" t="str" cm="1">
        <f t="array" aca="1" ref="N506" ca="1">IFERROR(VALUE(_xlfn.REGEXEXTRACT([1]Planilha1!$E506,"(\d+)\s*MESES",2)),IFERROR(VALUE(_xlfn.REGEXEXTRACT([1]Planilha1!$E506,"por\s*(\d+)\s*M",2)),IF(_xlfn.REGEXTEST([1]Planilha1!$E506,"1[ºª]"),1,"")))</f>
        <v/>
      </c>
      <c r="O506" s="6">
        <f t="shared" ca="1" si="34"/>
        <v>0.12487500000000001</v>
      </c>
      <c r="P506" t="str">
        <f ca="1">IF([1]Planilha1!$J506="","",TRIM([1]Planilha1!$J506))</f>
        <v>0</v>
      </c>
      <c r="Q506" s="7">
        <f ca="1">IF($D506="Claro","",IFERROR($L506-VLOOKUP($B506&amp;"|Claro",[1]AUX_CLARO!$A:$C,2,FALSE),""))</f>
        <v>-60</v>
      </c>
      <c r="R506" s="8">
        <f ca="1">IF($D506="Claro","",IFERROR($J506-VLOOKUP($B506&amp;"|Claro",[1]AUX_CLARO!$A:$C,3,FALSE),""))</f>
        <v>200</v>
      </c>
      <c r="S506" t="str">
        <f t="shared" ca="1" si="35"/>
        <v>Claro mais cara</v>
      </c>
      <c r="T506" t="str">
        <f t="shared" ca="1" si="36"/>
        <v>Claro com menor velocidade</v>
      </c>
      <c r="U506" s="9">
        <f t="shared" si="37"/>
        <v>46174</v>
      </c>
      <c r="V506" t="str">
        <f ca="1">IF(OR([1]Planilha1!$B506="",[1]Planilha1!$B506="NÃO MAPEADO"),"",TRIM([1]Planilha1!$B506))</f>
        <v>OESTE</v>
      </c>
      <c r="W506" t="str">
        <f ca="1">IF([1]Planilha1!$C506="","",TRIM([1]Planilha1!$C506))</f>
        <v>PADRÃO</v>
      </c>
      <c r="X506" t="str">
        <f ca="1">IFERROR(VLOOKUP($C506,[1]Planilha2!$B:$H,7,FALSE),"")</f>
        <v>18000-001</v>
      </c>
    </row>
    <row r="507" spans="1:24" x14ac:dyDescent="0.35">
      <c r="A507" t="str">
        <f ca="1">IF(LEFT(TEXT([1]Planilha1!$L507,"0000000"),1)="5","MS","SP")</f>
        <v>SP</v>
      </c>
      <c r="B507" t="str">
        <f ca="1">IF(RIGHT([1]Planilha1!$A507,5)=" - MS",LEFT([1]Planilha1!$A507,LEN([1]Planilha1!$A507)-5),TRIM([1]Planilha1!$A507))</f>
        <v>SOROCABA</v>
      </c>
      <c r="C507" s="2">
        <f ca="1">[1]Planilha1!$L507</f>
        <v>3552205</v>
      </c>
      <c r="D507" t="str">
        <f>TRIM([1]Planilha1!$D507)</f>
        <v>ISP LOCAL</v>
      </c>
      <c r="E507" t="str">
        <f>IF(TRIM([1]Planilha1!$D507)="Claro","Claro","Concorrente")</f>
        <v>Concorrente</v>
      </c>
      <c r="F507" t="s">
        <v>88</v>
      </c>
      <c r="G507" t="str">
        <f t="shared" ca="1" si="33"/>
        <v>Banda Larga + Conteudo</v>
      </c>
      <c r="H507" t="str">
        <f ca="1">TRIM([1]Planilha1!$E507)</f>
        <v>POXNET - 500M R$99,90</v>
      </c>
      <c r="I507" t="str">
        <f ca="1">IF([1]Planilha1!$F507="","",TRIM([1]Planilha1!$F507))</f>
        <v>Fibra</v>
      </c>
      <c r="J507" s="3">
        <f ca="1">IF([1]Planilha1!$G507="","",[1]Planilha1!$G507)</f>
        <v>500</v>
      </c>
      <c r="K507" s="4" t="str" cm="1">
        <f t="array" aca="1" ref="K507" ca="1">IFERROR(VALUE(_xlfn.REGEXEXTRACT([1]Planilha1!$E507,"\+\s*(\d+)GB",2)),"")</f>
        <v/>
      </c>
      <c r="L507" s="5">
        <f ca="1">IF([1]Planilha1!$H507="","",[1]Planilha1!$H507)</f>
        <v>99.9</v>
      </c>
      <c r="M507" s="5" t="str">
        <f ca="1">IF([1]Planilha1!$I507="","",[1]Planilha1!$I507)</f>
        <v/>
      </c>
      <c r="N507" s="2" t="str" cm="1">
        <f t="array" aca="1" ref="N507" ca="1">IFERROR(VALUE(_xlfn.REGEXEXTRACT([1]Planilha1!$E507,"(\d+)\s*MESES",2)),IFERROR(VALUE(_xlfn.REGEXEXTRACT([1]Planilha1!$E507,"por\s*(\d+)\s*M",2)),IF(_xlfn.REGEXTEST([1]Planilha1!$E507,"1[ºª]"),1,"")))</f>
        <v/>
      </c>
      <c r="O507" s="6">
        <f t="shared" ca="1" si="34"/>
        <v>0.19980000000000001</v>
      </c>
      <c r="P507" t="str">
        <f ca="1">IF([1]Planilha1!$J507="","",TRIM([1]Planilha1!$J507))</f>
        <v>0</v>
      </c>
      <c r="Q507" s="7">
        <f ca="1">IF($D507="Claro","",IFERROR($L507-VLOOKUP($B507&amp;"|Claro",[1]AUX_CLARO!$A:$C,2,FALSE),""))</f>
        <v>-60</v>
      </c>
      <c r="R507" s="8">
        <f ca="1">IF($D507="Claro","",IFERROR($J507-VLOOKUP($B507&amp;"|Claro",[1]AUX_CLARO!$A:$C,3,FALSE),""))</f>
        <v>-100</v>
      </c>
      <c r="S507" t="str">
        <f t="shared" ca="1" si="35"/>
        <v>Claro mais cara</v>
      </c>
      <c r="T507" t="str">
        <f t="shared" ca="1" si="36"/>
        <v>Claro com maior velocidade</v>
      </c>
      <c r="U507" s="9">
        <f t="shared" si="37"/>
        <v>46174</v>
      </c>
      <c r="V507" t="str">
        <f ca="1">IF(OR([1]Planilha1!$B507="",[1]Planilha1!$B507="NÃO MAPEADO"),"",TRIM([1]Planilha1!$B507))</f>
        <v>OESTE</v>
      </c>
      <c r="W507" t="str">
        <f ca="1">IF([1]Planilha1!$C507="","",TRIM([1]Planilha1!$C507))</f>
        <v>PADRÃO</v>
      </c>
      <c r="X507" t="str">
        <f ca="1">IFERROR(VLOOKUP($C507,[1]Planilha2!$B:$H,7,FALSE),"")</f>
        <v>18000-001</v>
      </c>
    </row>
    <row r="508" spans="1:24" x14ac:dyDescent="0.35">
      <c r="A508" t="str">
        <f ca="1">IF(LEFT(TEXT([1]Planilha1!$L508,"0000000"),1)="5","MS","SP")</f>
        <v>SP</v>
      </c>
      <c r="B508" t="str">
        <f ca="1">IF(RIGHT([1]Planilha1!$A508,5)=" - MS",LEFT([1]Planilha1!$A508,LEN([1]Planilha1!$A508)-5),TRIM([1]Planilha1!$A508))</f>
        <v>SUMARE</v>
      </c>
      <c r="C508" s="2">
        <f ca="1">[1]Planilha1!$L508</f>
        <v>3552403</v>
      </c>
      <c r="D508" t="str">
        <f>TRIM([1]Planilha1!$D508)</f>
        <v>Claro</v>
      </c>
      <c r="E508" t="str">
        <f>IF(TRIM([1]Planilha1!$D508)="Claro","Claro","Concorrente")</f>
        <v>Claro</v>
      </c>
      <c r="F508" t="s">
        <v>24</v>
      </c>
      <c r="G508" t="str">
        <f t="shared" ca="1" si="33"/>
        <v>Banda Larga + Movel</v>
      </c>
      <c r="H508" t="str">
        <f ca="1">TRIM([1]Planilha1!$E508)</f>
        <v>600M+100GB=R$119,90 por 3M, após R$159,90</v>
      </c>
      <c r="I508" t="str">
        <f ca="1">IF([1]Planilha1!$F508="","",TRIM([1]Planilha1!$F508))</f>
        <v>Fibra</v>
      </c>
      <c r="J508" s="3">
        <f ca="1">IF([1]Planilha1!$G508="","",[1]Planilha1!$G508)</f>
        <v>600</v>
      </c>
      <c r="K508" s="4" cm="1">
        <f t="array" aca="1" ref="K508" ca="1">IFERROR(VALUE(_xlfn.REGEXEXTRACT([1]Planilha1!$E508,"\+\s*(\d+)GB",2)),"")</f>
        <v>100</v>
      </c>
      <c r="L508" s="5">
        <f ca="1">IF([1]Planilha1!$H508="","",[1]Planilha1!$H508)</f>
        <v>159.9</v>
      </c>
      <c r="M508" s="5">
        <f ca="1">IF([1]Planilha1!$I508="","",[1]Planilha1!$I508)</f>
        <v>119.9</v>
      </c>
      <c r="N508" s="2" cm="1">
        <f t="array" aca="1" ref="N508" ca="1">IFERROR(VALUE(_xlfn.REGEXEXTRACT([1]Planilha1!$E508,"(\d+)\s*MESES",2)),IFERROR(VALUE(_xlfn.REGEXEXTRACT([1]Planilha1!$E508,"por\s*(\d+)\s*M",2)),IF(_xlfn.REGEXTEST([1]Planilha1!$E508,"1[ºª]"),1,"")))</f>
        <v>3</v>
      </c>
      <c r="O508" s="6">
        <f t="shared" ca="1" si="34"/>
        <v>0.26650000000000001</v>
      </c>
      <c r="P508" t="str">
        <f ca="1">IF([1]Planilha1!$J508="","",TRIM([1]Planilha1!$J508))</f>
        <v>GLOBOPLAY</v>
      </c>
      <c r="Q508" s="7" t="str">
        <f>IF($D508="Claro","",IFERROR($L508-VLOOKUP($B508&amp;"|Claro",[1]AUX_CLARO!$A:$C,2,FALSE),""))</f>
        <v/>
      </c>
      <c r="R508" s="8" t="str">
        <f>IF($D508="Claro","",IFERROR($J508-VLOOKUP($B508&amp;"|Claro",[1]AUX_CLARO!$A:$C,3,FALSE),""))</f>
        <v/>
      </c>
      <c r="S508" t="str">
        <f t="shared" si="35"/>
        <v/>
      </c>
      <c r="T508" t="str">
        <f t="shared" si="36"/>
        <v/>
      </c>
      <c r="U508" s="9">
        <f t="shared" si="37"/>
        <v>46174</v>
      </c>
      <c r="V508" t="str">
        <f ca="1">IF(OR([1]Planilha1!$B508="",[1]Planilha1!$B508="NÃO MAPEADO"),"",TRIM([1]Planilha1!$B508))</f>
        <v>CENTRAL</v>
      </c>
      <c r="W508" t="str">
        <f ca="1">IF([1]Planilha1!$C508="","",TRIM([1]Planilha1!$C508))</f>
        <v>ESPECIAL</v>
      </c>
      <c r="X508" t="str">
        <f ca="1">IFERROR(VLOOKUP($C508,[1]Planilha2!$B:$H,7,FALSE),"")</f>
        <v>13170-001</v>
      </c>
    </row>
    <row r="509" spans="1:24" x14ac:dyDescent="0.35">
      <c r="A509" t="str">
        <f ca="1">IF(LEFT(TEXT([1]Planilha1!$L509,"0000000"),1)="5","MS","SP")</f>
        <v>SP</v>
      </c>
      <c r="B509" t="str">
        <f ca="1">IF(RIGHT([1]Planilha1!$A509,5)=" - MS",LEFT([1]Planilha1!$A509,LEN([1]Planilha1!$A509)-5),TRIM([1]Planilha1!$A509))</f>
        <v>SUMARE</v>
      </c>
      <c r="C509" s="2">
        <f ca="1">[1]Planilha1!$L509</f>
        <v>3552403</v>
      </c>
      <c r="D509" t="str">
        <f>TRIM([1]Planilha1!$D509)</f>
        <v>Vivo</v>
      </c>
      <c r="E509" t="str">
        <f>IF(TRIM([1]Planilha1!$D509)="Claro","Claro","Concorrente")</f>
        <v>Concorrente</v>
      </c>
      <c r="F509" t="s">
        <v>25</v>
      </c>
      <c r="G509" t="str">
        <f t="shared" ca="1" si="33"/>
        <v>Banda Larga + Movel</v>
      </c>
      <c r="H509" t="s">
        <v>26</v>
      </c>
      <c r="I509" t="str">
        <f ca="1">IF([1]Planilha1!$F509="","",TRIM([1]Planilha1!$F509))</f>
        <v>Fibra</v>
      </c>
      <c r="J509" s="11" t="s">
        <v>27</v>
      </c>
      <c r="K509" s="4" cm="1">
        <f t="array" aca="1" ref="K509" ca="1">IFERROR(VALUE(_xlfn.REGEXEXTRACT([1]Planilha1!$E509,"\+\s*(\d+)GB",2)),"")</f>
        <v>70</v>
      </c>
      <c r="L509" s="5">
        <v>160</v>
      </c>
      <c r="M509" s="5" t="str">
        <f ca="1">IF([1]Planilha1!$I509="","",[1]Planilha1!$I509)</f>
        <v/>
      </c>
      <c r="N509" s="2" t="str" cm="1">
        <f t="array" aca="1" ref="N509" ca="1">IFERROR(VALUE(_xlfn.REGEXEXTRACT([1]Planilha1!$E509,"(\d+)\s*MESES",2)),IFERROR(VALUE(_xlfn.REGEXEXTRACT([1]Planilha1!$E509,"por\s*(\d+)\s*M",2)),IF(_xlfn.REGEXTEST([1]Planilha1!$E509,"1[ºª]"),1,"")))</f>
        <v/>
      </c>
      <c r="O509" s="6" t="str">
        <f t="shared" si="34"/>
        <v/>
      </c>
      <c r="P509" t="str">
        <f ca="1">IF([1]Planilha1!$J509="","",TRIM([1]Planilha1!$J509))</f>
        <v>0</v>
      </c>
      <c r="Q509" s="7">
        <f ca="1">IF($D509="Claro","",IFERROR($L509-VLOOKUP($B509&amp;"|Claro",[1]AUX_CLARO!$A:$C,2,FALSE),""))</f>
        <v>9.9999999999994316E-2</v>
      </c>
      <c r="R509" s="8" t="str">
        <f ca="1">IF($D509="Claro","",IFERROR($J509-VLOOKUP($B509&amp;"|Claro",[1]AUX_CLARO!$A:$C,3,FALSE),""))</f>
        <v/>
      </c>
      <c r="S509" t="str">
        <f t="shared" ca="1" si="35"/>
        <v>Claro mais barata</v>
      </c>
      <c r="T509" t="str">
        <f t="shared" ca="1" si="36"/>
        <v/>
      </c>
      <c r="U509" s="9">
        <f t="shared" si="37"/>
        <v>46174</v>
      </c>
      <c r="V509" t="str">
        <f ca="1">IF(OR([1]Planilha1!$B509="",[1]Planilha1!$B509="NÃO MAPEADO"),"",TRIM([1]Planilha1!$B509))</f>
        <v>CENTRAL</v>
      </c>
      <c r="W509" t="str">
        <f ca="1">IF([1]Planilha1!$C509="","",TRIM([1]Planilha1!$C509))</f>
        <v>ESPECIAL</v>
      </c>
      <c r="X509" t="str">
        <f ca="1">IFERROR(VLOOKUP($C509,[1]Planilha2!$B:$H,7,FALSE),"")</f>
        <v>13170-001</v>
      </c>
    </row>
    <row r="510" spans="1:24" x14ac:dyDescent="0.35">
      <c r="A510" t="str">
        <f ca="1">IF(LEFT(TEXT([1]Planilha1!$L510,"0000000"),1)="5","MS","SP")</f>
        <v>SP</v>
      </c>
      <c r="B510" t="str">
        <f ca="1">IF(RIGHT([1]Planilha1!$A510,5)=" - MS",LEFT([1]Planilha1!$A510,LEN([1]Planilha1!$A510)-5),TRIM([1]Planilha1!$A510))</f>
        <v>SUMARE</v>
      </c>
      <c r="C510" s="2">
        <f ca="1">[1]Planilha1!$L510</f>
        <v>3552403</v>
      </c>
      <c r="D510" t="str">
        <f>TRIM([1]Planilha1!$D510)</f>
        <v>Desktop</v>
      </c>
      <c r="E510" t="str">
        <f>IF(TRIM([1]Planilha1!$D510)="Claro","Claro","Concorrente")</f>
        <v>Concorrente</v>
      </c>
      <c r="F510" t="s">
        <v>29</v>
      </c>
      <c r="G510" t="str">
        <f t="shared" ca="1" si="33"/>
        <v>Banda Larga + Movel</v>
      </c>
      <c r="H510" t="str">
        <f ca="1">TRIM([1]Planilha1!$E510)</f>
        <v>600M+15GB=R$129,99 - 6 MESES, APÓS R$139,99</v>
      </c>
      <c r="I510" t="str">
        <f ca="1">IF([1]Planilha1!$F510="","",TRIM([1]Planilha1!$F510))</f>
        <v>Fibra</v>
      </c>
      <c r="J510" s="3">
        <f ca="1">IF([1]Planilha1!$G510="","",[1]Planilha1!$G510)</f>
        <v>600</v>
      </c>
      <c r="K510" s="4" cm="1">
        <f t="array" aca="1" ref="K510" ca="1">IFERROR(VALUE(_xlfn.REGEXEXTRACT([1]Planilha1!$E510,"\+\s*(\d+)GB",2)),"")</f>
        <v>15</v>
      </c>
      <c r="L510" s="5">
        <f ca="1">IF([1]Planilha1!$H510="","",[1]Planilha1!$H510)</f>
        <v>139.99</v>
      </c>
      <c r="M510" s="5">
        <f ca="1">IF([1]Planilha1!$I510="","",[1]Planilha1!$I510)</f>
        <v>129.99</v>
      </c>
      <c r="N510" s="2" cm="1">
        <f t="array" aca="1" ref="N510" ca="1">IFERROR(VALUE(_xlfn.REGEXEXTRACT([1]Planilha1!$E510,"(\d+)\s*MESES",2)),IFERROR(VALUE(_xlfn.REGEXEXTRACT([1]Planilha1!$E510,"por\s*(\d+)\s*M",2)),IF(_xlfn.REGEXTEST([1]Planilha1!$E510,"1[ºª]"),1,"")))</f>
        <v>6</v>
      </c>
      <c r="O510" s="6">
        <f t="shared" ca="1" si="34"/>
        <v>0.23331666666666667</v>
      </c>
      <c r="P510" t="str">
        <f ca="1">IF([1]Planilha1!$J510="","",TRIM([1]Planilha1!$J510))</f>
        <v>0</v>
      </c>
      <c r="Q510" s="7">
        <f ca="1">IF($D510="Claro","",IFERROR($L510-VLOOKUP($B510&amp;"|Claro",[1]AUX_CLARO!$A:$C,2,FALSE),""))</f>
        <v>-19.909999999999997</v>
      </c>
      <c r="R510" s="8">
        <f ca="1">IF($D510="Claro","",IFERROR($J510-VLOOKUP($B510&amp;"|Claro",[1]AUX_CLARO!$A:$C,3,FALSE),""))</f>
        <v>0</v>
      </c>
      <c r="S510" t="str">
        <f t="shared" ca="1" si="35"/>
        <v>Claro mais cara</v>
      </c>
      <c r="T510" t="str">
        <f t="shared" ca="1" si="36"/>
        <v>Mesma velocidade</v>
      </c>
      <c r="U510" s="9">
        <f t="shared" si="37"/>
        <v>46174</v>
      </c>
      <c r="V510" t="str">
        <f ca="1">IF(OR([1]Planilha1!$B510="",[1]Planilha1!$B510="NÃO MAPEADO"),"",TRIM([1]Planilha1!$B510))</f>
        <v>CENTRAL</v>
      </c>
      <c r="W510" t="str">
        <f ca="1">IF([1]Planilha1!$C510="","",TRIM([1]Planilha1!$C510))</f>
        <v>ESPECIAL</v>
      </c>
      <c r="X510" t="str">
        <f ca="1">IFERROR(VLOOKUP($C510,[1]Planilha2!$B:$H,7,FALSE),"")</f>
        <v>13170-001</v>
      </c>
    </row>
    <row r="511" spans="1:24" x14ac:dyDescent="0.35">
      <c r="A511" t="str">
        <f ca="1">IF(LEFT(TEXT([1]Planilha1!$L511,"0000000"),1)="5","MS","SP")</f>
        <v>SP</v>
      </c>
      <c r="B511" t="str">
        <f ca="1">IF(RIGHT([1]Planilha1!$A511,5)=" - MS",LEFT([1]Planilha1!$A511,LEN([1]Planilha1!$A511)-5),TRIM([1]Planilha1!$A511))</f>
        <v>SUMARE</v>
      </c>
      <c r="C511" s="2">
        <f ca="1">[1]Planilha1!$L511</f>
        <v>3552403</v>
      </c>
      <c r="D511" t="str">
        <f>TRIM([1]Planilha1!$D511)</f>
        <v>ISP LOCAL</v>
      </c>
      <c r="E511" t="str">
        <f>IF(TRIM([1]Planilha1!$D511)="Claro","Claro","Concorrente")</f>
        <v>Concorrente</v>
      </c>
      <c r="F511" t="s">
        <v>89</v>
      </c>
      <c r="G511" t="str">
        <f t="shared" ca="1" si="33"/>
        <v>Banda Larga + Conteudo</v>
      </c>
      <c r="H511" t="str">
        <f ca="1">TRIM([1]Planilha1!$E511)</f>
        <v>FIBRA LÉDER - 500M R$99,90</v>
      </c>
      <c r="I511" t="str">
        <f ca="1">IF([1]Planilha1!$F511="","",TRIM([1]Planilha1!$F511))</f>
        <v>Fibra</v>
      </c>
      <c r="J511" s="3">
        <f ca="1">IF([1]Planilha1!$G511="","",[1]Planilha1!$G511)</f>
        <v>500</v>
      </c>
      <c r="K511" s="4" t="str" cm="1">
        <f t="array" aca="1" ref="K511" ca="1">IFERROR(VALUE(_xlfn.REGEXEXTRACT([1]Planilha1!$E511,"\+\s*(\d+)GB",2)),"")</f>
        <v/>
      </c>
      <c r="L511" s="5">
        <f ca="1">IF([1]Planilha1!$H511="","",[1]Planilha1!$H511)</f>
        <v>99.9</v>
      </c>
      <c r="M511" s="5" t="str">
        <f ca="1">IF([1]Planilha1!$I511="","",[1]Planilha1!$I511)</f>
        <v/>
      </c>
      <c r="N511" s="2" t="str" cm="1">
        <f t="array" aca="1" ref="N511" ca="1">IFERROR(VALUE(_xlfn.REGEXEXTRACT([1]Planilha1!$E511,"(\d+)\s*MESES",2)),IFERROR(VALUE(_xlfn.REGEXEXTRACT([1]Planilha1!$E511,"por\s*(\d+)\s*M",2)),IF(_xlfn.REGEXTEST([1]Planilha1!$E511,"1[ºª]"),1,"")))</f>
        <v/>
      </c>
      <c r="O511" s="6">
        <f t="shared" ca="1" si="34"/>
        <v>0.19980000000000001</v>
      </c>
      <c r="P511" t="str">
        <f ca="1">IF([1]Planilha1!$J511="","",TRIM([1]Planilha1!$J511))</f>
        <v>0</v>
      </c>
      <c r="Q511" s="7">
        <f ca="1">IF($D511="Claro","",IFERROR($L511-VLOOKUP($B511&amp;"|Claro",[1]AUX_CLARO!$A:$C,2,FALSE),""))</f>
        <v>-60</v>
      </c>
      <c r="R511" s="8">
        <f ca="1">IF($D511="Claro","",IFERROR($J511-VLOOKUP($B511&amp;"|Claro",[1]AUX_CLARO!$A:$C,3,FALSE),""))</f>
        <v>-100</v>
      </c>
      <c r="S511" t="str">
        <f t="shared" ca="1" si="35"/>
        <v>Claro mais cara</v>
      </c>
      <c r="T511" t="str">
        <f t="shared" ca="1" si="36"/>
        <v>Claro com maior velocidade</v>
      </c>
      <c r="U511" s="9">
        <f t="shared" si="37"/>
        <v>46174</v>
      </c>
      <c r="V511" t="str">
        <f ca="1">IF(OR([1]Planilha1!$B511="",[1]Planilha1!$B511="NÃO MAPEADO"),"",TRIM([1]Planilha1!$B511))</f>
        <v>CENTRAL</v>
      </c>
      <c r="W511" t="str">
        <f ca="1">IF([1]Planilha1!$C511="","",TRIM([1]Planilha1!$C511))</f>
        <v>ESPECIAL</v>
      </c>
      <c r="X511" t="str">
        <f ca="1">IFERROR(VLOOKUP($C511,[1]Planilha2!$B:$H,7,FALSE),"")</f>
        <v>13170-001</v>
      </c>
    </row>
    <row r="512" spans="1:24" x14ac:dyDescent="0.35">
      <c r="A512" t="str">
        <f ca="1">IF(LEFT(TEXT([1]Planilha1!$L512,"0000000"),1)="5","MS","SP")</f>
        <v>SP</v>
      </c>
      <c r="B512" t="str">
        <f ca="1">IF(RIGHT([1]Planilha1!$A512,5)=" - MS",LEFT([1]Planilha1!$A512,LEN([1]Planilha1!$A512)-5),TRIM([1]Planilha1!$A512))</f>
        <v>TAMBAU</v>
      </c>
      <c r="C512" s="2">
        <f ca="1">[1]Planilha1!$L512</f>
        <v>3553302</v>
      </c>
      <c r="D512" t="str">
        <f>TRIM([1]Planilha1!$D512)</f>
        <v>Claro</v>
      </c>
      <c r="E512" t="str">
        <f>IF(TRIM([1]Planilha1!$D512)="Claro","Claro","Concorrente")</f>
        <v>Claro</v>
      </c>
      <c r="F512" t="s">
        <v>24</v>
      </c>
      <c r="G512" t="str">
        <f t="shared" ca="1" si="33"/>
        <v>Banda Larga + Movel</v>
      </c>
      <c r="H512" t="str">
        <f ca="1">TRIM([1]Planilha1!$E512)</f>
        <v>600M+100GB=R$109,90 por 6M, após R$139,90</v>
      </c>
      <c r="I512" t="str">
        <f ca="1">IF([1]Planilha1!$F512="","",TRIM([1]Planilha1!$F512))</f>
        <v>Fibra</v>
      </c>
      <c r="J512" s="3">
        <f ca="1">IF([1]Planilha1!$G512="","",[1]Planilha1!$G512)</f>
        <v>600</v>
      </c>
      <c r="K512" s="4" cm="1">
        <f t="array" aca="1" ref="K512" ca="1">IFERROR(VALUE(_xlfn.REGEXEXTRACT([1]Planilha1!$E512,"\+\s*(\d+)GB",2)),"")</f>
        <v>100</v>
      </c>
      <c r="L512" s="5">
        <f ca="1">IF([1]Planilha1!$H512="","",[1]Planilha1!$H512)</f>
        <v>139.9</v>
      </c>
      <c r="M512" s="5">
        <f ca="1">IF([1]Planilha1!$I512="","",[1]Planilha1!$I512)</f>
        <v>109.9</v>
      </c>
      <c r="N512" s="2" cm="1">
        <f t="array" aca="1" ref="N512" ca="1">IFERROR(VALUE(_xlfn.REGEXEXTRACT([1]Planilha1!$E512,"(\d+)\s*MESES",2)),IFERROR(VALUE(_xlfn.REGEXEXTRACT([1]Planilha1!$E512,"por\s*(\d+)\s*M",2)),IF(_xlfn.REGEXTEST([1]Planilha1!$E512,"1[ºª]"),1,"")))</f>
        <v>6</v>
      </c>
      <c r="O512" s="6">
        <f t="shared" ca="1" si="34"/>
        <v>0.23316666666666669</v>
      </c>
      <c r="P512" t="str">
        <f ca="1">IF([1]Planilha1!$J512="","",TRIM([1]Planilha1!$J512))</f>
        <v>GLOBOPLAY</v>
      </c>
      <c r="Q512" s="7" t="str">
        <f>IF($D512="Claro","",IFERROR($L512-VLOOKUP($B512&amp;"|Claro",[1]AUX_CLARO!$A:$C,2,FALSE),""))</f>
        <v/>
      </c>
      <c r="R512" s="8" t="str">
        <f>IF($D512="Claro","",IFERROR($J512-VLOOKUP($B512&amp;"|Claro",[1]AUX_CLARO!$A:$C,3,FALSE),""))</f>
        <v/>
      </c>
      <c r="S512" t="str">
        <f t="shared" si="35"/>
        <v/>
      </c>
      <c r="T512" t="str">
        <f t="shared" si="36"/>
        <v/>
      </c>
      <c r="U512" s="9">
        <f t="shared" si="37"/>
        <v>46174</v>
      </c>
      <c r="V512" t="str">
        <f ca="1">IF(OR([1]Planilha1!$B512="",[1]Planilha1!$B512="NÃO MAPEADO"),"",TRIM([1]Planilha1!$B512))</f>
        <v>SUDESTE</v>
      </c>
      <c r="W512" t="str">
        <f ca="1">IF([1]Planilha1!$C512="","",TRIM([1]Planilha1!$C512))</f>
        <v>MD 2</v>
      </c>
      <c r="X512" s="12" t="str">
        <f ca="1">IFERROR(VLOOKUP($C512,[1]Planilha2!$B:$H,7,FALSE),"")</f>
        <v>13710-001</v>
      </c>
    </row>
    <row r="513" spans="1:24" x14ac:dyDescent="0.35">
      <c r="A513" t="str">
        <f ca="1">IF(LEFT(TEXT([1]Planilha1!$L513,"0000000"),1)="5","MS","SP")</f>
        <v>SP</v>
      </c>
      <c r="B513" t="str">
        <f ca="1">IF(RIGHT([1]Planilha1!$A513,5)=" - MS",LEFT([1]Planilha1!$A513,LEN([1]Planilha1!$A513)-5),TRIM([1]Planilha1!$A513))</f>
        <v>TAMBAU</v>
      </c>
      <c r="C513" s="2">
        <f ca="1">[1]Planilha1!$L513</f>
        <v>3553302</v>
      </c>
      <c r="D513" t="str">
        <f>TRIM([1]Planilha1!$D513)</f>
        <v>Desktop</v>
      </c>
      <c r="E513" t="str">
        <f>IF(TRIM([1]Planilha1!$D513)="Claro","Claro","Concorrente")</f>
        <v>Concorrente</v>
      </c>
      <c r="F513" t="s">
        <v>29</v>
      </c>
      <c r="G513" t="str">
        <f t="shared" ref="G513:G561" ca="1" si="38">IF($K513&lt;&gt;"","Banda Larga + Movel",IF($P513&lt;&gt;"","Banda Larga + Conteudo","Banda Larga"))</f>
        <v>Banda Larga + Conteudo</v>
      </c>
      <c r="H513" t="str">
        <f ca="1">TRIM([1]Planilha1!$E513)</f>
        <v>600M=R$49,99 por 2M, após R$89,99</v>
      </c>
      <c r="I513" t="str">
        <f ca="1">IF([1]Planilha1!$F513="","",TRIM([1]Planilha1!$F513))</f>
        <v>Fibra</v>
      </c>
      <c r="J513" s="3">
        <f ca="1">IF([1]Planilha1!$G513="","",[1]Planilha1!$G513)</f>
        <v>600</v>
      </c>
      <c r="K513" s="4" t="str" cm="1">
        <f t="array" aca="1" ref="K513" ca="1">IFERROR(VALUE(_xlfn.REGEXEXTRACT([1]Planilha1!$E513,"\+\s*(\d+)GB",2)),"")</f>
        <v/>
      </c>
      <c r="L513" s="5">
        <f ca="1">IF([1]Planilha1!$H513="","",[1]Planilha1!$H513)</f>
        <v>89.99</v>
      </c>
      <c r="M513" s="5">
        <f ca="1">IF([1]Planilha1!$I513="","",[1]Planilha1!$I513)</f>
        <v>49.99</v>
      </c>
      <c r="N513" s="2" cm="1">
        <f t="array" aca="1" ref="N513" ca="1">IFERROR(VALUE(_xlfn.REGEXEXTRACT([1]Planilha1!$E513,"(\d+)\s*MESES",2)),IFERROR(VALUE(_xlfn.REGEXEXTRACT([1]Planilha1!$E513,"por\s*(\d+)\s*M",2)),IF(_xlfn.REGEXTEST([1]Planilha1!$E513,"1[ºª]"),1,"")))</f>
        <v>2</v>
      </c>
      <c r="O513" s="6">
        <f t="shared" ca="1" si="34"/>
        <v>0.14998333333333333</v>
      </c>
      <c r="P513" t="str">
        <f ca="1">IF([1]Planilha1!$J513="","",TRIM([1]Planilha1!$J513))</f>
        <v>0</v>
      </c>
      <c r="Q513" s="7">
        <f ca="1">IF($D513="Claro","",IFERROR($L513-VLOOKUP($B513&amp;"|Claro",[1]AUX_CLARO!$A:$C,2,FALSE),""))</f>
        <v>-49.910000000000011</v>
      </c>
      <c r="R513" s="8">
        <f ca="1">IF($D513="Claro","",IFERROR($J513-VLOOKUP($B513&amp;"|Claro",[1]AUX_CLARO!$A:$C,3,FALSE),""))</f>
        <v>0</v>
      </c>
      <c r="S513" t="str">
        <f t="shared" ca="1" si="35"/>
        <v>Claro mais cara</v>
      </c>
      <c r="T513" t="str">
        <f t="shared" ca="1" si="36"/>
        <v>Mesma velocidade</v>
      </c>
      <c r="U513" s="9">
        <f t="shared" si="37"/>
        <v>46174</v>
      </c>
      <c r="V513" t="str">
        <f ca="1">IF(OR([1]Planilha1!$B513="",[1]Planilha1!$B513="NÃO MAPEADO"),"",TRIM([1]Planilha1!$B513))</f>
        <v>SUDESTE</v>
      </c>
      <c r="W513" t="str">
        <f ca="1">IF([1]Planilha1!$C513="","",TRIM([1]Planilha1!$C513))</f>
        <v>MD 2</v>
      </c>
      <c r="X513" s="12" t="str">
        <f ca="1">IFERROR(VLOOKUP($C513,[1]Planilha2!$B:$H,7,FALSE),"")</f>
        <v>13710-001</v>
      </c>
    </row>
    <row r="514" spans="1:24" x14ac:dyDescent="0.35">
      <c r="A514" t="str">
        <f ca="1">IF(LEFT(TEXT([1]Planilha1!$L514,"0000000"),1)="5","MS","SP")</f>
        <v>SP</v>
      </c>
      <c r="B514" t="str">
        <f ca="1">IF(RIGHT([1]Planilha1!$A514,5)=" - MS",LEFT([1]Planilha1!$A514,LEN([1]Planilha1!$A514)-5),TRIM([1]Planilha1!$A514))</f>
        <v>TAMBAU</v>
      </c>
      <c r="C514" s="2">
        <f ca="1">[1]Planilha1!$L514</f>
        <v>3553302</v>
      </c>
      <c r="D514" t="str">
        <f>TRIM([1]Planilha1!$D514)</f>
        <v>Alares</v>
      </c>
      <c r="E514" t="str">
        <f>IF(TRIM([1]Planilha1!$D514)="Claro","Claro","Concorrente")</f>
        <v>Concorrente</v>
      </c>
      <c r="F514" t="s">
        <v>32</v>
      </c>
      <c r="G514" t="str">
        <f t="shared" ca="1" si="38"/>
        <v>Banda Larga + Conteudo</v>
      </c>
      <c r="H514" t="str">
        <f ca="1">TRIM([1]Planilha1!$E514)</f>
        <v>1GB + GLOBOPLAY R$99,90</v>
      </c>
      <c r="I514" t="str">
        <f ca="1">IF([1]Planilha1!$F514="","",TRIM([1]Planilha1!$F514))</f>
        <v>Fibra</v>
      </c>
      <c r="J514" s="3">
        <f ca="1">IF([1]Planilha1!$G514="","",[1]Planilha1!$G514)</f>
        <v>1000</v>
      </c>
      <c r="K514" s="4" t="str" cm="1">
        <f t="array" aca="1" ref="K514" ca="1">IFERROR(VALUE(_xlfn.REGEXEXTRACT([1]Planilha1!$E514,"\+\s*(\d+)GB",2)),"")</f>
        <v/>
      </c>
      <c r="L514" s="5">
        <f ca="1">IF([1]Planilha1!$H514="","",[1]Planilha1!$H514)</f>
        <v>99.9</v>
      </c>
      <c r="M514" s="5" t="str">
        <f ca="1">IF([1]Planilha1!$I514="","",[1]Planilha1!$I514)</f>
        <v/>
      </c>
      <c r="N514" s="2" t="str" cm="1">
        <f t="array" aca="1" ref="N514" ca="1">IFERROR(VALUE(_xlfn.REGEXEXTRACT([1]Planilha1!$E514,"(\d+)\s*MESES",2)),IFERROR(VALUE(_xlfn.REGEXEXTRACT([1]Planilha1!$E514,"por\s*(\d+)\s*M",2)),IF(_xlfn.REGEXTEST([1]Planilha1!$E514,"1[ºª]"),1,"")))</f>
        <v/>
      </c>
      <c r="O514" s="6">
        <f t="shared" ca="1" si="34"/>
        <v>9.9900000000000003E-2</v>
      </c>
      <c r="P514" t="str">
        <f ca="1">IF([1]Planilha1!$J514="","",TRIM([1]Planilha1!$J514))</f>
        <v>GLOBOPLAY</v>
      </c>
      <c r="Q514" s="7">
        <f ca="1">IF($D514="Claro","",IFERROR($L514-VLOOKUP($B514&amp;"|Claro",[1]AUX_CLARO!$A:$C,2,FALSE),""))</f>
        <v>-40</v>
      </c>
      <c r="R514" s="8">
        <f ca="1">IF($D514="Claro","",IFERROR($J514-VLOOKUP($B514&amp;"|Claro",[1]AUX_CLARO!$A:$C,3,FALSE),""))</f>
        <v>400</v>
      </c>
      <c r="S514" t="str">
        <f t="shared" ca="1" si="35"/>
        <v>Claro mais cara</v>
      </c>
      <c r="T514" t="str">
        <f t="shared" ca="1" si="36"/>
        <v>Claro com menor velocidade</v>
      </c>
      <c r="U514" s="9">
        <f t="shared" si="37"/>
        <v>46174</v>
      </c>
      <c r="V514" t="str">
        <f ca="1">IF(OR([1]Planilha1!$B514="",[1]Planilha1!$B514="NÃO MAPEADO"),"",TRIM([1]Planilha1!$B514))</f>
        <v>SUDESTE</v>
      </c>
      <c r="W514" t="str">
        <f ca="1">IF([1]Planilha1!$C514="","",TRIM([1]Planilha1!$C514))</f>
        <v>MD 2</v>
      </c>
      <c r="X514" s="12" t="str">
        <f ca="1">IFERROR(VLOOKUP($C514,[1]Planilha2!$B:$H,7,FALSE),"")</f>
        <v>13710-001</v>
      </c>
    </row>
    <row r="515" spans="1:24" x14ac:dyDescent="0.35">
      <c r="A515" t="str">
        <f ca="1">IF(LEFT(TEXT([1]Planilha1!$L515,"0000000"),1)="5","MS","SP")</f>
        <v>SP</v>
      </c>
      <c r="B515" t="str">
        <f ca="1">IF(RIGHT([1]Planilha1!$A515,5)=" - MS",LEFT([1]Planilha1!$A515,LEN([1]Planilha1!$A515)-5),TRIM([1]Planilha1!$A515))</f>
        <v>TAMBAU</v>
      </c>
      <c r="C515" s="2">
        <f ca="1">[1]Planilha1!$L515</f>
        <v>3553302</v>
      </c>
      <c r="D515" t="str">
        <f>TRIM([1]Planilha1!$D515)</f>
        <v>ISP LOCAL</v>
      </c>
      <c r="E515" t="str">
        <f>IF(TRIM([1]Planilha1!$D515)="Claro","Claro","Concorrente")</f>
        <v>Concorrente</v>
      </c>
      <c r="G515" t="str">
        <f t="shared" ca="1" si="38"/>
        <v>Banda Larga + Conteudo</v>
      </c>
      <c r="H515" t="str">
        <f ca="1">TRIM([1]Planilha1!$E515)</f>
        <v>BS NEWS - 400M R$99,90</v>
      </c>
      <c r="I515" t="str">
        <f ca="1">IF([1]Planilha1!$F515="","",TRIM([1]Planilha1!$F515))</f>
        <v>Fibra</v>
      </c>
      <c r="J515" s="3">
        <f ca="1">IF([1]Planilha1!$G515="","",[1]Planilha1!$G515)</f>
        <v>400</v>
      </c>
      <c r="K515" s="4" t="str" cm="1">
        <f t="array" aca="1" ref="K515" ca="1">IFERROR(VALUE(_xlfn.REGEXEXTRACT([1]Planilha1!$E515,"\+\s*(\d+)GB",2)),"")</f>
        <v/>
      </c>
      <c r="L515" s="5">
        <f ca="1">IF([1]Planilha1!$H515="","",[1]Planilha1!$H515)</f>
        <v>99.9</v>
      </c>
      <c r="M515" s="5" t="str">
        <f ca="1">IF([1]Planilha1!$I515="","",[1]Planilha1!$I515)</f>
        <v/>
      </c>
      <c r="N515" s="2" t="str" cm="1">
        <f t="array" aca="1" ref="N515" ca="1">IFERROR(VALUE(_xlfn.REGEXEXTRACT([1]Planilha1!$E515,"(\d+)\s*MESES",2)),IFERROR(VALUE(_xlfn.REGEXEXTRACT([1]Planilha1!$E515,"por\s*(\d+)\s*M",2)),IF(_xlfn.REGEXTEST([1]Planilha1!$E515,"1[ºª]"),1,"")))</f>
        <v/>
      </c>
      <c r="O515" s="6">
        <f t="shared" ref="O515:O562" ca="1" si="39">IF(OR($L515="",$J515="",N($J515)=0),"",$L515/$J515)</f>
        <v>0.24975000000000003</v>
      </c>
      <c r="P515" t="str">
        <f ca="1">IF([1]Planilha1!$J515="","",TRIM([1]Planilha1!$J515))</f>
        <v>0</v>
      </c>
      <c r="Q515" s="7">
        <f ca="1">IF($D515="Claro","",IFERROR($L515-VLOOKUP($B515&amp;"|Claro",[1]AUX_CLARO!$A:$C,2,FALSE),""))</f>
        <v>-40</v>
      </c>
      <c r="R515" s="8">
        <f ca="1">IF($D515="Claro","",IFERROR($J515-VLOOKUP($B515&amp;"|Claro",[1]AUX_CLARO!$A:$C,3,FALSE),""))</f>
        <v>-200</v>
      </c>
      <c r="S515" t="str">
        <f t="shared" ref="S515:S562" ca="1" si="40">IF($Q515="","",IF($Q515&gt;0,"Claro mais barata",IF($Q515=0,"Mesmo preco","Claro mais cara")))</f>
        <v>Claro mais cara</v>
      </c>
      <c r="T515" t="str">
        <f t="shared" ref="T515:T562" ca="1" si="41">IF($R515="","",IF($R515&lt;0,"Claro com maior velocidade",IF($R515=0,"Mesma velocidade","Claro com menor velocidade")))</f>
        <v>Claro com maior velocidade</v>
      </c>
      <c r="U515" s="9">
        <f t="shared" ref="U515:U562" si="42">DATE(2026,6,1)</f>
        <v>46174</v>
      </c>
      <c r="V515" t="str">
        <f ca="1">IF(OR([1]Planilha1!$B515="",[1]Planilha1!$B515="NÃO MAPEADO"),"",TRIM([1]Planilha1!$B515))</f>
        <v>SUDESTE</v>
      </c>
      <c r="W515" t="str">
        <f ca="1">IF([1]Planilha1!$C515="","",TRIM([1]Planilha1!$C515))</f>
        <v>MD 2</v>
      </c>
      <c r="X515" s="12" t="str">
        <f ca="1">IFERROR(VLOOKUP($C515,[1]Planilha2!$B:$H,7,FALSE),"")</f>
        <v>13710-001</v>
      </c>
    </row>
    <row r="516" spans="1:24" x14ac:dyDescent="0.35">
      <c r="A516" t="str">
        <f ca="1">IF(LEFT(TEXT([1]Planilha1!$L516,"0000000"),1)="5","MS","SP")</f>
        <v>SP</v>
      </c>
      <c r="B516" t="str">
        <f ca="1">IF(RIGHT([1]Planilha1!$A516,5)=" - MS",LEFT([1]Planilha1!$A516,LEN([1]Planilha1!$A516)-5),TRIM([1]Planilha1!$A516))</f>
        <v>TATUI</v>
      </c>
      <c r="C516" s="2">
        <f ca="1">[1]Planilha1!$L516</f>
        <v>3554003</v>
      </c>
      <c r="D516" t="str">
        <f>TRIM([1]Planilha1!$D516)</f>
        <v>Claro</v>
      </c>
      <c r="E516" t="str">
        <f>IF(TRIM([1]Planilha1!$D516)="Claro","Claro","Concorrente")</f>
        <v>Claro</v>
      </c>
      <c r="F516" t="s">
        <v>24</v>
      </c>
      <c r="G516" t="str">
        <f t="shared" ca="1" si="38"/>
        <v>Banda Larga + Movel</v>
      </c>
      <c r="H516" t="str">
        <f ca="1">TRIM([1]Planilha1!$E516)</f>
        <v>600M+100GB=R$119,90 por 6M, após R$139,90</v>
      </c>
      <c r="I516" t="str">
        <f ca="1">IF([1]Planilha1!$F516="","",TRIM([1]Planilha1!$F516))</f>
        <v>Fibra</v>
      </c>
      <c r="J516" s="3">
        <f ca="1">IF([1]Planilha1!$G516="","",[1]Planilha1!$G516)</f>
        <v>600</v>
      </c>
      <c r="K516" s="4" cm="1">
        <f t="array" aca="1" ref="K516" ca="1">IFERROR(VALUE(_xlfn.REGEXEXTRACT([1]Planilha1!$E516,"\+\s*(\d+)GB",2)),"")</f>
        <v>100</v>
      </c>
      <c r="L516" s="5">
        <f ca="1">IF([1]Planilha1!$H516="","",[1]Planilha1!$H516)</f>
        <v>139.9</v>
      </c>
      <c r="M516" s="5">
        <f ca="1">IF([1]Planilha1!$I516="","",[1]Planilha1!$I516)</f>
        <v>119.9</v>
      </c>
      <c r="N516" s="2" cm="1">
        <f t="array" aca="1" ref="N516" ca="1">IFERROR(VALUE(_xlfn.REGEXEXTRACT([1]Planilha1!$E516,"(\d+)\s*MESES",2)),IFERROR(VALUE(_xlfn.REGEXEXTRACT([1]Planilha1!$E516,"por\s*(\d+)\s*M",2)),IF(_xlfn.REGEXTEST([1]Planilha1!$E516,"1[ºª]"),1,"")))</f>
        <v>6</v>
      </c>
      <c r="O516" s="6">
        <f t="shared" ca="1" si="39"/>
        <v>0.23316666666666669</v>
      </c>
      <c r="P516" t="str">
        <f ca="1">IF([1]Planilha1!$J516="","",TRIM([1]Planilha1!$J516))</f>
        <v>GLOBOPLAY</v>
      </c>
      <c r="Q516" s="7" t="str">
        <f>IF($D516="Claro","",IFERROR($L516-VLOOKUP($B516&amp;"|Claro",[1]AUX_CLARO!$A:$C,2,FALSE),""))</f>
        <v/>
      </c>
      <c r="R516" s="8" t="str">
        <f>IF($D516="Claro","",IFERROR($J516-VLOOKUP($B516&amp;"|Claro",[1]AUX_CLARO!$A:$C,3,FALSE),""))</f>
        <v/>
      </c>
      <c r="S516" t="str">
        <f t="shared" si="40"/>
        <v/>
      </c>
      <c r="T516" t="str">
        <f t="shared" si="41"/>
        <v/>
      </c>
      <c r="U516" s="9">
        <f t="shared" si="42"/>
        <v>46174</v>
      </c>
      <c r="V516" t="str">
        <f ca="1">IF(OR([1]Planilha1!$B516="",[1]Planilha1!$B516="NÃO MAPEADO"),"",TRIM([1]Planilha1!$B516))</f>
        <v>SUDESTE</v>
      </c>
      <c r="W516" t="str">
        <f ca="1">IF([1]Planilha1!$C516="","",TRIM([1]Planilha1!$C516))</f>
        <v>MD 1</v>
      </c>
      <c r="X516" s="12" t="str">
        <f ca="1">IFERROR(VLOOKUP($C516,[1]Planilha2!$B:$H,7,FALSE),"")</f>
        <v>18270-001</v>
      </c>
    </row>
    <row r="517" spans="1:24" x14ac:dyDescent="0.35">
      <c r="A517" t="str">
        <f ca="1">IF(LEFT(TEXT([1]Planilha1!$L517,"0000000"),1)="5","MS","SP")</f>
        <v>SP</v>
      </c>
      <c r="B517" t="str">
        <f ca="1">IF(RIGHT([1]Planilha1!$A517,5)=" - MS",LEFT([1]Planilha1!$A517,LEN([1]Planilha1!$A517)-5),TRIM([1]Planilha1!$A517))</f>
        <v>TATUI</v>
      </c>
      <c r="C517" s="2">
        <f ca="1">[1]Planilha1!$L517</f>
        <v>3554003</v>
      </c>
      <c r="D517" t="str">
        <f>TRIM([1]Planilha1!$D517)</f>
        <v>Vivo</v>
      </c>
      <c r="E517" t="str">
        <f>IF(TRIM([1]Planilha1!$D517)="Claro","Claro","Concorrente")</f>
        <v>Concorrente</v>
      </c>
      <c r="F517" t="s">
        <v>25</v>
      </c>
      <c r="G517" t="str">
        <f t="shared" ca="1" si="38"/>
        <v>Banda Larga + Movel</v>
      </c>
      <c r="H517" t="s">
        <v>26</v>
      </c>
      <c r="I517" t="str">
        <f ca="1">IF([1]Planilha1!$F517="","",TRIM([1]Planilha1!$F517))</f>
        <v>Fibra</v>
      </c>
      <c r="J517" s="11" t="s">
        <v>27</v>
      </c>
      <c r="K517" s="4" cm="1">
        <f t="array" aca="1" ref="K517" ca="1">IFERROR(VALUE(_xlfn.REGEXEXTRACT([1]Planilha1!$E517,"\+\s*(\d+)GB",2)),"")</f>
        <v>70</v>
      </c>
      <c r="L517" s="5">
        <v>160</v>
      </c>
      <c r="M517" s="5" t="str">
        <f ca="1">IF([1]Planilha1!$I517="","",[1]Planilha1!$I517)</f>
        <v/>
      </c>
      <c r="N517" s="2" t="str" cm="1">
        <f t="array" aca="1" ref="N517" ca="1">IFERROR(VALUE(_xlfn.REGEXEXTRACT([1]Planilha1!$E517,"(\d+)\s*MESES",2)),IFERROR(VALUE(_xlfn.REGEXEXTRACT([1]Planilha1!$E517,"por\s*(\d+)\s*M",2)),IF(_xlfn.REGEXTEST([1]Planilha1!$E517,"1[ºª]"),1,"")))</f>
        <v/>
      </c>
      <c r="O517" s="6" t="str">
        <f t="shared" si="39"/>
        <v/>
      </c>
      <c r="P517" t="str">
        <f ca="1">IF([1]Planilha1!$J517="","",TRIM([1]Planilha1!$J517))</f>
        <v>0</v>
      </c>
      <c r="Q517" s="7">
        <f ca="1">IF($D517="Claro","",IFERROR($L517-VLOOKUP($B517&amp;"|Claro",[1]AUX_CLARO!$A:$C,2,FALSE),""))</f>
        <v>20.099999999999994</v>
      </c>
      <c r="R517" s="8" t="str">
        <f ca="1">IF($D517="Claro","",IFERROR($J517-VLOOKUP($B517&amp;"|Claro",[1]AUX_CLARO!$A:$C,3,FALSE),""))</f>
        <v/>
      </c>
      <c r="S517" t="str">
        <f t="shared" ca="1" si="40"/>
        <v>Claro mais barata</v>
      </c>
      <c r="T517" t="str">
        <f t="shared" ca="1" si="41"/>
        <v/>
      </c>
      <c r="U517" s="9">
        <f t="shared" si="42"/>
        <v>46174</v>
      </c>
      <c r="V517" t="str">
        <f ca="1">IF(OR([1]Planilha1!$B517="",[1]Planilha1!$B517="NÃO MAPEADO"),"",TRIM([1]Planilha1!$B517))</f>
        <v>SUDESTE</v>
      </c>
      <c r="W517" t="str">
        <f ca="1">IF([1]Planilha1!$C517="","",TRIM([1]Planilha1!$C517))</f>
        <v>MD 1</v>
      </c>
      <c r="X517" s="12" t="str">
        <f ca="1">IFERROR(VLOOKUP($C517,[1]Planilha2!$B:$H,7,FALSE),"")</f>
        <v>18270-001</v>
      </c>
    </row>
    <row r="518" spans="1:24" x14ac:dyDescent="0.35">
      <c r="A518" t="str">
        <f ca="1">IF(LEFT(TEXT([1]Planilha1!$L518,"0000000"),1)="5","MS","SP")</f>
        <v>SP</v>
      </c>
      <c r="B518" t="str">
        <f ca="1">IF(RIGHT([1]Planilha1!$A518,5)=" - MS",LEFT([1]Planilha1!$A518,LEN([1]Planilha1!$A518)-5),TRIM([1]Planilha1!$A518))</f>
        <v>TATUI</v>
      </c>
      <c r="C518" s="2">
        <f ca="1">[1]Planilha1!$L518</f>
        <v>3554003</v>
      </c>
      <c r="D518" t="str">
        <f>TRIM([1]Planilha1!$D518)</f>
        <v>Desktop</v>
      </c>
      <c r="E518" t="str">
        <f>IF(TRIM([1]Planilha1!$D518)="Claro","Claro","Concorrente")</f>
        <v>Concorrente</v>
      </c>
      <c r="F518" t="s">
        <v>29</v>
      </c>
      <c r="G518" t="str">
        <f t="shared" ca="1" si="38"/>
        <v>Banda Larga + Movel</v>
      </c>
      <c r="H518" t="str">
        <f ca="1">TRIM([1]Planilha1!$E518)</f>
        <v>600M+15GB=R$129,99 - 6 MESES, APÓS R$139,99</v>
      </c>
      <c r="I518" t="str">
        <f ca="1">IF([1]Planilha1!$F518="","",TRIM([1]Planilha1!$F518))</f>
        <v>Fibra</v>
      </c>
      <c r="J518" s="3">
        <f ca="1">IF([1]Planilha1!$G518="","",[1]Planilha1!$G518)</f>
        <v>600</v>
      </c>
      <c r="K518" s="4" cm="1">
        <f t="array" aca="1" ref="K518" ca="1">IFERROR(VALUE(_xlfn.REGEXEXTRACT([1]Planilha1!$E518,"\+\s*(\d+)GB",2)),"")</f>
        <v>15</v>
      </c>
      <c r="L518" s="5">
        <f ca="1">IF([1]Planilha1!$H518="","",[1]Planilha1!$H518)</f>
        <v>139.99</v>
      </c>
      <c r="M518" s="5">
        <f ca="1">IF([1]Planilha1!$I518="","",[1]Planilha1!$I518)</f>
        <v>129.99</v>
      </c>
      <c r="N518" s="2" cm="1">
        <f t="array" aca="1" ref="N518" ca="1">IFERROR(VALUE(_xlfn.REGEXEXTRACT([1]Planilha1!$E518,"(\d+)\s*MESES",2)),IFERROR(VALUE(_xlfn.REGEXEXTRACT([1]Planilha1!$E518,"por\s*(\d+)\s*M",2)),IF(_xlfn.REGEXTEST([1]Planilha1!$E518,"1[ºª]"),1,"")))</f>
        <v>6</v>
      </c>
      <c r="O518" s="6">
        <f t="shared" ca="1" si="39"/>
        <v>0.23331666666666667</v>
      </c>
      <c r="P518" t="str">
        <f ca="1">IF([1]Planilha1!$J518="","",TRIM([1]Planilha1!$J518))</f>
        <v>0</v>
      </c>
      <c r="Q518" s="7">
        <f ca="1">IF($D518="Claro","",IFERROR($L518-VLOOKUP($B518&amp;"|Claro",[1]AUX_CLARO!$A:$C,2,FALSE),""))</f>
        <v>9.0000000000003411E-2</v>
      </c>
      <c r="R518" s="8">
        <f ca="1">IF($D518="Claro","",IFERROR($J518-VLOOKUP($B518&amp;"|Claro",[1]AUX_CLARO!$A:$C,3,FALSE),""))</f>
        <v>0</v>
      </c>
      <c r="S518" t="str">
        <f t="shared" ca="1" si="40"/>
        <v>Claro mais barata</v>
      </c>
      <c r="T518" t="str">
        <f t="shared" ca="1" si="41"/>
        <v>Mesma velocidade</v>
      </c>
      <c r="U518" s="9">
        <f t="shared" si="42"/>
        <v>46174</v>
      </c>
      <c r="V518" t="str">
        <f ca="1">IF(OR([1]Planilha1!$B518="",[1]Planilha1!$B518="NÃO MAPEADO"),"",TRIM([1]Planilha1!$B518))</f>
        <v>SUDESTE</v>
      </c>
      <c r="W518" t="str">
        <f ca="1">IF([1]Planilha1!$C518="","",TRIM([1]Planilha1!$C518))</f>
        <v>MD 1</v>
      </c>
      <c r="X518" s="12" t="str">
        <f ca="1">IFERROR(VLOOKUP($C518,[1]Planilha2!$B:$H,7,FALSE),"")</f>
        <v>18270-001</v>
      </c>
    </row>
    <row r="519" spans="1:24" x14ac:dyDescent="0.35">
      <c r="A519" t="str">
        <f ca="1">IF(LEFT(TEXT([1]Planilha1!$L519,"0000000"),1)="5","MS","SP")</f>
        <v>SP</v>
      </c>
      <c r="B519" t="str">
        <f ca="1">IF(RIGHT([1]Planilha1!$A519,5)=" - MS",LEFT([1]Planilha1!$A519,LEN([1]Planilha1!$A519)-5),TRIM([1]Planilha1!$A519))</f>
        <v>TATUI</v>
      </c>
      <c r="C519" s="2">
        <f ca="1">[1]Planilha1!$L519</f>
        <v>3554003</v>
      </c>
      <c r="D519" t="str">
        <f>TRIM([1]Planilha1!$D519)</f>
        <v>Alares</v>
      </c>
      <c r="E519" t="str">
        <f>IF(TRIM([1]Planilha1!$D519)="Claro","Claro","Concorrente")</f>
        <v>Concorrente</v>
      </c>
      <c r="F519" t="s">
        <v>32</v>
      </c>
      <c r="G519" t="str">
        <f t="shared" ca="1" si="38"/>
        <v>Banda Larga + Conteudo</v>
      </c>
      <c r="H519" t="str">
        <f ca="1">TRIM([1]Planilha1!$E519)</f>
        <v>1GB + GLOBOPLAY R$99,90</v>
      </c>
      <c r="I519" t="str">
        <f ca="1">IF([1]Planilha1!$F519="","",TRIM([1]Planilha1!$F519))</f>
        <v>Fibra</v>
      </c>
      <c r="J519" s="3">
        <f ca="1">IF([1]Planilha1!$G519="","",[1]Planilha1!$G519)</f>
        <v>1000</v>
      </c>
      <c r="K519" s="4" t="str" cm="1">
        <f t="array" aca="1" ref="K519" ca="1">IFERROR(VALUE(_xlfn.REGEXEXTRACT([1]Planilha1!$E519,"\+\s*(\d+)GB",2)),"")</f>
        <v/>
      </c>
      <c r="L519" s="5">
        <f ca="1">IF([1]Planilha1!$H519="","",[1]Planilha1!$H519)</f>
        <v>99.9</v>
      </c>
      <c r="M519" s="5" t="str">
        <f ca="1">IF([1]Planilha1!$I519="","",[1]Planilha1!$I519)</f>
        <v/>
      </c>
      <c r="N519" s="2" t="str" cm="1">
        <f t="array" aca="1" ref="N519" ca="1">IFERROR(VALUE(_xlfn.REGEXEXTRACT([1]Planilha1!$E519,"(\d+)\s*MESES",2)),IFERROR(VALUE(_xlfn.REGEXEXTRACT([1]Planilha1!$E519,"por\s*(\d+)\s*M",2)),IF(_xlfn.REGEXTEST([1]Planilha1!$E519,"1[ºª]"),1,"")))</f>
        <v/>
      </c>
      <c r="O519" s="6">
        <f t="shared" ca="1" si="39"/>
        <v>9.9900000000000003E-2</v>
      </c>
      <c r="P519" t="str">
        <f ca="1">IF([1]Planilha1!$J519="","",TRIM([1]Planilha1!$J519))</f>
        <v>GLOBOPLAY</v>
      </c>
      <c r="Q519" s="7">
        <f ca="1">IF($D519="Claro","",IFERROR($L519-VLOOKUP($B519&amp;"|Claro",[1]AUX_CLARO!$A:$C,2,FALSE),""))</f>
        <v>-40</v>
      </c>
      <c r="R519" s="8">
        <f ca="1">IF($D519="Claro","",IFERROR($J519-VLOOKUP($B519&amp;"|Claro",[1]AUX_CLARO!$A:$C,3,FALSE),""))</f>
        <v>400</v>
      </c>
      <c r="S519" t="str">
        <f t="shared" ca="1" si="40"/>
        <v>Claro mais cara</v>
      </c>
      <c r="T519" t="str">
        <f t="shared" ca="1" si="41"/>
        <v>Claro com menor velocidade</v>
      </c>
      <c r="U519" s="9">
        <f t="shared" si="42"/>
        <v>46174</v>
      </c>
      <c r="V519" t="str">
        <f ca="1">IF(OR([1]Planilha1!$B519="",[1]Planilha1!$B519="NÃO MAPEADO"),"",TRIM([1]Planilha1!$B519))</f>
        <v>SUDESTE</v>
      </c>
      <c r="W519" t="str">
        <f ca="1">IF([1]Planilha1!$C519="","",TRIM([1]Planilha1!$C519))</f>
        <v>MD 1</v>
      </c>
      <c r="X519" s="12" t="str">
        <f ca="1">IFERROR(VLOOKUP($C519,[1]Planilha2!$B:$H,7,FALSE),"")</f>
        <v>18270-001</v>
      </c>
    </row>
    <row r="520" spans="1:24" x14ac:dyDescent="0.35">
      <c r="A520" t="str">
        <f ca="1">IF(LEFT(TEXT([1]Planilha1!$L520,"0000000"),1)="5","MS","SP")</f>
        <v>SP</v>
      </c>
      <c r="B520" t="str">
        <f ca="1">IF(RIGHT([1]Planilha1!$A520,5)=" - MS",LEFT([1]Planilha1!$A520,LEN([1]Planilha1!$A520)-5),TRIM([1]Planilha1!$A520))</f>
        <v>TATUI</v>
      </c>
      <c r="C520" s="2">
        <f ca="1">[1]Planilha1!$L520</f>
        <v>3554003</v>
      </c>
      <c r="D520" t="str">
        <f>TRIM([1]Planilha1!$D520)</f>
        <v>Vero</v>
      </c>
      <c r="E520" t="str">
        <f>IF(TRIM([1]Planilha1!$D520)="Claro","Claro","Concorrente")</f>
        <v>Concorrente</v>
      </c>
      <c r="F520" t="s">
        <v>30</v>
      </c>
      <c r="G520" t="str">
        <f t="shared" ca="1" si="38"/>
        <v>Banda Larga + Movel</v>
      </c>
      <c r="H520" t="str">
        <f ca="1">TRIM([1]Planilha1!$E520)</f>
        <v>850M+60GB=R$149,99 (C/ GLOBOPLAY, HBO, DISNEY+)</v>
      </c>
      <c r="I520" t="str">
        <f ca="1">IF([1]Planilha1!$F520="","",TRIM([1]Planilha1!$F520))</f>
        <v>Fibra</v>
      </c>
      <c r="J520" s="3">
        <f ca="1">IF([1]Planilha1!$G520="","",[1]Planilha1!$G520)</f>
        <v>850</v>
      </c>
      <c r="K520" s="4" cm="1">
        <f t="array" aca="1" ref="K520" ca="1">IFERROR(VALUE(_xlfn.REGEXEXTRACT([1]Planilha1!$E520,"\+\s*(\d+)GB",2)),"")</f>
        <v>60</v>
      </c>
      <c r="L520" s="5">
        <f ca="1">IF([1]Planilha1!$H520="","",[1]Planilha1!$H520)</f>
        <v>149.99</v>
      </c>
      <c r="M520" s="5" t="str">
        <f ca="1">IF([1]Planilha1!$I520="","",[1]Planilha1!$I520)</f>
        <v/>
      </c>
      <c r="N520" s="2" t="str" cm="1">
        <f t="array" aca="1" ref="N520" ca="1">IFERROR(VALUE(_xlfn.REGEXEXTRACT([1]Planilha1!$E520,"(\d+)\s*MESES",2)),IFERROR(VALUE(_xlfn.REGEXEXTRACT([1]Planilha1!$E520,"por\s*(\d+)\s*M",2)),IF(_xlfn.REGEXTEST([1]Planilha1!$E520,"1[ºª]"),1,"")))</f>
        <v/>
      </c>
      <c r="O520" s="6">
        <f t="shared" ca="1" si="39"/>
        <v>0.17645882352941178</v>
      </c>
      <c r="P520" t="str">
        <f ca="1">IF([1]Planilha1!$J520="","",TRIM([1]Planilha1!$J520))</f>
        <v>GLOBOPLAY, HBO, DISNEY+</v>
      </c>
      <c r="Q520" s="7">
        <f ca="1">IF($D520="Claro","",IFERROR($L520-VLOOKUP($B520&amp;"|Claro",[1]AUX_CLARO!$A:$C,2,FALSE),""))</f>
        <v>10.090000000000003</v>
      </c>
      <c r="R520" s="8">
        <f ca="1">IF($D520="Claro","",IFERROR($J520-VLOOKUP($B520&amp;"|Claro",[1]AUX_CLARO!$A:$C,3,FALSE),""))</f>
        <v>250</v>
      </c>
      <c r="S520" t="str">
        <f t="shared" ca="1" si="40"/>
        <v>Claro mais barata</v>
      </c>
      <c r="T520" t="str">
        <f t="shared" ca="1" si="41"/>
        <v>Claro com menor velocidade</v>
      </c>
      <c r="U520" s="9">
        <f t="shared" si="42"/>
        <v>46174</v>
      </c>
      <c r="V520" t="str">
        <f ca="1">IF(OR([1]Planilha1!$B520="",[1]Planilha1!$B520="NÃO MAPEADO"),"",TRIM([1]Planilha1!$B520))</f>
        <v>SUDESTE</v>
      </c>
      <c r="W520" t="str">
        <f ca="1">IF([1]Planilha1!$C520="","",TRIM([1]Planilha1!$C520))</f>
        <v>MD 1</v>
      </c>
      <c r="X520" s="12" t="str">
        <f ca="1">IFERROR(VLOOKUP($C520,[1]Planilha2!$B:$H,7,FALSE),"")</f>
        <v>18270-001</v>
      </c>
    </row>
    <row r="521" spans="1:24" x14ac:dyDescent="0.35">
      <c r="A521" t="str">
        <f ca="1">IF(LEFT(TEXT([1]Planilha1!$L521,"0000000"),1)="5","MS","SP")</f>
        <v>SP</v>
      </c>
      <c r="B521" t="str">
        <f ca="1">IF(RIGHT([1]Planilha1!$A521,5)=" - MS",LEFT([1]Planilha1!$A521,LEN([1]Planilha1!$A521)-5),TRIM([1]Planilha1!$A521))</f>
        <v>TATUI</v>
      </c>
      <c r="C521" s="2">
        <f ca="1">[1]Planilha1!$L521</f>
        <v>3554003</v>
      </c>
      <c r="D521" t="str">
        <f>TRIM([1]Planilha1!$D521)</f>
        <v>ISP LOCAL</v>
      </c>
      <c r="E521" t="str">
        <f>IF(TRIM([1]Planilha1!$D521)="Claro","Claro","Concorrente")</f>
        <v>Concorrente</v>
      </c>
      <c r="F521" t="s">
        <v>42</v>
      </c>
      <c r="G521" t="str">
        <f t="shared" ca="1" si="38"/>
        <v>Banda Larga + Conteudo</v>
      </c>
      <c r="H521" t="str">
        <f ca="1">TRIM([1]Planilha1!$E521)</f>
        <v>ZAAZ - 600M R$99,90</v>
      </c>
      <c r="I521" t="str">
        <f ca="1">IF([1]Planilha1!$F521="","",TRIM([1]Planilha1!$F521))</f>
        <v>Fibra</v>
      </c>
      <c r="J521" s="3">
        <f ca="1">IF([1]Planilha1!$G521="","",[1]Planilha1!$G521)</f>
        <v>600</v>
      </c>
      <c r="K521" s="4" t="str" cm="1">
        <f t="array" aca="1" ref="K521" ca="1">IFERROR(VALUE(_xlfn.REGEXEXTRACT([1]Planilha1!$E521,"\+\s*(\d+)GB",2)),"")</f>
        <v/>
      </c>
      <c r="L521" s="5">
        <f ca="1">IF([1]Planilha1!$H521="","",[1]Planilha1!$H521)</f>
        <v>99.9</v>
      </c>
      <c r="M521" s="5" t="str">
        <f ca="1">IF([1]Planilha1!$I521="","",[1]Planilha1!$I521)</f>
        <v/>
      </c>
      <c r="N521" s="2" t="str" cm="1">
        <f t="array" aca="1" ref="N521" ca="1">IFERROR(VALUE(_xlfn.REGEXEXTRACT([1]Planilha1!$E521,"(\d+)\s*MESES",2)),IFERROR(VALUE(_xlfn.REGEXEXTRACT([1]Planilha1!$E521,"por\s*(\d+)\s*M",2)),IF(_xlfn.REGEXTEST([1]Planilha1!$E521,"1[ºª]"),1,"")))</f>
        <v/>
      </c>
      <c r="O521" s="6">
        <f t="shared" ca="1" si="39"/>
        <v>0.16650000000000001</v>
      </c>
      <c r="P521" t="str">
        <f ca="1">IF([1]Planilha1!$J521="","",TRIM([1]Planilha1!$J521))</f>
        <v>0</v>
      </c>
      <c r="Q521" s="7">
        <f ca="1">IF($D521="Claro","",IFERROR($L521-VLOOKUP($B521&amp;"|Claro",[1]AUX_CLARO!$A:$C,2,FALSE),""))</f>
        <v>-40</v>
      </c>
      <c r="R521" s="8">
        <f ca="1">IF($D521="Claro","",IFERROR($J521-VLOOKUP($B521&amp;"|Claro",[1]AUX_CLARO!$A:$C,3,FALSE),""))</f>
        <v>0</v>
      </c>
      <c r="S521" t="str">
        <f t="shared" ca="1" si="40"/>
        <v>Claro mais cara</v>
      </c>
      <c r="T521" t="str">
        <f t="shared" ca="1" si="41"/>
        <v>Mesma velocidade</v>
      </c>
      <c r="U521" s="9">
        <f t="shared" si="42"/>
        <v>46174</v>
      </c>
      <c r="V521" t="str">
        <f ca="1">IF(OR([1]Planilha1!$B521="",[1]Planilha1!$B521="NÃO MAPEADO"),"",TRIM([1]Planilha1!$B521))</f>
        <v>SUDESTE</v>
      </c>
      <c r="W521" t="str">
        <f ca="1">IF([1]Planilha1!$C521="","",TRIM([1]Planilha1!$C521))</f>
        <v>MD 1</v>
      </c>
      <c r="X521" s="12" t="str">
        <f ca="1">IFERROR(VLOOKUP($C521,[1]Planilha2!$B:$H,7,FALSE),"")</f>
        <v>18270-001</v>
      </c>
    </row>
    <row r="522" spans="1:24" x14ac:dyDescent="0.35">
      <c r="A522" t="str">
        <f ca="1">IF(LEFT(TEXT([1]Planilha1!$L522,"0000000"),1)="5","MS","SP")</f>
        <v>SP</v>
      </c>
      <c r="B522" t="str">
        <f ca="1">IF(RIGHT([1]Planilha1!$A522,5)=" - MS",LEFT([1]Planilha1!$A522,LEN([1]Planilha1!$A522)-5),TRIM([1]Planilha1!$A522))</f>
        <v>TAUBATE</v>
      </c>
      <c r="C522" s="2">
        <f ca="1">[1]Planilha1!$L522</f>
        <v>3554102</v>
      </c>
      <c r="D522" t="str">
        <f>TRIM([1]Planilha1!$D522)</f>
        <v>Claro</v>
      </c>
      <c r="E522" t="str">
        <f>IF(TRIM([1]Planilha1!$D522)="Claro","Claro","Concorrente")</f>
        <v>Claro</v>
      </c>
      <c r="F522" t="s">
        <v>24</v>
      </c>
      <c r="G522" t="str">
        <f t="shared" ca="1" si="38"/>
        <v>Banda Larga + Movel</v>
      </c>
      <c r="H522" t="str">
        <f ca="1">TRIM([1]Planilha1!$E522)</f>
        <v>600M+100GB=R$159,90</v>
      </c>
      <c r="I522" t="str">
        <f ca="1">IF([1]Planilha1!$F522="","",TRIM([1]Planilha1!$F522))</f>
        <v>Fibra</v>
      </c>
      <c r="J522" s="3">
        <f ca="1">IF([1]Planilha1!$G522="","",[1]Planilha1!$G522)</f>
        <v>600</v>
      </c>
      <c r="K522" s="4" cm="1">
        <f t="array" aca="1" ref="K522" ca="1">IFERROR(VALUE(_xlfn.REGEXEXTRACT([1]Planilha1!$E522,"\+\s*(\d+)GB",2)),"")</f>
        <v>100</v>
      </c>
      <c r="L522" s="5">
        <f ca="1">IF([1]Planilha1!$H522="","",[1]Planilha1!$H522)</f>
        <v>159.9</v>
      </c>
      <c r="M522" s="5" t="str">
        <f ca="1">IF([1]Planilha1!$I522="","",[1]Planilha1!$I522)</f>
        <v/>
      </c>
      <c r="N522" s="2" t="str" cm="1">
        <f t="array" aca="1" ref="N522" ca="1">IFERROR(VALUE(_xlfn.REGEXEXTRACT([1]Planilha1!$E522,"(\d+)\s*MESES",2)),IFERROR(VALUE(_xlfn.REGEXEXTRACT([1]Planilha1!$E522,"por\s*(\d+)\s*M",2)),IF(_xlfn.REGEXTEST([1]Planilha1!$E522,"1[ºª]"),1,"")))</f>
        <v/>
      </c>
      <c r="O522" s="6">
        <f t="shared" ca="1" si="39"/>
        <v>0.26650000000000001</v>
      </c>
      <c r="P522" t="str">
        <f ca="1">IF([1]Planilha1!$J522="","",TRIM([1]Planilha1!$J522))</f>
        <v>GLOBOPLAY</v>
      </c>
      <c r="Q522" s="7" t="str">
        <f>IF($D522="Claro","",IFERROR($L522-VLOOKUP($B522&amp;"|Claro",[1]AUX_CLARO!$A:$C,2,FALSE),""))</f>
        <v/>
      </c>
      <c r="R522" s="8" t="str">
        <f>IF($D522="Claro","",IFERROR($J522-VLOOKUP($B522&amp;"|Claro",[1]AUX_CLARO!$A:$C,3,FALSE),""))</f>
        <v/>
      </c>
      <c r="S522" t="str">
        <f t="shared" si="40"/>
        <v/>
      </c>
      <c r="T522" t="str">
        <f t="shared" si="41"/>
        <v/>
      </c>
      <c r="U522" s="9">
        <f t="shared" si="42"/>
        <v>46174</v>
      </c>
      <c r="V522" t="str">
        <f ca="1">IF(OR([1]Planilha1!$B522="",[1]Planilha1!$B522="NÃO MAPEADO"),"",TRIM([1]Planilha1!$B522))</f>
        <v>LITORAL</v>
      </c>
      <c r="W522" t="str">
        <f ca="1">IF([1]Planilha1!$C522="","",TRIM([1]Planilha1!$C522))</f>
        <v>PADRÃO</v>
      </c>
      <c r="X522" t="str">
        <f ca="1">IFERROR(VLOOKUP($C522,[1]Planilha2!$B:$H,7,FALSE),"")</f>
        <v>12000-001</v>
      </c>
    </row>
    <row r="523" spans="1:24" x14ac:dyDescent="0.35">
      <c r="A523" t="str">
        <f ca="1">IF(LEFT(TEXT([1]Planilha1!$L523,"0000000"),1)="5","MS","SP")</f>
        <v>SP</v>
      </c>
      <c r="B523" t="str">
        <f ca="1">IF(RIGHT([1]Planilha1!$A523,5)=" - MS",LEFT([1]Planilha1!$A523,LEN([1]Planilha1!$A523)-5),TRIM([1]Planilha1!$A523))</f>
        <v>TAUBATE</v>
      </c>
      <c r="C523" s="2">
        <f ca="1">[1]Planilha1!$L523</f>
        <v>3554102</v>
      </c>
      <c r="D523" t="str">
        <f>TRIM([1]Planilha1!$D523)</f>
        <v>Vivo</v>
      </c>
      <c r="E523" t="str">
        <f>IF(TRIM([1]Planilha1!$D523)="Claro","Claro","Concorrente")</f>
        <v>Concorrente</v>
      </c>
      <c r="F523" t="s">
        <v>25</v>
      </c>
      <c r="G523" t="str">
        <f t="shared" ca="1" si="38"/>
        <v>Banda Larga + Movel</v>
      </c>
      <c r="H523" t="s">
        <v>26</v>
      </c>
      <c r="I523" t="str">
        <f ca="1">IF([1]Planilha1!$F523="","",TRIM([1]Planilha1!$F523))</f>
        <v>Fibra</v>
      </c>
      <c r="J523" s="11" t="s">
        <v>27</v>
      </c>
      <c r="K523" s="4" cm="1">
        <f t="array" aca="1" ref="K523" ca="1">IFERROR(VALUE(_xlfn.REGEXEXTRACT([1]Planilha1!$E523,"\+\s*(\d+)GB",2)),"")</f>
        <v>70</v>
      </c>
      <c r="L523" s="5">
        <v>160</v>
      </c>
      <c r="M523" s="5" t="str">
        <f ca="1">IF([1]Planilha1!$I523="","",[1]Planilha1!$I523)</f>
        <v/>
      </c>
      <c r="N523" s="2" t="str" cm="1">
        <f t="array" aca="1" ref="N523" ca="1">IFERROR(VALUE(_xlfn.REGEXEXTRACT([1]Planilha1!$E523,"(\d+)\s*MESES",2)),IFERROR(VALUE(_xlfn.REGEXEXTRACT([1]Planilha1!$E523,"por\s*(\d+)\s*M",2)),IF(_xlfn.REGEXTEST([1]Planilha1!$E523,"1[ºª]"),1,"")))</f>
        <v/>
      </c>
      <c r="O523" s="6" t="str">
        <f t="shared" si="39"/>
        <v/>
      </c>
      <c r="P523" t="str">
        <f ca="1">IF([1]Planilha1!$J523="","",TRIM([1]Planilha1!$J523))</f>
        <v>0</v>
      </c>
      <c r="Q523" s="7">
        <f ca="1">IF($D523="Claro","",IFERROR($L523-VLOOKUP($B523&amp;"|Claro",[1]AUX_CLARO!$A:$C,2,FALSE),""))</f>
        <v>9.9999999999994316E-2</v>
      </c>
      <c r="R523" s="8" t="str">
        <f ca="1">IF($D523="Claro","",IFERROR($J523-VLOOKUP($B523&amp;"|Claro",[1]AUX_CLARO!$A:$C,3,FALSE),""))</f>
        <v/>
      </c>
      <c r="S523" t="str">
        <f t="shared" ca="1" si="40"/>
        <v>Claro mais barata</v>
      </c>
      <c r="T523" t="str">
        <f t="shared" ca="1" si="41"/>
        <v/>
      </c>
      <c r="U523" s="9">
        <f t="shared" si="42"/>
        <v>46174</v>
      </c>
      <c r="V523" t="str">
        <f ca="1">IF(OR([1]Planilha1!$B523="",[1]Planilha1!$B523="NÃO MAPEADO"),"",TRIM([1]Planilha1!$B523))</f>
        <v>LITORAL</v>
      </c>
      <c r="W523" t="str">
        <f ca="1">IF([1]Planilha1!$C523="","",TRIM([1]Planilha1!$C523))</f>
        <v>PADRÃO</v>
      </c>
      <c r="X523" t="str">
        <f ca="1">IFERROR(VLOOKUP($C523,[1]Planilha2!$B:$H,7,FALSE),"")</f>
        <v>12000-001</v>
      </c>
    </row>
    <row r="524" spans="1:24" x14ac:dyDescent="0.35">
      <c r="A524" t="str">
        <f ca="1">IF(LEFT(TEXT([1]Planilha1!$L524,"0000000"),1)="5","MS","SP")</f>
        <v>SP</v>
      </c>
      <c r="B524" t="str">
        <f ca="1">IF(RIGHT([1]Planilha1!$A524,5)=" - MS",LEFT([1]Planilha1!$A524,LEN([1]Planilha1!$A524)-5),TRIM([1]Planilha1!$A524))</f>
        <v>TAUBATE</v>
      </c>
      <c r="C524" s="2">
        <f ca="1">[1]Planilha1!$L524</f>
        <v>3554102</v>
      </c>
      <c r="D524" t="str">
        <f>TRIM([1]Planilha1!$D524)</f>
        <v>Desktop</v>
      </c>
      <c r="E524" t="str">
        <f>IF(TRIM([1]Planilha1!$D524)="Claro","Claro","Concorrente")</f>
        <v>Concorrente</v>
      </c>
      <c r="F524" t="s">
        <v>29</v>
      </c>
      <c r="G524" t="str">
        <f t="shared" ca="1" si="38"/>
        <v>Banda Larga + Conteudo</v>
      </c>
      <c r="H524" t="str">
        <f ca="1">TRIM([1]Planilha1!$E524)</f>
        <v>600M=R$49,99 por 2M, após R$89,99</v>
      </c>
      <c r="I524" t="str">
        <f ca="1">IF([1]Planilha1!$F524="","",TRIM([1]Planilha1!$F524))</f>
        <v>Fibra</v>
      </c>
      <c r="J524" s="3">
        <f ca="1">IF([1]Planilha1!$G524="","",[1]Planilha1!$G524)</f>
        <v>600</v>
      </c>
      <c r="K524" s="4" t="str" cm="1">
        <f t="array" aca="1" ref="K524" ca="1">IFERROR(VALUE(_xlfn.REGEXEXTRACT([1]Planilha1!$E524,"\+\s*(\d+)GB",2)),"")</f>
        <v/>
      </c>
      <c r="L524" s="5">
        <f ca="1">IF([1]Planilha1!$H524="","",[1]Planilha1!$H524)</f>
        <v>89.99</v>
      </c>
      <c r="M524" s="5">
        <f ca="1">IF([1]Planilha1!$I524="","",[1]Planilha1!$I524)</f>
        <v>49.99</v>
      </c>
      <c r="N524" s="2" cm="1">
        <f t="array" aca="1" ref="N524" ca="1">IFERROR(VALUE(_xlfn.REGEXEXTRACT([1]Planilha1!$E524,"(\d+)\s*MESES",2)),IFERROR(VALUE(_xlfn.REGEXEXTRACT([1]Planilha1!$E524,"por\s*(\d+)\s*M",2)),IF(_xlfn.REGEXTEST([1]Planilha1!$E524,"1[ºª]"),1,"")))</f>
        <v>2</v>
      </c>
      <c r="O524" s="6">
        <f t="shared" ca="1" si="39"/>
        <v>0.14998333333333333</v>
      </c>
      <c r="P524" t="str">
        <f ca="1">IF([1]Planilha1!$J524="","",TRIM([1]Planilha1!$J524))</f>
        <v>0</v>
      </c>
      <c r="Q524" s="7">
        <f ca="1">IF($D524="Claro","",IFERROR($L524-VLOOKUP($B524&amp;"|Claro",[1]AUX_CLARO!$A:$C,2,FALSE),""))</f>
        <v>-69.910000000000011</v>
      </c>
      <c r="R524" s="8">
        <f ca="1">IF($D524="Claro","",IFERROR($J524-VLOOKUP($B524&amp;"|Claro",[1]AUX_CLARO!$A:$C,3,FALSE),""))</f>
        <v>0</v>
      </c>
      <c r="S524" t="str">
        <f t="shared" ca="1" si="40"/>
        <v>Claro mais cara</v>
      </c>
      <c r="T524" t="str">
        <f t="shared" ca="1" si="41"/>
        <v>Mesma velocidade</v>
      </c>
      <c r="U524" s="9">
        <f t="shared" si="42"/>
        <v>46174</v>
      </c>
      <c r="V524" t="str">
        <f ca="1">IF(OR([1]Planilha1!$B524="",[1]Planilha1!$B524="NÃO MAPEADO"),"",TRIM([1]Planilha1!$B524))</f>
        <v>LITORAL</v>
      </c>
      <c r="W524" t="str">
        <f ca="1">IF([1]Planilha1!$C524="","",TRIM([1]Planilha1!$C524))</f>
        <v>PADRÃO</v>
      </c>
      <c r="X524" t="str">
        <f ca="1">IFERROR(VLOOKUP($C524,[1]Planilha2!$B:$H,7,FALSE),"")</f>
        <v>12000-001</v>
      </c>
    </row>
    <row r="525" spans="1:24" x14ac:dyDescent="0.35">
      <c r="A525" t="str">
        <f ca="1">IF(LEFT(TEXT([1]Planilha1!$L525,"0000000"),1)="5","MS","SP")</f>
        <v>SP</v>
      </c>
      <c r="B525" t="str">
        <f ca="1">IF(RIGHT([1]Planilha1!$A525,5)=" - MS",LEFT([1]Planilha1!$A525,LEN([1]Planilha1!$A525)-5),TRIM([1]Planilha1!$A525))</f>
        <v>TAUBATE</v>
      </c>
      <c r="C525" s="2">
        <f ca="1">[1]Planilha1!$L525</f>
        <v>3554102</v>
      </c>
      <c r="D525" t="str">
        <f>TRIM([1]Planilha1!$D525)</f>
        <v>ISP LOCAL</v>
      </c>
      <c r="E525" t="str">
        <f>IF(TRIM([1]Planilha1!$D525)="Claro","Claro","Concorrente")</f>
        <v>Concorrente</v>
      </c>
      <c r="F525" t="s">
        <v>28</v>
      </c>
      <c r="G525" t="str">
        <f t="shared" ca="1" si="38"/>
        <v>Banda Larga + Conteudo</v>
      </c>
      <c r="H525" t="str">
        <f ca="1">TRIM([1]Planilha1!$E525)</f>
        <v>CABONNET - 600M R$49,95 - 3 MESES, APÓS R$99,90</v>
      </c>
      <c r="I525" t="str">
        <f ca="1">IF([1]Planilha1!$F525="","",TRIM([1]Planilha1!$F525))</f>
        <v>Fibra</v>
      </c>
      <c r="J525" s="3">
        <f ca="1">IF([1]Planilha1!$G525="","",[1]Planilha1!$G525)</f>
        <v>600</v>
      </c>
      <c r="K525" s="4" t="str" cm="1">
        <f t="array" aca="1" ref="K525" ca="1">IFERROR(VALUE(_xlfn.REGEXEXTRACT([1]Planilha1!$E525,"\+\s*(\d+)GB",2)),"")</f>
        <v/>
      </c>
      <c r="L525" s="5">
        <f ca="1">IF([1]Planilha1!$H525="","",[1]Planilha1!$H525)</f>
        <v>99.9</v>
      </c>
      <c r="M525" s="5">
        <f ca="1">IF([1]Planilha1!$I525="","",[1]Planilha1!$I525)</f>
        <v>49.95</v>
      </c>
      <c r="N525" s="2" cm="1">
        <f t="array" aca="1" ref="N525" ca="1">IFERROR(VALUE(_xlfn.REGEXEXTRACT([1]Planilha1!$E525,"(\d+)\s*MESES",2)),IFERROR(VALUE(_xlfn.REGEXEXTRACT([1]Planilha1!$E525,"por\s*(\d+)\s*M",2)),IF(_xlfn.REGEXTEST([1]Planilha1!$E525,"1[ºª]"),1,"")))</f>
        <v>3</v>
      </c>
      <c r="O525" s="6">
        <f t="shared" ca="1" si="39"/>
        <v>0.16650000000000001</v>
      </c>
      <c r="P525" t="str">
        <f ca="1">IF([1]Planilha1!$J525="","",TRIM([1]Planilha1!$J525))</f>
        <v>0</v>
      </c>
      <c r="Q525" s="7">
        <f ca="1">IF($D525="Claro","",IFERROR($L525-VLOOKUP($B525&amp;"|Claro",[1]AUX_CLARO!$A:$C,2,FALSE),""))</f>
        <v>-60</v>
      </c>
      <c r="R525" s="8">
        <f ca="1">IF($D525="Claro","",IFERROR($J525-VLOOKUP($B525&amp;"|Claro",[1]AUX_CLARO!$A:$C,3,FALSE),""))</f>
        <v>0</v>
      </c>
      <c r="S525" t="str">
        <f t="shared" ca="1" si="40"/>
        <v>Claro mais cara</v>
      </c>
      <c r="T525" t="str">
        <f t="shared" ca="1" si="41"/>
        <v>Mesma velocidade</v>
      </c>
      <c r="U525" s="9">
        <f t="shared" si="42"/>
        <v>46174</v>
      </c>
      <c r="V525" t="str">
        <f ca="1">IF(OR([1]Planilha1!$B525="",[1]Planilha1!$B525="NÃO MAPEADO"),"",TRIM([1]Planilha1!$B525))</f>
        <v>LITORAL</v>
      </c>
      <c r="W525" t="str">
        <f ca="1">IF([1]Planilha1!$C525="","",TRIM([1]Planilha1!$C525))</f>
        <v>PADRÃO</v>
      </c>
      <c r="X525" t="str">
        <f ca="1">IFERROR(VLOOKUP($C525,[1]Planilha2!$B:$H,7,FALSE),"")</f>
        <v>12000-001</v>
      </c>
    </row>
    <row r="526" spans="1:24" x14ac:dyDescent="0.35">
      <c r="A526" t="str">
        <f ca="1">IF(LEFT(TEXT([1]Planilha1!$L526,"0000000"),1)="5","MS","SP")</f>
        <v>SP</v>
      </c>
      <c r="B526" t="str">
        <f ca="1">IF(RIGHT([1]Planilha1!$A526,5)=" - MS",LEFT([1]Planilha1!$A526,LEN([1]Planilha1!$A526)-5),TRIM([1]Planilha1!$A526))</f>
        <v>TIETE</v>
      </c>
      <c r="C526" s="2">
        <f ca="1">[1]Planilha1!$L526</f>
        <v>3554508</v>
      </c>
      <c r="D526" t="str">
        <f>TRIM([1]Planilha1!$D526)</f>
        <v>Claro</v>
      </c>
      <c r="E526" t="str">
        <f>IF(TRIM([1]Planilha1!$D526)="Claro","Claro","Concorrente")</f>
        <v>Claro</v>
      </c>
      <c r="F526" t="s">
        <v>24</v>
      </c>
      <c r="G526" t="str">
        <f t="shared" ca="1" si="38"/>
        <v>Banda Larga + Movel</v>
      </c>
      <c r="H526" t="str">
        <f ca="1">TRIM([1]Planilha1!$E526)</f>
        <v>600M+100GB=R$159,90</v>
      </c>
      <c r="I526" t="str">
        <f ca="1">IF([1]Planilha1!$F526="","",TRIM([1]Planilha1!$F526))</f>
        <v>Fibra</v>
      </c>
      <c r="J526" s="3">
        <f ca="1">IF([1]Planilha1!$G526="","",[1]Planilha1!$G526)</f>
        <v>600</v>
      </c>
      <c r="K526" s="4" cm="1">
        <f t="array" aca="1" ref="K526" ca="1">IFERROR(VALUE(_xlfn.REGEXEXTRACT([1]Planilha1!$E526,"\+\s*(\d+)GB",2)),"")</f>
        <v>100</v>
      </c>
      <c r="L526" s="5">
        <f ca="1">IF([1]Planilha1!$H526="","",[1]Planilha1!$H526)</f>
        <v>159.9</v>
      </c>
      <c r="M526" s="5" t="str">
        <f ca="1">IF([1]Planilha1!$I526="","",[1]Planilha1!$I526)</f>
        <v/>
      </c>
      <c r="N526" s="2" t="str" cm="1">
        <f t="array" aca="1" ref="N526" ca="1">IFERROR(VALUE(_xlfn.REGEXEXTRACT([1]Planilha1!$E526,"(\d+)\s*MESES",2)),IFERROR(VALUE(_xlfn.REGEXEXTRACT([1]Planilha1!$E526,"por\s*(\d+)\s*M",2)),IF(_xlfn.REGEXTEST([1]Planilha1!$E526,"1[ºª]"),1,"")))</f>
        <v/>
      </c>
      <c r="O526" s="6">
        <f t="shared" ca="1" si="39"/>
        <v>0.26650000000000001</v>
      </c>
      <c r="P526" t="str">
        <f ca="1">IF([1]Planilha1!$J526="","",TRIM([1]Planilha1!$J526))</f>
        <v>GLOBOPLAY</v>
      </c>
      <c r="Q526" s="7" t="str">
        <f>IF($D526="Claro","",IFERROR($L526-VLOOKUP($B526&amp;"|Claro",[1]AUX_CLARO!$A:$C,2,FALSE),""))</f>
        <v/>
      </c>
      <c r="R526" s="8" t="str">
        <f>IF($D526="Claro","",IFERROR($J526-VLOOKUP($B526&amp;"|Claro",[1]AUX_CLARO!$A:$C,3,FALSE),""))</f>
        <v/>
      </c>
      <c r="S526" t="str">
        <f t="shared" si="40"/>
        <v/>
      </c>
      <c r="T526" t="str">
        <f t="shared" si="41"/>
        <v/>
      </c>
      <c r="U526" s="9">
        <f t="shared" si="42"/>
        <v>46174</v>
      </c>
      <c r="V526" t="str">
        <f ca="1">IF(OR([1]Planilha1!$B526="",[1]Planilha1!$B526="NÃO MAPEADO"),"",TRIM([1]Planilha1!$B526))</f>
        <v>OESTE</v>
      </c>
      <c r="W526" t="str">
        <f ca="1">IF([1]Planilha1!$C526="","",TRIM([1]Planilha1!$C526))</f>
        <v>PADRÃO</v>
      </c>
      <c r="X526" t="str">
        <f ca="1">IFERROR(VLOOKUP($C526,[1]Planilha2!$B:$H,7,FALSE),"")</f>
        <v>18530-001</v>
      </c>
    </row>
    <row r="527" spans="1:24" x14ac:dyDescent="0.35">
      <c r="A527" t="str">
        <f ca="1">IF(LEFT(TEXT([1]Planilha1!$L527,"0000000"),1)="5","MS","SP")</f>
        <v>SP</v>
      </c>
      <c r="B527" t="str">
        <f ca="1">IF(RIGHT([1]Planilha1!$A527,5)=" - MS",LEFT([1]Planilha1!$A527,LEN([1]Planilha1!$A527)-5),TRIM([1]Planilha1!$A527))</f>
        <v>TIETE</v>
      </c>
      <c r="C527" s="2">
        <f ca="1">[1]Planilha1!$L527</f>
        <v>3554508</v>
      </c>
      <c r="D527" t="str">
        <f>TRIM([1]Planilha1!$D527)</f>
        <v>Vivo</v>
      </c>
      <c r="E527" t="str">
        <f>IF(TRIM([1]Planilha1!$D527)="Claro","Claro","Concorrente")</f>
        <v>Concorrente</v>
      </c>
      <c r="F527" t="s">
        <v>25</v>
      </c>
      <c r="G527" t="str">
        <f t="shared" ca="1" si="38"/>
        <v>Banda Larga + Movel</v>
      </c>
      <c r="H527" t="s">
        <v>26</v>
      </c>
      <c r="I527" t="str">
        <f ca="1">IF([1]Planilha1!$F527="","",TRIM([1]Planilha1!$F527))</f>
        <v>Fibra</v>
      </c>
      <c r="J527" s="11" t="s">
        <v>27</v>
      </c>
      <c r="K527" s="4" cm="1">
        <f t="array" aca="1" ref="K527" ca="1">IFERROR(VALUE(_xlfn.REGEXEXTRACT([1]Planilha1!$E527,"\+\s*(\d+)GB",2)),"")</f>
        <v>70</v>
      </c>
      <c r="L527" s="5">
        <v>160</v>
      </c>
      <c r="M527" s="5" t="str">
        <f ca="1">IF([1]Planilha1!$I527="","",[1]Planilha1!$I527)</f>
        <v/>
      </c>
      <c r="N527" s="2" t="str" cm="1">
        <f t="array" aca="1" ref="N527" ca="1">IFERROR(VALUE(_xlfn.REGEXEXTRACT([1]Planilha1!$E527,"(\d+)\s*MESES",2)),IFERROR(VALUE(_xlfn.REGEXEXTRACT([1]Planilha1!$E527,"por\s*(\d+)\s*M",2)),IF(_xlfn.REGEXTEST([1]Planilha1!$E527,"1[ºª]"),1,"")))</f>
        <v/>
      </c>
      <c r="O527" s="6" t="str">
        <f t="shared" si="39"/>
        <v/>
      </c>
      <c r="P527" t="str">
        <f ca="1">IF([1]Planilha1!$J527="","",TRIM([1]Planilha1!$J527))</f>
        <v>0</v>
      </c>
      <c r="Q527" s="7">
        <f ca="1">IF($D527="Claro","",IFERROR($L527-VLOOKUP($B527&amp;"|Claro",[1]AUX_CLARO!$A:$C,2,FALSE),""))</f>
        <v>9.9999999999994316E-2</v>
      </c>
      <c r="R527" s="8" t="str">
        <f ca="1">IF($D527="Claro","",IFERROR($J527-VLOOKUP($B527&amp;"|Claro",[1]AUX_CLARO!$A:$C,3,FALSE),""))</f>
        <v/>
      </c>
      <c r="S527" t="str">
        <f t="shared" ca="1" si="40"/>
        <v>Claro mais barata</v>
      </c>
      <c r="T527" t="str">
        <f t="shared" ca="1" si="41"/>
        <v/>
      </c>
      <c r="U527" s="9">
        <f t="shared" si="42"/>
        <v>46174</v>
      </c>
      <c r="V527" t="str">
        <f ca="1">IF(OR([1]Planilha1!$B527="",[1]Planilha1!$B527="NÃO MAPEADO"),"",TRIM([1]Planilha1!$B527))</f>
        <v>OESTE</v>
      </c>
      <c r="W527" t="str">
        <f ca="1">IF([1]Planilha1!$C527="","",TRIM([1]Planilha1!$C527))</f>
        <v>PADRÃO</v>
      </c>
      <c r="X527" t="str">
        <f ca="1">IFERROR(VLOOKUP($C527,[1]Planilha2!$B:$H,7,FALSE),"")</f>
        <v>18530-001</v>
      </c>
    </row>
    <row r="528" spans="1:24" x14ac:dyDescent="0.35">
      <c r="A528" t="str">
        <f ca="1">IF(LEFT(TEXT([1]Planilha1!$L528,"0000000"),1)="5","MS","SP")</f>
        <v>SP</v>
      </c>
      <c r="B528" t="str">
        <f ca="1">IF(RIGHT([1]Planilha1!$A528,5)=" - MS",LEFT([1]Planilha1!$A528,LEN([1]Planilha1!$A528)-5),TRIM([1]Planilha1!$A528))</f>
        <v>TIETE</v>
      </c>
      <c r="C528" s="2">
        <f ca="1">[1]Planilha1!$L528</f>
        <v>3554508</v>
      </c>
      <c r="D528" t="str">
        <f>TRIM([1]Planilha1!$D528)</f>
        <v>Desktop</v>
      </c>
      <c r="E528" t="str">
        <f>IF(TRIM([1]Planilha1!$D528)="Claro","Claro","Concorrente")</f>
        <v>Concorrente</v>
      </c>
      <c r="F528" t="s">
        <v>29</v>
      </c>
      <c r="G528" t="str">
        <f t="shared" ca="1" si="38"/>
        <v>Banda Larga + Movel</v>
      </c>
      <c r="H528" t="str">
        <f ca="1">TRIM([1]Planilha1!$E528)</f>
        <v>600M+15GB=R$129,99 - 6 MESES, APÓS R$139,99</v>
      </c>
      <c r="I528" t="str">
        <f ca="1">IF([1]Planilha1!$F528="","",TRIM([1]Planilha1!$F528))</f>
        <v>Fibra</v>
      </c>
      <c r="J528" s="3">
        <f ca="1">IF([1]Planilha1!$G528="","",[1]Planilha1!$G528)</f>
        <v>600</v>
      </c>
      <c r="K528" s="4" cm="1">
        <f t="array" aca="1" ref="K528" ca="1">IFERROR(VALUE(_xlfn.REGEXEXTRACT([1]Planilha1!$E528,"\+\s*(\d+)GB",2)),"")</f>
        <v>15</v>
      </c>
      <c r="L528" s="5">
        <f ca="1">IF([1]Planilha1!$H528="","",[1]Planilha1!$H528)</f>
        <v>139.99</v>
      </c>
      <c r="M528" s="5">
        <f ca="1">IF([1]Planilha1!$I528="","",[1]Planilha1!$I528)</f>
        <v>129.99</v>
      </c>
      <c r="N528" s="2" cm="1">
        <f t="array" aca="1" ref="N528" ca="1">IFERROR(VALUE(_xlfn.REGEXEXTRACT([1]Planilha1!$E528,"(\d+)\s*MESES",2)),IFERROR(VALUE(_xlfn.REGEXEXTRACT([1]Planilha1!$E528,"por\s*(\d+)\s*M",2)),IF(_xlfn.REGEXTEST([1]Planilha1!$E528,"1[ºª]"),1,"")))</f>
        <v>6</v>
      </c>
      <c r="O528" s="6">
        <f t="shared" ca="1" si="39"/>
        <v>0.23331666666666667</v>
      </c>
      <c r="P528" t="str">
        <f ca="1">IF([1]Planilha1!$J528="","",TRIM([1]Planilha1!$J528))</f>
        <v>0</v>
      </c>
      <c r="Q528" s="7">
        <f ca="1">IF($D528="Claro","",IFERROR($L528-VLOOKUP($B528&amp;"|Claro",[1]AUX_CLARO!$A:$C,2,FALSE),""))</f>
        <v>-19.909999999999997</v>
      </c>
      <c r="R528" s="8">
        <f ca="1">IF($D528="Claro","",IFERROR($J528-VLOOKUP($B528&amp;"|Claro",[1]AUX_CLARO!$A:$C,3,FALSE),""))</f>
        <v>0</v>
      </c>
      <c r="S528" t="str">
        <f t="shared" ca="1" si="40"/>
        <v>Claro mais cara</v>
      </c>
      <c r="T528" t="str">
        <f t="shared" ca="1" si="41"/>
        <v>Mesma velocidade</v>
      </c>
      <c r="U528" s="9">
        <f t="shared" si="42"/>
        <v>46174</v>
      </c>
      <c r="V528" t="str">
        <f ca="1">IF(OR([1]Planilha1!$B528="",[1]Planilha1!$B528="NÃO MAPEADO"),"",TRIM([1]Planilha1!$B528))</f>
        <v>OESTE</v>
      </c>
      <c r="W528" t="str">
        <f ca="1">IF([1]Planilha1!$C528="","",TRIM([1]Planilha1!$C528))</f>
        <v>PADRÃO</v>
      </c>
      <c r="X528" t="str">
        <f ca="1">IFERROR(VLOOKUP($C528,[1]Planilha2!$B:$H,7,FALSE),"")</f>
        <v>18530-001</v>
      </c>
    </row>
    <row r="529" spans="1:24" x14ac:dyDescent="0.35">
      <c r="A529" t="str">
        <f ca="1">IF(LEFT(TEXT([1]Planilha1!$L529,"0000000"),1)="5","MS","SP")</f>
        <v>SP</v>
      </c>
      <c r="B529" t="str">
        <f ca="1">IF(RIGHT([1]Planilha1!$A529,5)=" - MS",LEFT([1]Planilha1!$A529,LEN([1]Planilha1!$A529)-5),TRIM([1]Planilha1!$A529))</f>
        <v>TIETE</v>
      </c>
      <c r="C529" s="2">
        <f ca="1">[1]Planilha1!$L529</f>
        <v>3554508</v>
      </c>
      <c r="D529" t="str">
        <f>TRIM([1]Planilha1!$D529)</f>
        <v>ISP LOCAL</v>
      </c>
      <c r="E529" t="str">
        <f>IF(TRIM([1]Planilha1!$D529)="Claro","Claro","Concorrente")</f>
        <v>Concorrente</v>
      </c>
      <c r="F529" t="s">
        <v>42</v>
      </c>
      <c r="G529" t="str">
        <f t="shared" ca="1" si="38"/>
        <v>Banda Larga + Conteudo</v>
      </c>
      <c r="H529" t="str">
        <f ca="1">TRIM([1]Planilha1!$E529)</f>
        <v>ZAAZ - 600M R$99,90</v>
      </c>
      <c r="I529" t="str">
        <f ca="1">IF([1]Planilha1!$F529="","",TRIM([1]Planilha1!$F529))</f>
        <v>Fibra</v>
      </c>
      <c r="J529" s="3">
        <f ca="1">IF([1]Planilha1!$G529="","",[1]Planilha1!$G529)</f>
        <v>600</v>
      </c>
      <c r="K529" s="4" t="str" cm="1">
        <f t="array" aca="1" ref="K529" ca="1">IFERROR(VALUE(_xlfn.REGEXEXTRACT([1]Planilha1!$E529,"\+\s*(\d+)GB",2)),"")</f>
        <v/>
      </c>
      <c r="L529" s="5">
        <f ca="1">IF([1]Planilha1!$H529="","",[1]Planilha1!$H529)</f>
        <v>99.9</v>
      </c>
      <c r="M529" s="5" t="str">
        <f ca="1">IF([1]Planilha1!$I529="","",[1]Planilha1!$I529)</f>
        <v/>
      </c>
      <c r="N529" s="2" t="str" cm="1">
        <f t="array" aca="1" ref="N529" ca="1">IFERROR(VALUE(_xlfn.REGEXEXTRACT([1]Planilha1!$E529,"(\d+)\s*MESES",2)),IFERROR(VALUE(_xlfn.REGEXEXTRACT([1]Planilha1!$E529,"por\s*(\d+)\s*M",2)),IF(_xlfn.REGEXTEST([1]Planilha1!$E529,"1[ºª]"),1,"")))</f>
        <v/>
      </c>
      <c r="O529" s="6">
        <f t="shared" ca="1" si="39"/>
        <v>0.16650000000000001</v>
      </c>
      <c r="P529" t="str">
        <f ca="1">IF([1]Planilha1!$J529="","",TRIM([1]Planilha1!$J529))</f>
        <v>0</v>
      </c>
      <c r="Q529" s="7">
        <f ca="1">IF($D529="Claro","",IFERROR($L529-VLOOKUP($B529&amp;"|Claro",[1]AUX_CLARO!$A:$C,2,FALSE),""))</f>
        <v>-60</v>
      </c>
      <c r="R529" s="8">
        <f ca="1">IF($D529="Claro","",IFERROR($J529-VLOOKUP($B529&amp;"|Claro",[1]AUX_CLARO!$A:$C,3,FALSE),""))</f>
        <v>0</v>
      </c>
      <c r="S529" t="str">
        <f t="shared" ca="1" si="40"/>
        <v>Claro mais cara</v>
      </c>
      <c r="T529" t="str">
        <f t="shared" ca="1" si="41"/>
        <v>Mesma velocidade</v>
      </c>
      <c r="U529" s="9">
        <f t="shared" si="42"/>
        <v>46174</v>
      </c>
      <c r="V529" t="str">
        <f ca="1">IF(OR([1]Planilha1!$B529="",[1]Planilha1!$B529="NÃO MAPEADO"),"",TRIM([1]Planilha1!$B529))</f>
        <v>OESTE</v>
      </c>
      <c r="W529" t="str">
        <f ca="1">IF([1]Planilha1!$C529="","",TRIM([1]Planilha1!$C529))</f>
        <v>PADRÃO</v>
      </c>
      <c r="X529" t="str">
        <f ca="1">IFERROR(VLOOKUP($C529,[1]Planilha2!$B:$H,7,FALSE),"")</f>
        <v>18530-001</v>
      </c>
    </row>
    <row r="530" spans="1:24" x14ac:dyDescent="0.35">
      <c r="A530" t="str">
        <f ca="1">IF(LEFT(TEXT([1]Planilha1!$L530,"0000000"),1)="5","MS","SP")</f>
        <v>SP</v>
      </c>
      <c r="B530" t="str">
        <f ca="1">IF(RIGHT([1]Planilha1!$A530,5)=" - MS",LEFT([1]Planilha1!$A530,LEN([1]Planilha1!$A530)-5),TRIM([1]Planilha1!$A530))</f>
        <v>TREMEMBE</v>
      </c>
      <c r="C530" s="2">
        <f ca="1">[1]Planilha1!$L530</f>
        <v>3554805</v>
      </c>
      <c r="D530" t="str">
        <f>TRIM([1]Planilha1!$D530)</f>
        <v>Claro</v>
      </c>
      <c r="E530" t="str">
        <f>IF(TRIM([1]Planilha1!$D530)="Claro","Claro","Concorrente")</f>
        <v>Claro</v>
      </c>
      <c r="F530" t="s">
        <v>24</v>
      </c>
      <c r="G530" t="str">
        <f t="shared" ca="1" si="38"/>
        <v>Banda Larga + Movel</v>
      </c>
      <c r="H530" t="str">
        <f ca="1">TRIM([1]Planilha1!$E530)</f>
        <v>600M+100GB=R$119,90 por 6M, após R$139,90</v>
      </c>
      <c r="I530" t="str">
        <f ca="1">IF([1]Planilha1!$F530="","",TRIM([1]Planilha1!$F530))</f>
        <v>Fibra</v>
      </c>
      <c r="J530" s="3">
        <f ca="1">IF([1]Planilha1!$G530="","",[1]Planilha1!$G530)</f>
        <v>600</v>
      </c>
      <c r="K530" s="4" cm="1">
        <f t="array" aca="1" ref="K530" ca="1">IFERROR(VALUE(_xlfn.REGEXEXTRACT([1]Planilha1!$E530,"\+\s*(\d+)GB",2)),"")</f>
        <v>100</v>
      </c>
      <c r="L530" s="5">
        <f ca="1">IF([1]Planilha1!$H530="","",[1]Planilha1!$H530)</f>
        <v>139.9</v>
      </c>
      <c r="M530" s="5">
        <f ca="1">IF([1]Planilha1!$I530="","",[1]Planilha1!$I530)</f>
        <v>119.9</v>
      </c>
      <c r="N530" s="2" cm="1">
        <f t="array" aca="1" ref="N530" ca="1">IFERROR(VALUE(_xlfn.REGEXEXTRACT([1]Planilha1!$E530,"(\d+)\s*MESES",2)),IFERROR(VALUE(_xlfn.REGEXEXTRACT([1]Planilha1!$E530,"por\s*(\d+)\s*M",2)),IF(_xlfn.REGEXTEST([1]Planilha1!$E530,"1[ºª]"),1,"")))</f>
        <v>6</v>
      </c>
      <c r="O530" s="6">
        <f t="shared" ca="1" si="39"/>
        <v>0.23316666666666669</v>
      </c>
      <c r="P530" t="str">
        <f ca="1">IF([1]Planilha1!$J530="","",TRIM([1]Planilha1!$J530))</f>
        <v>GLOBOPLAY</v>
      </c>
      <c r="Q530" s="7" t="str">
        <f>IF($D530="Claro","",IFERROR($L530-VLOOKUP($B530&amp;"|Claro",[1]AUX_CLARO!$A:$C,2,FALSE),""))</f>
        <v/>
      </c>
      <c r="R530" s="8" t="str">
        <f>IF($D530="Claro","",IFERROR($J530-VLOOKUP($B530&amp;"|Claro",[1]AUX_CLARO!$A:$C,3,FALSE),""))</f>
        <v/>
      </c>
      <c r="S530" t="str">
        <f t="shared" si="40"/>
        <v/>
      </c>
      <c r="T530" t="str">
        <f t="shared" si="41"/>
        <v/>
      </c>
      <c r="U530" s="9">
        <f t="shared" si="42"/>
        <v>46174</v>
      </c>
      <c r="V530" t="str">
        <f ca="1">IF(OR([1]Planilha1!$B530="",[1]Planilha1!$B530="NÃO MAPEADO"),"",TRIM([1]Planilha1!$B530))</f>
        <v>SUDESTE</v>
      </c>
      <c r="W530" t="str">
        <f ca="1">IF([1]Planilha1!$C530="","",TRIM([1]Planilha1!$C530))</f>
        <v>MD 1</v>
      </c>
      <c r="X530" s="12" t="str">
        <f ca="1">IFERROR(VLOOKUP($C530,[1]Planilha2!$B:$H,7,FALSE),"")</f>
        <v>12120-001</v>
      </c>
    </row>
    <row r="531" spans="1:24" x14ac:dyDescent="0.35">
      <c r="A531" t="str">
        <f ca="1">IF(LEFT(TEXT([1]Planilha1!$L531,"0000000"),1)="5","MS","SP")</f>
        <v>SP</v>
      </c>
      <c r="B531" t="str">
        <f ca="1">IF(RIGHT([1]Planilha1!$A531,5)=" - MS",LEFT([1]Planilha1!$A531,LEN([1]Planilha1!$A531)-5),TRIM([1]Planilha1!$A531))</f>
        <v>TREMEMBE</v>
      </c>
      <c r="C531" s="2">
        <f ca="1">[1]Planilha1!$L531</f>
        <v>3554805</v>
      </c>
      <c r="D531" t="str">
        <f>TRIM([1]Planilha1!$D531)</f>
        <v>Vivo</v>
      </c>
      <c r="E531" t="str">
        <f>IF(TRIM([1]Planilha1!$D531)="Claro","Claro","Concorrente")</f>
        <v>Concorrente</v>
      </c>
      <c r="F531" t="s">
        <v>25</v>
      </c>
      <c r="G531" t="str">
        <f t="shared" ca="1" si="38"/>
        <v>Banda Larga + Movel</v>
      </c>
      <c r="H531" t="s">
        <v>26</v>
      </c>
      <c r="I531" t="str">
        <f ca="1">IF([1]Planilha1!$F531="","",TRIM([1]Planilha1!$F531))</f>
        <v>Fibra</v>
      </c>
      <c r="J531" s="11" t="s">
        <v>27</v>
      </c>
      <c r="K531" s="4" cm="1">
        <f t="array" aca="1" ref="K531" ca="1">IFERROR(VALUE(_xlfn.REGEXEXTRACT([1]Planilha1!$E531,"\+\s*(\d+)GB",2)),"")</f>
        <v>70</v>
      </c>
      <c r="L531" s="5">
        <v>160</v>
      </c>
      <c r="M531" s="5" t="str">
        <f ca="1">IF([1]Planilha1!$I531="","",[1]Planilha1!$I531)</f>
        <v/>
      </c>
      <c r="N531" s="2" t="str" cm="1">
        <f t="array" aca="1" ref="N531" ca="1">IFERROR(VALUE(_xlfn.REGEXEXTRACT([1]Planilha1!$E531,"(\d+)\s*MESES",2)),IFERROR(VALUE(_xlfn.REGEXEXTRACT([1]Planilha1!$E531,"por\s*(\d+)\s*M",2)),IF(_xlfn.REGEXTEST([1]Planilha1!$E531,"1[ºª]"),1,"")))</f>
        <v/>
      </c>
      <c r="O531" s="6" t="str">
        <f t="shared" si="39"/>
        <v/>
      </c>
      <c r="P531" t="str">
        <f ca="1">IF([1]Planilha1!$J531="","",TRIM([1]Planilha1!$J531))</f>
        <v>0</v>
      </c>
      <c r="Q531" s="7">
        <f ca="1">IF($D531="Claro","",IFERROR($L531-VLOOKUP($B531&amp;"|Claro",[1]AUX_CLARO!$A:$C,2,FALSE),""))</f>
        <v>20.099999999999994</v>
      </c>
      <c r="R531" s="8" t="str">
        <f ca="1">IF($D531="Claro","",IFERROR($J531-VLOOKUP($B531&amp;"|Claro",[1]AUX_CLARO!$A:$C,3,FALSE),""))</f>
        <v/>
      </c>
      <c r="S531" t="str">
        <f t="shared" ca="1" si="40"/>
        <v>Claro mais barata</v>
      </c>
      <c r="T531" t="str">
        <f t="shared" ca="1" si="41"/>
        <v/>
      </c>
      <c r="U531" s="9">
        <f t="shared" si="42"/>
        <v>46174</v>
      </c>
      <c r="V531" t="str">
        <f ca="1">IF(OR([1]Planilha1!$B531="",[1]Planilha1!$B531="NÃO MAPEADO"),"",TRIM([1]Planilha1!$B531))</f>
        <v>SUDESTE</v>
      </c>
      <c r="W531" t="str">
        <f ca="1">IF([1]Planilha1!$C531="","",TRIM([1]Planilha1!$C531))</f>
        <v>MD 1</v>
      </c>
      <c r="X531" s="12" t="str">
        <f ca="1">IFERROR(VLOOKUP($C531,[1]Planilha2!$B:$H,7,FALSE),"")</f>
        <v>12120-001</v>
      </c>
    </row>
    <row r="532" spans="1:24" x14ac:dyDescent="0.35">
      <c r="A532" t="str">
        <f ca="1">IF(LEFT(TEXT([1]Planilha1!$L532,"0000000"),1)="5","MS","SP")</f>
        <v>SP</v>
      </c>
      <c r="B532" t="str">
        <f ca="1">IF(RIGHT([1]Planilha1!$A532,5)=" - MS",LEFT([1]Planilha1!$A532,LEN([1]Planilha1!$A532)-5),TRIM([1]Planilha1!$A532))</f>
        <v>TREMEMBE</v>
      </c>
      <c r="C532" s="2">
        <f ca="1">[1]Planilha1!$L532</f>
        <v>3554805</v>
      </c>
      <c r="D532" t="str">
        <f>TRIM([1]Planilha1!$D532)</f>
        <v>Desktop</v>
      </c>
      <c r="E532" t="str">
        <f>IF(TRIM([1]Planilha1!$D532)="Claro","Claro","Concorrente")</f>
        <v>Concorrente</v>
      </c>
      <c r="F532" t="s">
        <v>29</v>
      </c>
      <c r="G532" t="str">
        <f t="shared" ca="1" si="38"/>
        <v>Banda Larga + Conteudo</v>
      </c>
      <c r="H532" t="str">
        <f ca="1">TRIM([1]Planilha1!$E532)</f>
        <v>600M=R$49,99 por 2M, após R$89,99</v>
      </c>
      <c r="I532" t="str">
        <f ca="1">IF([1]Planilha1!$F532="","",TRIM([1]Planilha1!$F532))</f>
        <v>Fibra</v>
      </c>
      <c r="J532" s="3">
        <f ca="1">IF([1]Planilha1!$G532="","",[1]Planilha1!$G532)</f>
        <v>600</v>
      </c>
      <c r="K532" s="4" t="str" cm="1">
        <f t="array" aca="1" ref="K532" ca="1">IFERROR(VALUE(_xlfn.REGEXEXTRACT([1]Planilha1!$E532,"\+\s*(\d+)GB",2)),"")</f>
        <v/>
      </c>
      <c r="L532" s="5">
        <f ca="1">IF([1]Planilha1!$H532="","",[1]Planilha1!$H532)</f>
        <v>89.99</v>
      </c>
      <c r="M532" s="5">
        <f ca="1">IF([1]Planilha1!$I532="","",[1]Planilha1!$I532)</f>
        <v>49.99</v>
      </c>
      <c r="N532" s="2" cm="1">
        <f t="array" aca="1" ref="N532" ca="1">IFERROR(VALUE(_xlfn.REGEXEXTRACT([1]Planilha1!$E532,"(\d+)\s*MESES",2)),IFERROR(VALUE(_xlfn.REGEXEXTRACT([1]Planilha1!$E532,"por\s*(\d+)\s*M",2)),IF(_xlfn.REGEXTEST([1]Planilha1!$E532,"1[ºª]"),1,"")))</f>
        <v>2</v>
      </c>
      <c r="O532" s="6">
        <f t="shared" ca="1" si="39"/>
        <v>0.14998333333333333</v>
      </c>
      <c r="P532" t="str">
        <f ca="1">IF([1]Planilha1!$J532="","",TRIM([1]Planilha1!$J532))</f>
        <v>0</v>
      </c>
      <c r="Q532" s="7">
        <f ca="1">IF($D532="Claro","",IFERROR($L532-VLOOKUP($B532&amp;"|Claro",[1]AUX_CLARO!$A:$C,2,FALSE),""))</f>
        <v>-49.910000000000011</v>
      </c>
      <c r="R532" s="8">
        <f ca="1">IF($D532="Claro","",IFERROR($J532-VLOOKUP($B532&amp;"|Claro",[1]AUX_CLARO!$A:$C,3,FALSE),""))</f>
        <v>0</v>
      </c>
      <c r="S532" t="str">
        <f t="shared" ca="1" si="40"/>
        <v>Claro mais cara</v>
      </c>
      <c r="T532" t="str">
        <f t="shared" ca="1" si="41"/>
        <v>Mesma velocidade</v>
      </c>
      <c r="U532" s="9">
        <f t="shared" si="42"/>
        <v>46174</v>
      </c>
      <c r="V532" t="str">
        <f ca="1">IF(OR([1]Planilha1!$B532="",[1]Planilha1!$B532="NÃO MAPEADO"),"",TRIM([1]Planilha1!$B532))</f>
        <v>SUDESTE</v>
      </c>
      <c r="W532" t="str">
        <f ca="1">IF([1]Planilha1!$C532="","",TRIM([1]Planilha1!$C532))</f>
        <v>MD 1</v>
      </c>
      <c r="X532" s="12" t="str">
        <f ca="1">IFERROR(VLOOKUP($C532,[1]Planilha2!$B:$H,7,FALSE),"")</f>
        <v>12120-001</v>
      </c>
    </row>
    <row r="533" spans="1:24" x14ac:dyDescent="0.35">
      <c r="A533" t="str">
        <f ca="1">IF(LEFT(TEXT([1]Planilha1!$L533,"0000000"),1)="5","MS","SP")</f>
        <v>SP</v>
      </c>
      <c r="B533" t="str">
        <f ca="1">IF(RIGHT([1]Planilha1!$A533,5)=" - MS",LEFT([1]Planilha1!$A533,LEN([1]Planilha1!$A533)-5),TRIM([1]Planilha1!$A533))</f>
        <v>TREMEMBE</v>
      </c>
      <c r="C533" s="2">
        <f ca="1">[1]Planilha1!$L533</f>
        <v>3554805</v>
      </c>
      <c r="D533" t="str">
        <f>TRIM([1]Planilha1!$D533)</f>
        <v>ISP LOCAL</v>
      </c>
      <c r="E533" t="str">
        <f>IF(TRIM([1]Planilha1!$D533)="Claro","Claro","Concorrente")</f>
        <v>Concorrente</v>
      </c>
      <c r="F533" t="s">
        <v>28</v>
      </c>
      <c r="G533" t="str">
        <f t="shared" ca="1" si="38"/>
        <v>Banda Larga + Conteudo</v>
      </c>
      <c r="H533" t="str">
        <f ca="1">TRIM([1]Planilha1!$E533)</f>
        <v>CABONNET - 600M R$49,95 - 3 MESES, APÓS R$99,90</v>
      </c>
      <c r="I533" t="str">
        <f ca="1">IF([1]Planilha1!$F533="","",TRIM([1]Planilha1!$F533))</f>
        <v>Fibra</v>
      </c>
      <c r="J533" s="3">
        <f ca="1">IF([1]Planilha1!$G533="","",[1]Planilha1!$G533)</f>
        <v>600</v>
      </c>
      <c r="K533" s="4" t="str" cm="1">
        <f t="array" aca="1" ref="K533" ca="1">IFERROR(VALUE(_xlfn.REGEXEXTRACT([1]Planilha1!$E533,"\+\s*(\d+)GB",2)),"")</f>
        <v/>
      </c>
      <c r="L533" s="5">
        <f ca="1">IF([1]Planilha1!$H533="","",[1]Planilha1!$H533)</f>
        <v>99.9</v>
      </c>
      <c r="M533" s="5">
        <f ca="1">IF([1]Planilha1!$I533="","",[1]Planilha1!$I533)</f>
        <v>49.95</v>
      </c>
      <c r="N533" s="2" cm="1">
        <f t="array" aca="1" ref="N533" ca="1">IFERROR(VALUE(_xlfn.REGEXEXTRACT([1]Planilha1!$E533,"(\d+)\s*MESES",2)),IFERROR(VALUE(_xlfn.REGEXEXTRACT([1]Planilha1!$E533,"por\s*(\d+)\s*M",2)),IF(_xlfn.REGEXTEST([1]Planilha1!$E533,"1[ºª]"),1,"")))</f>
        <v>3</v>
      </c>
      <c r="O533" s="6">
        <f t="shared" ca="1" si="39"/>
        <v>0.16650000000000001</v>
      </c>
      <c r="P533" t="str">
        <f ca="1">IF([1]Planilha1!$J533="","",TRIM([1]Planilha1!$J533))</f>
        <v>0</v>
      </c>
      <c r="Q533" s="7">
        <f ca="1">IF($D533="Claro","",IFERROR($L533-VLOOKUP($B533&amp;"|Claro",[1]AUX_CLARO!$A:$C,2,FALSE),""))</f>
        <v>-40</v>
      </c>
      <c r="R533" s="8">
        <f ca="1">IF($D533="Claro","",IFERROR($J533-VLOOKUP($B533&amp;"|Claro",[1]AUX_CLARO!$A:$C,3,FALSE),""))</f>
        <v>0</v>
      </c>
      <c r="S533" t="str">
        <f t="shared" ca="1" si="40"/>
        <v>Claro mais cara</v>
      </c>
      <c r="T533" t="str">
        <f t="shared" ca="1" si="41"/>
        <v>Mesma velocidade</v>
      </c>
      <c r="U533" s="9">
        <f t="shared" si="42"/>
        <v>46174</v>
      </c>
      <c r="V533" t="str">
        <f ca="1">IF(OR([1]Planilha1!$B533="",[1]Planilha1!$B533="NÃO MAPEADO"),"",TRIM([1]Planilha1!$B533))</f>
        <v>SUDESTE</v>
      </c>
      <c r="W533" t="str">
        <f ca="1">IF([1]Planilha1!$C533="","",TRIM([1]Planilha1!$C533))</f>
        <v>MD 1</v>
      </c>
      <c r="X533" s="12" t="str">
        <f ca="1">IFERROR(VLOOKUP($C533,[1]Planilha2!$B:$H,7,FALSE),"")</f>
        <v>12120-001</v>
      </c>
    </row>
    <row r="534" spans="1:24" x14ac:dyDescent="0.35">
      <c r="A534" t="str">
        <f ca="1">IF(LEFT(TEXT([1]Planilha1!$L534,"0000000"),1)="5","MS","SP")</f>
        <v>SP</v>
      </c>
      <c r="B534" t="str">
        <f ca="1">IF(RIGHT([1]Planilha1!$A534,5)=" - MS",LEFT([1]Planilha1!$A534,LEN([1]Planilha1!$A534)-5),TRIM([1]Planilha1!$A534))</f>
        <v>UBATUBA</v>
      </c>
      <c r="C534" s="2">
        <f ca="1">[1]Planilha1!$L534</f>
        <v>3555406</v>
      </c>
      <c r="D534" t="str">
        <f>TRIM([1]Planilha1!$D534)</f>
        <v>Claro</v>
      </c>
      <c r="E534" t="str">
        <f>IF(TRIM([1]Planilha1!$D534)="Claro","Claro","Concorrente")</f>
        <v>Claro</v>
      </c>
      <c r="F534" t="s">
        <v>24</v>
      </c>
      <c r="G534" t="str">
        <f t="shared" ca="1" si="38"/>
        <v>Banda Larga + Movel</v>
      </c>
      <c r="H534" t="str">
        <f ca="1">TRIM([1]Planilha1!$E534)</f>
        <v>600M+100GB=R$119,90 por 3M, após R$159,90</v>
      </c>
      <c r="I534" t="str">
        <f ca="1">IF([1]Planilha1!$F534="","",TRIM([1]Planilha1!$F534))</f>
        <v>Fibra</v>
      </c>
      <c r="J534" s="3">
        <f ca="1">IF([1]Planilha1!$G534="","",[1]Planilha1!$G534)</f>
        <v>600</v>
      </c>
      <c r="K534" s="4" cm="1">
        <f t="array" aca="1" ref="K534" ca="1">IFERROR(VALUE(_xlfn.REGEXEXTRACT([1]Planilha1!$E534,"\+\s*(\d+)GB",2)),"")</f>
        <v>100</v>
      </c>
      <c r="L534" s="5">
        <f ca="1">IF([1]Planilha1!$H534="","",[1]Planilha1!$H534)</f>
        <v>159.9</v>
      </c>
      <c r="M534" s="5">
        <f ca="1">IF([1]Planilha1!$I534="","",[1]Planilha1!$I534)</f>
        <v>119.9</v>
      </c>
      <c r="N534" s="2" cm="1">
        <f t="array" aca="1" ref="N534" ca="1">IFERROR(VALUE(_xlfn.REGEXEXTRACT([1]Planilha1!$E534,"(\d+)\s*MESES",2)),IFERROR(VALUE(_xlfn.REGEXEXTRACT([1]Planilha1!$E534,"por\s*(\d+)\s*M",2)),IF(_xlfn.REGEXTEST([1]Planilha1!$E534,"1[ºª]"),1,"")))</f>
        <v>3</v>
      </c>
      <c r="O534" s="6">
        <f t="shared" ca="1" si="39"/>
        <v>0.26650000000000001</v>
      </c>
      <c r="P534" t="str">
        <f ca="1">IF([1]Planilha1!$J534="","",TRIM([1]Planilha1!$J534))</f>
        <v>GLOBOPLAY</v>
      </c>
      <c r="Q534" s="7" t="str">
        <f>IF($D534="Claro","",IFERROR($L534-VLOOKUP($B534&amp;"|Claro",[1]AUX_CLARO!$A:$C,2,FALSE),""))</f>
        <v/>
      </c>
      <c r="R534" s="8" t="str">
        <f>IF($D534="Claro","",IFERROR($J534-VLOOKUP($B534&amp;"|Claro",[1]AUX_CLARO!$A:$C,3,FALSE),""))</f>
        <v/>
      </c>
      <c r="S534" t="str">
        <f t="shared" si="40"/>
        <v/>
      </c>
      <c r="T534" t="str">
        <f t="shared" si="41"/>
        <v/>
      </c>
      <c r="U534" s="9">
        <f t="shared" si="42"/>
        <v>46174</v>
      </c>
      <c r="V534" t="str">
        <f ca="1">IF(OR([1]Planilha1!$B534="",[1]Planilha1!$B534="NÃO MAPEADO"),"",TRIM([1]Planilha1!$B534))</f>
        <v>LITORAL</v>
      </c>
      <c r="W534" t="str">
        <f ca="1">IF([1]Planilha1!$C534="","",TRIM([1]Planilha1!$C534))</f>
        <v>ESPECIAL</v>
      </c>
      <c r="X534" t="str">
        <f ca="1">IFERROR(VLOOKUP($C534,[1]Planilha2!$B:$H,7,FALSE),"")</f>
        <v>11680-001</v>
      </c>
    </row>
    <row r="535" spans="1:24" x14ac:dyDescent="0.35">
      <c r="A535" t="str">
        <f ca="1">IF(LEFT(TEXT([1]Planilha1!$L535,"0000000"),1)="5","MS","SP")</f>
        <v>SP</v>
      </c>
      <c r="B535" t="str">
        <f ca="1">IF(RIGHT([1]Planilha1!$A535,5)=" - MS",LEFT([1]Planilha1!$A535,LEN([1]Planilha1!$A535)-5),TRIM([1]Planilha1!$A535))</f>
        <v>UBATUBA</v>
      </c>
      <c r="C535" s="2">
        <f ca="1">[1]Planilha1!$L535</f>
        <v>3555406</v>
      </c>
      <c r="D535" t="str">
        <f>TRIM([1]Planilha1!$D535)</f>
        <v>Vivo</v>
      </c>
      <c r="E535" t="str">
        <f>IF(TRIM([1]Planilha1!$D535)="Claro","Claro","Concorrente")</f>
        <v>Concorrente</v>
      </c>
      <c r="F535" t="s">
        <v>25</v>
      </c>
      <c r="G535" t="str">
        <f t="shared" ca="1" si="38"/>
        <v>Banda Larga + Movel</v>
      </c>
      <c r="H535" t="s">
        <v>26</v>
      </c>
      <c r="I535" t="str">
        <f ca="1">IF([1]Planilha1!$F535="","",TRIM([1]Planilha1!$F535))</f>
        <v>Fibra</v>
      </c>
      <c r="J535" s="11" t="s">
        <v>27</v>
      </c>
      <c r="K535" s="4" cm="1">
        <f t="array" aca="1" ref="K535" ca="1">IFERROR(VALUE(_xlfn.REGEXEXTRACT([1]Planilha1!$E535,"\+\s*(\d+)GB",2)),"")</f>
        <v>70</v>
      </c>
      <c r="L535" s="5">
        <v>160</v>
      </c>
      <c r="M535" s="5" t="str">
        <f ca="1">IF([1]Planilha1!$I535="","",[1]Planilha1!$I535)</f>
        <v/>
      </c>
      <c r="N535" s="2" t="str" cm="1">
        <f t="array" aca="1" ref="N535" ca="1">IFERROR(VALUE(_xlfn.REGEXEXTRACT([1]Planilha1!$E535,"(\d+)\s*MESES",2)),IFERROR(VALUE(_xlfn.REGEXEXTRACT([1]Planilha1!$E535,"por\s*(\d+)\s*M",2)),IF(_xlfn.REGEXTEST([1]Planilha1!$E535,"1[ºª]"),1,"")))</f>
        <v/>
      </c>
      <c r="O535" s="6" t="str">
        <f t="shared" si="39"/>
        <v/>
      </c>
      <c r="P535" t="str">
        <f ca="1">IF([1]Planilha1!$J535="","",TRIM([1]Planilha1!$J535))</f>
        <v>0</v>
      </c>
      <c r="Q535" s="7">
        <f ca="1">IF($D535="Claro","",IFERROR($L535-VLOOKUP($B535&amp;"|Claro",[1]AUX_CLARO!$A:$C,2,FALSE),""))</f>
        <v>9.9999999999994316E-2</v>
      </c>
      <c r="R535" s="8" t="str">
        <f ca="1">IF($D535="Claro","",IFERROR($J535-VLOOKUP($B535&amp;"|Claro",[1]AUX_CLARO!$A:$C,3,FALSE),""))</f>
        <v/>
      </c>
      <c r="S535" t="str">
        <f t="shared" ca="1" si="40"/>
        <v>Claro mais barata</v>
      </c>
      <c r="T535" t="str">
        <f t="shared" ca="1" si="41"/>
        <v/>
      </c>
      <c r="U535" s="9">
        <f t="shared" si="42"/>
        <v>46174</v>
      </c>
      <c r="V535" t="str">
        <f ca="1">IF(OR([1]Planilha1!$B535="",[1]Planilha1!$B535="NÃO MAPEADO"),"",TRIM([1]Planilha1!$B535))</f>
        <v>LITORAL</v>
      </c>
      <c r="W535" t="str">
        <f ca="1">IF([1]Planilha1!$C535="","",TRIM([1]Planilha1!$C535))</f>
        <v>ESPECIAL</v>
      </c>
      <c r="X535" t="str">
        <f ca="1">IFERROR(VLOOKUP($C535,[1]Planilha2!$B:$H,7,FALSE),"")</f>
        <v>11680-001</v>
      </c>
    </row>
    <row r="536" spans="1:24" x14ac:dyDescent="0.35">
      <c r="A536" t="str">
        <f ca="1">IF(LEFT(TEXT([1]Planilha1!$L536,"0000000"),1)="5","MS","SP")</f>
        <v>SP</v>
      </c>
      <c r="B536" t="str">
        <f ca="1">IF(RIGHT([1]Planilha1!$A536,5)=" - MS",LEFT([1]Planilha1!$A536,LEN([1]Planilha1!$A536)-5),TRIM([1]Planilha1!$A536))</f>
        <v>UBATUBA</v>
      </c>
      <c r="C536" s="2">
        <f ca="1">[1]Planilha1!$L536</f>
        <v>3555406</v>
      </c>
      <c r="D536" t="str">
        <f>TRIM([1]Planilha1!$D536)</f>
        <v>ISP LOCAL</v>
      </c>
      <c r="E536" t="str">
        <f>IF(TRIM([1]Planilha1!$D536)="Claro","Claro","Concorrente")</f>
        <v>Concorrente</v>
      </c>
      <c r="F536" t="s">
        <v>90</v>
      </c>
      <c r="G536" t="str">
        <f t="shared" ca="1" si="38"/>
        <v>Banda Larga + Conteudo</v>
      </c>
      <c r="H536" t="str">
        <f ca="1">TRIM([1]Planilha1!$E536)</f>
        <v>TRIXNET - 600M R$109,00</v>
      </c>
      <c r="I536" t="str">
        <f ca="1">IF([1]Planilha1!$F536="","",TRIM([1]Planilha1!$F536))</f>
        <v>Fibra</v>
      </c>
      <c r="J536" s="3">
        <f ca="1">IF([1]Planilha1!$G536="","",[1]Planilha1!$G536)</f>
        <v>600</v>
      </c>
      <c r="K536" s="4" t="str" cm="1">
        <f t="array" aca="1" ref="K536" ca="1">IFERROR(VALUE(_xlfn.REGEXEXTRACT([1]Planilha1!$E536,"\+\s*(\d+)GB",2)),"")</f>
        <v/>
      </c>
      <c r="L536" s="5">
        <f ca="1">IF([1]Planilha1!$H536="","",[1]Planilha1!$H536)</f>
        <v>109</v>
      </c>
      <c r="M536" s="5" t="str">
        <f ca="1">IF([1]Planilha1!$I536="","",[1]Planilha1!$I536)</f>
        <v/>
      </c>
      <c r="N536" s="2" t="str" cm="1">
        <f t="array" aca="1" ref="N536" ca="1">IFERROR(VALUE(_xlfn.REGEXEXTRACT([1]Planilha1!$E536,"(\d+)\s*MESES",2)),IFERROR(VALUE(_xlfn.REGEXEXTRACT([1]Planilha1!$E536,"por\s*(\d+)\s*M",2)),IF(_xlfn.REGEXTEST([1]Planilha1!$E536,"1[ºª]"),1,"")))</f>
        <v/>
      </c>
      <c r="O536" s="6">
        <f t="shared" ca="1" si="39"/>
        <v>0.18166666666666667</v>
      </c>
      <c r="P536" t="str">
        <f ca="1">IF([1]Planilha1!$J536="","",TRIM([1]Planilha1!$J536))</f>
        <v>0</v>
      </c>
      <c r="Q536" s="7">
        <f ca="1">IF($D536="Claro","",IFERROR($L536-VLOOKUP($B536&amp;"|Claro",[1]AUX_CLARO!$A:$C,2,FALSE),""))</f>
        <v>-50.900000000000006</v>
      </c>
      <c r="R536" s="8">
        <f ca="1">IF($D536="Claro","",IFERROR($J536-VLOOKUP($B536&amp;"|Claro",[1]AUX_CLARO!$A:$C,3,FALSE),""))</f>
        <v>0</v>
      </c>
      <c r="S536" t="str">
        <f t="shared" ca="1" si="40"/>
        <v>Claro mais cara</v>
      </c>
      <c r="T536" t="str">
        <f t="shared" ca="1" si="41"/>
        <v>Mesma velocidade</v>
      </c>
      <c r="U536" s="9">
        <f t="shared" si="42"/>
        <v>46174</v>
      </c>
      <c r="V536" t="str">
        <f ca="1">IF(OR([1]Planilha1!$B536="",[1]Planilha1!$B536="NÃO MAPEADO"),"",TRIM([1]Planilha1!$B536))</f>
        <v>LITORAL</v>
      </c>
      <c r="W536" t="str">
        <f ca="1">IF([1]Planilha1!$C536="","",TRIM([1]Planilha1!$C536))</f>
        <v>ESPECIAL</v>
      </c>
      <c r="X536" t="str">
        <f ca="1">IFERROR(VLOOKUP($C536,[1]Planilha2!$B:$H,7,FALSE),"")</f>
        <v>11680-001</v>
      </c>
    </row>
    <row r="537" spans="1:24" x14ac:dyDescent="0.35">
      <c r="A537" t="str">
        <f ca="1">IF(LEFT(TEXT([1]Planilha1!$L537,"0000000"),1)="5","MS","SP")</f>
        <v>SP</v>
      </c>
      <c r="B537" t="str">
        <f ca="1">IF(RIGHT([1]Planilha1!$A537,5)=" - MS",LEFT([1]Planilha1!$A537,LEN([1]Planilha1!$A537)-5),TRIM([1]Planilha1!$A537))</f>
        <v>VALINHOS</v>
      </c>
      <c r="C537" s="2">
        <f ca="1">[1]Planilha1!$L537</f>
        <v>3556206</v>
      </c>
      <c r="D537" t="str">
        <f>TRIM([1]Planilha1!$D537)</f>
        <v>Claro</v>
      </c>
      <c r="E537" t="str">
        <f>IF(TRIM([1]Planilha1!$D537)="Claro","Claro","Concorrente")</f>
        <v>Claro</v>
      </c>
      <c r="F537" t="s">
        <v>24</v>
      </c>
      <c r="G537" t="str">
        <f t="shared" ca="1" si="38"/>
        <v>Banda Larga + Movel</v>
      </c>
      <c r="H537" t="str">
        <f ca="1">TRIM([1]Planilha1!$E537)</f>
        <v>600M+100GB=R$159,90</v>
      </c>
      <c r="I537" t="str">
        <f ca="1">IF([1]Planilha1!$F537="","",TRIM([1]Planilha1!$F537))</f>
        <v>Fibra</v>
      </c>
      <c r="J537" s="3">
        <f ca="1">IF([1]Planilha1!$G537="","",[1]Planilha1!$G537)</f>
        <v>600</v>
      </c>
      <c r="K537" s="4" cm="1">
        <f t="array" aca="1" ref="K537" ca="1">IFERROR(VALUE(_xlfn.REGEXEXTRACT([1]Planilha1!$E537,"\+\s*(\d+)GB",2)),"")</f>
        <v>100</v>
      </c>
      <c r="L537" s="5">
        <f ca="1">IF([1]Planilha1!$H537="","",[1]Planilha1!$H537)</f>
        <v>159.9</v>
      </c>
      <c r="M537" s="5" t="str">
        <f ca="1">IF([1]Planilha1!$I537="","",[1]Planilha1!$I537)</f>
        <v/>
      </c>
      <c r="N537" s="2" t="str" cm="1">
        <f t="array" aca="1" ref="N537" ca="1">IFERROR(VALUE(_xlfn.REGEXEXTRACT([1]Planilha1!$E537,"(\d+)\s*MESES",2)),IFERROR(VALUE(_xlfn.REGEXEXTRACT([1]Planilha1!$E537,"por\s*(\d+)\s*M",2)),IF(_xlfn.REGEXTEST([1]Planilha1!$E537,"1[ºª]"),1,"")))</f>
        <v/>
      </c>
      <c r="O537" s="6">
        <f t="shared" ca="1" si="39"/>
        <v>0.26650000000000001</v>
      </c>
      <c r="P537" t="str">
        <f ca="1">IF([1]Planilha1!$J537="","",TRIM([1]Planilha1!$J537))</f>
        <v>GLOBOPLAY</v>
      </c>
      <c r="Q537" s="7" t="str">
        <f>IF($D537="Claro","",IFERROR($L537-VLOOKUP($B537&amp;"|Claro",[1]AUX_CLARO!$A:$C,2,FALSE),""))</f>
        <v/>
      </c>
      <c r="R537" s="8" t="str">
        <f>IF($D537="Claro","",IFERROR($J537-VLOOKUP($B537&amp;"|Claro",[1]AUX_CLARO!$A:$C,3,FALSE),""))</f>
        <v/>
      </c>
      <c r="S537" t="str">
        <f t="shared" si="40"/>
        <v/>
      </c>
      <c r="T537" t="str">
        <f t="shared" si="41"/>
        <v/>
      </c>
      <c r="U537" s="9">
        <f t="shared" si="42"/>
        <v>46174</v>
      </c>
      <c r="V537" t="str">
        <f ca="1">IF(OR([1]Planilha1!$B537="",[1]Planilha1!$B537="NÃO MAPEADO"),"",TRIM([1]Planilha1!$B537))</f>
        <v>CENTRAL</v>
      </c>
      <c r="W537" t="str">
        <f ca="1">IF([1]Planilha1!$C537="","",TRIM([1]Planilha1!$C537))</f>
        <v>PADRÃO</v>
      </c>
      <c r="X537" t="str">
        <f ca="1">IFERROR(VLOOKUP($C537,[1]Planilha2!$B:$H,7,FALSE),"")</f>
        <v>13270-001</v>
      </c>
    </row>
    <row r="538" spans="1:24" x14ac:dyDescent="0.35">
      <c r="A538" t="str">
        <f ca="1">IF(LEFT(TEXT([1]Planilha1!$L538,"0000000"),1)="5","MS","SP")</f>
        <v>SP</v>
      </c>
      <c r="B538" t="str">
        <f ca="1">IF(RIGHT([1]Planilha1!$A538,5)=" - MS",LEFT([1]Planilha1!$A538,LEN([1]Planilha1!$A538)-5),TRIM([1]Planilha1!$A538))</f>
        <v>VALINHOS</v>
      </c>
      <c r="C538" s="2">
        <f ca="1">[1]Planilha1!$L538</f>
        <v>3556206</v>
      </c>
      <c r="D538" t="str">
        <f>TRIM([1]Planilha1!$D538)</f>
        <v>Vivo</v>
      </c>
      <c r="E538" t="str">
        <f>IF(TRIM([1]Planilha1!$D538)="Claro","Claro","Concorrente")</f>
        <v>Concorrente</v>
      </c>
      <c r="F538" t="s">
        <v>25</v>
      </c>
      <c r="G538" t="str">
        <f t="shared" ca="1" si="38"/>
        <v>Banda Larga + Movel</v>
      </c>
      <c r="H538" t="s">
        <v>26</v>
      </c>
      <c r="I538" t="str">
        <f ca="1">IF([1]Planilha1!$F538="","",TRIM([1]Planilha1!$F538))</f>
        <v>Fibra</v>
      </c>
      <c r="J538" s="11" t="s">
        <v>27</v>
      </c>
      <c r="K538" s="4" cm="1">
        <f t="array" aca="1" ref="K538" ca="1">IFERROR(VALUE(_xlfn.REGEXEXTRACT([1]Planilha1!$E538,"\+\s*(\d+)GB",2)),"")</f>
        <v>70</v>
      </c>
      <c r="L538" s="5">
        <v>160</v>
      </c>
      <c r="M538" s="5" t="str">
        <f ca="1">IF([1]Planilha1!$I538="","",[1]Planilha1!$I538)</f>
        <v/>
      </c>
      <c r="N538" s="2" t="str" cm="1">
        <f t="array" aca="1" ref="N538" ca="1">IFERROR(VALUE(_xlfn.REGEXEXTRACT([1]Planilha1!$E538,"(\d+)\s*MESES",2)),IFERROR(VALUE(_xlfn.REGEXEXTRACT([1]Planilha1!$E538,"por\s*(\d+)\s*M",2)),IF(_xlfn.REGEXTEST([1]Planilha1!$E538,"1[ºª]"),1,"")))</f>
        <v/>
      </c>
      <c r="O538" s="6" t="str">
        <f t="shared" si="39"/>
        <v/>
      </c>
      <c r="P538" t="str">
        <f ca="1">IF([1]Planilha1!$J538="","",TRIM([1]Planilha1!$J538))</f>
        <v>0</v>
      </c>
      <c r="Q538" s="7">
        <f ca="1">IF($D538="Claro","",IFERROR($L538-VLOOKUP($B538&amp;"|Claro",[1]AUX_CLARO!$A:$C,2,FALSE),""))</f>
        <v>9.9999999999994316E-2</v>
      </c>
      <c r="R538" s="8" t="str">
        <f ca="1">IF($D538="Claro","",IFERROR($J538-VLOOKUP($B538&amp;"|Claro",[1]AUX_CLARO!$A:$C,3,FALSE),""))</f>
        <v/>
      </c>
      <c r="S538" t="str">
        <f t="shared" ca="1" si="40"/>
        <v>Claro mais barata</v>
      </c>
      <c r="T538" t="str">
        <f t="shared" ca="1" si="41"/>
        <v/>
      </c>
      <c r="U538" s="9">
        <f t="shared" si="42"/>
        <v>46174</v>
      </c>
      <c r="V538" t="str">
        <f ca="1">IF(OR([1]Planilha1!$B538="",[1]Planilha1!$B538="NÃO MAPEADO"),"",TRIM([1]Planilha1!$B538))</f>
        <v>CENTRAL</v>
      </c>
      <c r="W538" t="str">
        <f ca="1">IF([1]Planilha1!$C538="","",TRIM([1]Planilha1!$C538))</f>
        <v>PADRÃO</v>
      </c>
      <c r="X538" t="str">
        <f ca="1">IFERROR(VLOOKUP($C538,[1]Planilha2!$B:$H,7,FALSE),"")</f>
        <v>13270-001</v>
      </c>
    </row>
    <row r="539" spans="1:24" x14ac:dyDescent="0.35">
      <c r="A539" t="str">
        <f ca="1">IF(LEFT(TEXT([1]Planilha1!$L539,"0000000"),1)="5","MS","SP")</f>
        <v>SP</v>
      </c>
      <c r="B539" t="str">
        <f ca="1">IF(RIGHT([1]Planilha1!$A539,5)=" - MS",LEFT([1]Planilha1!$A539,LEN([1]Planilha1!$A539)-5),TRIM([1]Planilha1!$A539))</f>
        <v>VALINHOS</v>
      </c>
      <c r="C539" s="2">
        <f ca="1">[1]Planilha1!$L539</f>
        <v>3556206</v>
      </c>
      <c r="D539" t="str">
        <f>TRIM([1]Planilha1!$D539)</f>
        <v>Desktop</v>
      </c>
      <c r="E539" t="str">
        <f>IF(TRIM([1]Planilha1!$D539)="Claro","Claro","Concorrente")</f>
        <v>Concorrente</v>
      </c>
      <c r="F539" t="s">
        <v>29</v>
      </c>
      <c r="G539" t="str">
        <f t="shared" ca="1" si="38"/>
        <v>Banda Larga + Conteudo</v>
      </c>
      <c r="H539" t="str">
        <f ca="1">TRIM([1]Planilha1!$E539)</f>
        <v>600M=R$49,99 por 2M, após R$89,99</v>
      </c>
      <c r="I539" t="str">
        <f ca="1">IF([1]Planilha1!$F539="","",TRIM([1]Planilha1!$F539))</f>
        <v>Fibra</v>
      </c>
      <c r="J539" s="3">
        <f ca="1">IF([1]Planilha1!$G539="","",[1]Planilha1!$G539)</f>
        <v>600</v>
      </c>
      <c r="K539" s="4" t="str" cm="1">
        <f t="array" aca="1" ref="K539" ca="1">IFERROR(VALUE(_xlfn.REGEXEXTRACT([1]Planilha1!$E539,"\+\s*(\d+)GB",2)),"")</f>
        <v/>
      </c>
      <c r="L539" s="5">
        <f ca="1">IF([1]Planilha1!$H539="","",[1]Planilha1!$H539)</f>
        <v>89.99</v>
      </c>
      <c r="M539" s="5">
        <f ca="1">IF([1]Planilha1!$I539="","",[1]Planilha1!$I539)</f>
        <v>49.99</v>
      </c>
      <c r="N539" s="2" cm="1">
        <f t="array" aca="1" ref="N539" ca="1">IFERROR(VALUE(_xlfn.REGEXEXTRACT([1]Planilha1!$E539,"(\d+)\s*MESES",2)),IFERROR(VALUE(_xlfn.REGEXEXTRACT([1]Planilha1!$E539,"por\s*(\d+)\s*M",2)),IF(_xlfn.REGEXTEST([1]Planilha1!$E539,"1[ºª]"),1,"")))</f>
        <v>2</v>
      </c>
      <c r="O539" s="6">
        <f t="shared" ca="1" si="39"/>
        <v>0.14998333333333333</v>
      </c>
      <c r="P539" t="str">
        <f ca="1">IF([1]Planilha1!$J539="","",TRIM([1]Planilha1!$J539))</f>
        <v>0</v>
      </c>
      <c r="Q539" s="7">
        <f ca="1">IF($D539="Claro","",IFERROR($L539-VLOOKUP($B539&amp;"|Claro",[1]AUX_CLARO!$A:$C,2,FALSE),""))</f>
        <v>-69.910000000000011</v>
      </c>
      <c r="R539" s="8">
        <f ca="1">IF($D539="Claro","",IFERROR($J539-VLOOKUP($B539&amp;"|Claro",[1]AUX_CLARO!$A:$C,3,FALSE),""))</f>
        <v>0</v>
      </c>
      <c r="S539" t="str">
        <f t="shared" ca="1" si="40"/>
        <v>Claro mais cara</v>
      </c>
      <c r="T539" t="str">
        <f t="shared" ca="1" si="41"/>
        <v>Mesma velocidade</v>
      </c>
      <c r="U539" s="9">
        <f t="shared" si="42"/>
        <v>46174</v>
      </c>
      <c r="V539" t="str">
        <f ca="1">IF(OR([1]Planilha1!$B539="",[1]Planilha1!$B539="NÃO MAPEADO"),"",TRIM([1]Planilha1!$B539))</f>
        <v>CENTRAL</v>
      </c>
      <c r="W539" t="str">
        <f ca="1">IF([1]Planilha1!$C539="","",TRIM([1]Planilha1!$C539))</f>
        <v>PADRÃO</v>
      </c>
      <c r="X539" t="str">
        <f ca="1">IFERROR(VLOOKUP($C539,[1]Planilha2!$B:$H,7,FALSE),"")</f>
        <v>13270-001</v>
      </c>
    </row>
    <row r="540" spans="1:24" x14ac:dyDescent="0.35">
      <c r="A540" t="str">
        <f ca="1">IF(LEFT(TEXT([1]Planilha1!$L540,"0000000"),1)="5","MS","SP")</f>
        <v>SP</v>
      </c>
      <c r="B540" t="str">
        <f ca="1">IF(RIGHT([1]Planilha1!$A540,5)=" - MS",LEFT([1]Planilha1!$A540,LEN([1]Planilha1!$A540)-5),TRIM([1]Planilha1!$A540))</f>
        <v>VALINHOS</v>
      </c>
      <c r="C540" s="2">
        <f ca="1">[1]Planilha1!$L540</f>
        <v>3556206</v>
      </c>
      <c r="D540" t="str">
        <f>TRIM([1]Planilha1!$D540)</f>
        <v>ISP LOCAL</v>
      </c>
      <c r="E540" t="str">
        <f>IF(TRIM([1]Planilha1!$D540)="Claro","Claro","Concorrente")</f>
        <v>Concorrente</v>
      </c>
      <c r="F540" t="s">
        <v>50</v>
      </c>
      <c r="G540" t="str">
        <f t="shared" ca="1" si="38"/>
        <v>Banda Larga + Conteudo</v>
      </c>
      <c r="H540" t="str">
        <f ca="1">TRIM([1]Planilha1!$E540)</f>
        <v>G2G - 600M R$99,90</v>
      </c>
      <c r="I540" t="str">
        <f ca="1">IF([1]Planilha1!$F540="","",TRIM([1]Planilha1!$F540))</f>
        <v>Fibra</v>
      </c>
      <c r="J540" s="11" t="s">
        <v>27</v>
      </c>
      <c r="K540" s="4" t="str" cm="1">
        <f t="array" aca="1" ref="K540" ca="1">IFERROR(VALUE(_xlfn.REGEXEXTRACT([1]Planilha1!$E540,"\+\s*(\d+)GB",2)),"")</f>
        <v/>
      </c>
      <c r="L540" s="5">
        <f ca="1">IF([1]Planilha1!$H540="","",[1]Planilha1!$H540)</f>
        <v>99.9</v>
      </c>
      <c r="M540" s="5" t="str">
        <f ca="1">IF([1]Planilha1!$I540="","",[1]Planilha1!$I540)</f>
        <v/>
      </c>
      <c r="N540" s="2" t="str" cm="1">
        <f t="array" aca="1" ref="N540" ca="1">IFERROR(VALUE(_xlfn.REGEXEXTRACT([1]Planilha1!$E540,"(\d+)\s*MESES",2)),IFERROR(VALUE(_xlfn.REGEXEXTRACT([1]Planilha1!$E540,"por\s*(\d+)\s*M",2)),IF(_xlfn.REGEXTEST([1]Planilha1!$E540,"1[ºª]"),1,"")))</f>
        <v/>
      </c>
      <c r="O540" s="6" t="str">
        <f t="shared" ca="1" si="39"/>
        <v/>
      </c>
      <c r="P540" t="str">
        <f ca="1">IF([1]Planilha1!$J540="","",TRIM([1]Planilha1!$J540))</f>
        <v>0</v>
      </c>
      <c r="Q540" s="7">
        <f ca="1">IF($D540="Claro","",IFERROR($L540-VLOOKUP($B540&amp;"|Claro",[1]AUX_CLARO!$A:$C,2,FALSE),""))</f>
        <v>-60</v>
      </c>
      <c r="R540" s="8" t="str">
        <f ca="1">IF($D540="Claro","",IFERROR($J540-VLOOKUP($B540&amp;"|Claro",[1]AUX_CLARO!$A:$C,3,FALSE),""))</f>
        <v/>
      </c>
      <c r="S540" t="str">
        <f t="shared" ca="1" si="40"/>
        <v>Claro mais cara</v>
      </c>
      <c r="T540" t="str">
        <f t="shared" ca="1" si="41"/>
        <v/>
      </c>
      <c r="U540" s="9">
        <f t="shared" si="42"/>
        <v>46174</v>
      </c>
      <c r="V540" t="str">
        <f ca="1">IF(OR([1]Planilha1!$B540="",[1]Planilha1!$B540="NÃO MAPEADO"),"",TRIM([1]Planilha1!$B540))</f>
        <v>CENTRAL</v>
      </c>
      <c r="W540" t="str">
        <f ca="1">IF([1]Planilha1!$C540="","",TRIM([1]Planilha1!$C540))</f>
        <v>PADRÃO</v>
      </c>
      <c r="X540" t="str">
        <f ca="1">IFERROR(VLOOKUP($C540,[1]Planilha2!$B:$H,7,FALSE),"")</f>
        <v>13270-001</v>
      </c>
    </row>
    <row r="541" spans="1:24" x14ac:dyDescent="0.35">
      <c r="A541" t="str">
        <f ca="1">IF(LEFT(TEXT([1]Planilha1!$L541,"0000000"),1)="5","MS","SP")</f>
        <v>SP</v>
      </c>
      <c r="B541" t="str">
        <f ca="1">IF(RIGHT([1]Planilha1!$A541,5)=" - MS",LEFT([1]Planilha1!$A541,LEN([1]Planilha1!$A541)-5),TRIM([1]Planilha1!$A541))</f>
        <v>VALPARAISO</v>
      </c>
      <c r="C541" s="2">
        <f ca="1">[1]Planilha1!$L541</f>
        <v>3556305</v>
      </c>
      <c r="D541" t="str">
        <f>TRIM([1]Planilha1!$D541)</f>
        <v>Claro</v>
      </c>
      <c r="E541" t="str">
        <f>IF(TRIM([1]Planilha1!$D541)="Claro","Claro","Concorrente")</f>
        <v>Claro</v>
      </c>
      <c r="F541" t="s">
        <v>24</v>
      </c>
      <c r="G541" t="str">
        <f t="shared" ca="1" si="38"/>
        <v>Banda Larga + Movel</v>
      </c>
      <c r="H541" t="str">
        <f ca="1">TRIM([1]Planilha1!$E541)</f>
        <v>600M+100GB=R$109,90 por 6M, após R$139,90</v>
      </c>
      <c r="I541" t="str">
        <f ca="1">IF([1]Planilha1!$F541="","",TRIM([1]Planilha1!$F541))</f>
        <v>Fibra</v>
      </c>
      <c r="J541" s="3">
        <f ca="1">IF([1]Planilha1!$G541="","",[1]Planilha1!$G541)</f>
        <v>600</v>
      </c>
      <c r="K541" s="4" cm="1">
        <f t="array" aca="1" ref="K541" ca="1">IFERROR(VALUE(_xlfn.REGEXEXTRACT([1]Planilha1!$E541,"\+\s*(\d+)GB",2)),"")</f>
        <v>100</v>
      </c>
      <c r="L541" s="5">
        <f ca="1">IF([1]Planilha1!$H541="","",[1]Planilha1!$H541)</f>
        <v>139.9</v>
      </c>
      <c r="M541" s="5">
        <f ca="1">IF([1]Planilha1!$I541="","",[1]Planilha1!$I541)</f>
        <v>109.9</v>
      </c>
      <c r="N541" s="2" cm="1">
        <f t="array" aca="1" ref="N541" ca="1">IFERROR(VALUE(_xlfn.REGEXEXTRACT([1]Planilha1!$E541,"(\d+)\s*MESES",2)),IFERROR(VALUE(_xlfn.REGEXEXTRACT([1]Planilha1!$E541,"por\s*(\d+)\s*M",2)),IF(_xlfn.REGEXTEST([1]Planilha1!$E541,"1[ºª]"),1,"")))</f>
        <v>6</v>
      </c>
      <c r="O541" s="6">
        <f t="shared" ca="1" si="39"/>
        <v>0.23316666666666669</v>
      </c>
      <c r="P541" t="str">
        <f ca="1">IF([1]Planilha1!$J541="","",TRIM([1]Planilha1!$J541))</f>
        <v>GLOBOPLAY</v>
      </c>
      <c r="Q541" s="7" t="str">
        <f>IF($D541="Claro","",IFERROR($L541-VLOOKUP($B541&amp;"|Claro",[1]AUX_CLARO!$A:$C,2,FALSE),""))</f>
        <v/>
      </c>
      <c r="R541" s="8" t="str">
        <f>IF($D541="Claro","",IFERROR($J541-VLOOKUP($B541&amp;"|Claro",[1]AUX_CLARO!$A:$C,3,FALSE),""))</f>
        <v/>
      </c>
      <c r="S541" t="str">
        <f t="shared" si="40"/>
        <v/>
      </c>
      <c r="T541" t="str">
        <f t="shared" si="41"/>
        <v/>
      </c>
      <c r="U541" s="9">
        <f t="shared" si="42"/>
        <v>46174</v>
      </c>
      <c r="V541" t="str">
        <f ca="1">IF(OR([1]Planilha1!$B541="",[1]Planilha1!$B541="NÃO MAPEADO"),"",TRIM([1]Planilha1!$B541))</f>
        <v>NOROESTE</v>
      </c>
      <c r="W541" t="str">
        <f ca="1">IF([1]Planilha1!$C541="","",TRIM([1]Planilha1!$C541))</f>
        <v>MD 2</v>
      </c>
      <c r="X541" t="str">
        <f ca="1">IFERROR(VLOOKUP($C541,[1]Planilha2!$B:$H,7,FALSE),"")</f>
        <v>16880-001</v>
      </c>
    </row>
    <row r="542" spans="1:24" x14ac:dyDescent="0.35">
      <c r="A542" t="str">
        <f ca="1">IF(LEFT(TEXT([1]Planilha1!$L542,"0000000"),1)="5","MS","SP")</f>
        <v>SP</v>
      </c>
      <c r="B542" t="str">
        <f ca="1">IF(RIGHT([1]Planilha1!$A542,5)=" - MS",LEFT([1]Planilha1!$A542,LEN([1]Planilha1!$A542)-5),TRIM([1]Planilha1!$A542))</f>
        <v>VALPARAISO</v>
      </c>
      <c r="C542" s="2">
        <f ca="1">[1]Planilha1!$L542</f>
        <v>3556305</v>
      </c>
      <c r="D542" t="str">
        <f>TRIM([1]Planilha1!$D542)</f>
        <v>Vero</v>
      </c>
      <c r="E542" t="str">
        <f>IF(TRIM([1]Planilha1!$D542)="Claro","Claro","Concorrente")</f>
        <v>Concorrente</v>
      </c>
      <c r="F542" t="s">
        <v>30</v>
      </c>
      <c r="G542" t="str">
        <f t="shared" ca="1" si="38"/>
        <v>Banda Larga + Movel</v>
      </c>
      <c r="H542" t="str">
        <f ca="1">TRIM([1]Planilha1!$E542)</f>
        <v>850M+60GB=R$149,99 (C/ GLOBOPLAY, HBO, DISNEY+)</v>
      </c>
      <c r="I542" t="str">
        <f ca="1">IF([1]Planilha1!$F542="","",TRIM([1]Planilha1!$F542))</f>
        <v>Fibra</v>
      </c>
      <c r="J542" s="3">
        <f ca="1">IF([1]Planilha1!$G542="","",[1]Planilha1!$G542)</f>
        <v>850</v>
      </c>
      <c r="K542" s="4" cm="1">
        <f t="array" aca="1" ref="K542" ca="1">IFERROR(VALUE(_xlfn.REGEXEXTRACT([1]Planilha1!$E542,"\+\s*(\d+)GB",2)),"")</f>
        <v>60</v>
      </c>
      <c r="L542" s="5">
        <f ca="1">IF([1]Planilha1!$H542="","",[1]Planilha1!$H542)</f>
        <v>149.99</v>
      </c>
      <c r="M542" s="5" t="str">
        <f ca="1">IF([1]Planilha1!$I542="","",[1]Planilha1!$I542)</f>
        <v/>
      </c>
      <c r="N542" s="2" t="str" cm="1">
        <f t="array" aca="1" ref="N542" ca="1">IFERROR(VALUE(_xlfn.REGEXEXTRACT([1]Planilha1!$E542,"(\d+)\s*MESES",2)),IFERROR(VALUE(_xlfn.REGEXEXTRACT([1]Planilha1!$E542,"por\s*(\d+)\s*M",2)),IF(_xlfn.REGEXTEST([1]Planilha1!$E542,"1[ºª]"),1,"")))</f>
        <v/>
      </c>
      <c r="O542" s="6">
        <f t="shared" ca="1" si="39"/>
        <v>0.17645882352941178</v>
      </c>
      <c r="P542" t="str">
        <f ca="1">IF([1]Planilha1!$J542="","",TRIM([1]Planilha1!$J542))</f>
        <v>GLOBOPLAY, HBO, DISNEY+</v>
      </c>
      <c r="Q542" s="7">
        <f ca="1">IF($D542="Claro","",IFERROR($L542-VLOOKUP($B542&amp;"|Claro",[1]AUX_CLARO!$A:$C,2,FALSE),""))</f>
        <v>10.090000000000003</v>
      </c>
      <c r="R542" s="8">
        <f ca="1">IF($D542="Claro","",IFERROR($J542-VLOOKUP($B542&amp;"|Claro",[1]AUX_CLARO!$A:$C,3,FALSE),""))</f>
        <v>250</v>
      </c>
      <c r="S542" t="str">
        <f t="shared" ca="1" si="40"/>
        <v>Claro mais barata</v>
      </c>
      <c r="T542" t="str">
        <f t="shared" ca="1" si="41"/>
        <v>Claro com menor velocidade</v>
      </c>
      <c r="U542" s="9">
        <f t="shared" si="42"/>
        <v>46174</v>
      </c>
      <c r="V542" t="str">
        <f ca="1">IF(OR([1]Planilha1!$B542="",[1]Planilha1!$B542="NÃO MAPEADO"),"",TRIM([1]Planilha1!$B542))</f>
        <v>NOROESTE</v>
      </c>
      <c r="W542" t="str">
        <f ca="1">IF([1]Planilha1!$C542="","",TRIM([1]Planilha1!$C542))</f>
        <v>MD 2</v>
      </c>
      <c r="X542" t="str">
        <f ca="1">IFERROR(VLOOKUP($C542,[1]Planilha2!$B:$H,7,FALSE),"")</f>
        <v>16880-001</v>
      </c>
    </row>
    <row r="543" spans="1:24" x14ac:dyDescent="0.35">
      <c r="A543" t="str">
        <f ca="1">IF(LEFT(TEXT([1]Planilha1!$L543,"0000000"),1)="5","MS","SP")</f>
        <v>SP</v>
      </c>
      <c r="B543" t="str">
        <f ca="1">IF(RIGHT([1]Planilha1!$A543,5)=" - MS",LEFT([1]Planilha1!$A543,LEN([1]Planilha1!$A543)-5),TRIM([1]Planilha1!$A543))</f>
        <v>VALPARAISO</v>
      </c>
      <c r="C543" s="2">
        <f ca="1">[1]Planilha1!$L543</f>
        <v>3556305</v>
      </c>
      <c r="D543" t="str">
        <f>TRIM([1]Planilha1!$D543)</f>
        <v>ISP LOCAL</v>
      </c>
      <c r="E543" t="str">
        <f>IF(TRIM([1]Planilha1!$D543)="Claro","Claro","Concorrente")</f>
        <v>Concorrente</v>
      </c>
      <c r="F543" t="s">
        <v>91</v>
      </c>
      <c r="G543" t="str">
        <f t="shared" ca="1" si="38"/>
        <v>Banda Larga + Conteudo</v>
      </c>
      <c r="H543" t="str">
        <f ca="1">TRIM([1]Planilha1!$E543)</f>
        <v>FNET - 600M R$99,99</v>
      </c>
      <c r="I543" t="str">
        <f ca="1">IF([1]Planilha1!$F543="","",TRIM([1]Planilha1!$F543))</f>
        <v>Fibra</v>
      </c>
      <c r="J543" s="3">
        <f ca="1">IF([1]Planilha1!$G543="","",[1]Planilha1!$G543)</f>
        <v>600</v>
      </c>
      <c r="K543" s="4" t="str" cm="1">
        <f t="array" aca="1" ref="K543" ca="1">IFERROR(VALUE(_xlfn.REGEXEXTRACT([1]Planilha1!$E543,"\+\s*(\d+)GB",2)),"")</f>
        <v/>
      </c>
      <c r="L543" s="5">
        <f ca="1">IF([1]Planilha1!$H543="","",[1]Planilha1!$H543)</f>
        <v>99.99</v>
      </c>
      <c r="M543" s="5" t="str">
        <f ca="1">IF([1]Planilha1!$I543="","",[1]Planilha1!$I543)</f>
        <v/>
      </c>
      <c r="N543" s="2" t="str" cm="1">
        <f t="array" aca="1" ref="N543" ca="1">IFERROR(VALUE(_xlfn.REGEXEXTRACT([1]Planilha1!$E543,"(\d+)\s*MESES",2)),IFERROR(VALUE(_xlfn.REGEXEXTRACT([1]Planilha1!$E543,"por\s*(\d+)\s*M",2)),IF(_xlfn.REGEXTEST([1]Planilha1!$E543,"1[ºª]"),1,"")))</f>
        <v/>
      </c>
      <c r="O543" s="6">
        <f t="shared" ca="1" si="39"/>
        <v>0.16664999999999999</v>
      </c>
      <c r="P543" t="str">
        <f ca="1">IF([1]Planilha1!$J543="","",TRIM([1]Planilha1!$J543))</f>
        <v>0</v>
      </c>
      <c r="Q543" s="7">
        <f ca="1">IF($D543="Claro","",IFERROR($L543-VLOOKUP($B543&amp;"|Claro",[1]AUX_CLARO!$A:$C,2,FALSE),""))</f>
        <v>-39.910000000000011</v>
      </c>
      <c r="R543" s="8">
        <f ca="1">IF($D543="Claro","",IFERROR($J543-VLOOKUP($B543&amp;"|Claro",[1]AUX_CLARO!$A:$C,3,FALSE),""))</f>
        <v>0</v>
      </c>
      <c r="S543" t="str">
        <f t="shared" ca="1" si="40"/>
        <v>Claro mais cara</v>
      </c>
      <c r="T543" t="str">
        <f t="shared" ca="1" si="41"/>
        <v>Mesma velocidade</v>
      </c>
      <c r="U543" s="9">
        <f t="shared" si="42"/>
        <v>46174</v>
      </c>
      <c r="V543" t="str">
        <f ca="1">IF(OR([1]Planilha1!$B543="",[1]Planilha1!$B543="NÃO MAPEADO"),"",TRIM([1]Planilha1!$B543))</f>
        <v>NOROESTE</v>
      </c>
      <c r="W543" t="str">
        <f ca="1">IF([1]Planilha1!$C543="","",TRIM([1]Planilha1!$C543))</f>
        <v>MD 2</v>
      </c>
      <c r="X543" t="str">
        <f ca="1">IFERROR(VLOOKUP($C543,[1]Planilha2!$B:$H,7,FALSE),"")</f>
        <v>16880-001</v>
      </c>
    </row>
    <row r="544" spans="1:24" x14ac:dyDescent="0.35">
      <c r="A544" t="str">
        <f ca="1">IF(LEFT(TEXT([1]Planilha1!$L544,"0000000"),1)="5","MS","SP")</f>
        <v>SP</v>
      </c>
      <c r="B544" t="str">
        <f ca="1">IF(RIGHT([1]Planilha1!$A544,5)=" - MS",LEFT([1]Planilha1!$A544,LEN([1]Planilha1!$A544)-5),TRIM([1]Planilha1!$A544))</f>
        <v>VINHEDO</v>
      </c>
      <c r="C544" s="2">
        <f ca="1">[1]Planilha1!$L544</f>
        <v>3556701</v>
      </c>
      <c r="D544" t="str">
        <f>TRIM([1]Planilha1!$D544)</f>
        <v>Claro</v>
      </c>
      <c r="E544" t="str">
        <f>IF(TRIM([1]Planilha1!$D544)="Claro","Claro","Concorrente")</f>
        <v>Claro</v>
      </c>
      <c r="F544" t="s">
        <v>24</v>
      </c>
      <c r="G544" t="str">
        <f t="shared" ca="1" si="38"/>
        <v>Banda Larga + Movel</v>
      </c>
      <c r="H544" t="str">
        <f ca="1">TRIM([1]Planilha1!$E544)</f>
        <v>600M+100GB=R$159,90</v>
      </c>
      <c r="I544" t="str">
        <f ca="1">IF([1]Planilha1!$F544="","",TRIM([1]Planilha1!$F544))</f>
        <v>Fibra</v>
      </c>
      <c r="J544" s="3">
        <f ca="1">IF([1]Planilha1!$G544="","",[1]Planilha1!$G544)</f>
        <v>600</v>
      </c>
      <c r="K544" s="4" cm="1">
        <f t="array" aca="1" ref="K544" ca="1">IFERROR(VALUE(_xlfn.REGEXEXTRACT([1]Planilha1!$E544,"\+\s*(\d+)GB",2)),"")</f>
        <v>100</v>
      </c>
      <c r="L544" s="5">
        <f ca="1">IF([1]Planilha1!$H544="","",[1]Planilha1!$H544)</f>
        <v>159.9</v>
      </c>
      <c r="M544" s="5" t="str">
        <f ca="1">IF([1]Planilha1!$I544="","",[1]Planilha1!$I544)</f>
        <v/>
      </c>
      <c r="N544" s="2" t="str" cm="1">
        <f t="array" aca="1" ref="N544" ca="1">IFERROR(VALUE(_xlfn.REGEXEXTRACT([1]Planilha1!$E544,"(\d+)\s*MESES",2)),IFERROR(VALUE(_xlfn.REGEXEXTRACT([1]Planilha1!$E544,"por\s*(\d+)\s*M",2)),IF(_xlfn.REGEXTEST([1]Planilha1!$E544,"1[ºª]"),1,"")))</f>
        <v/>
      </c>
      <c r="O544" s="6">
        <f t="shared" ca="1" si="39"/>
        <v>0.26650000000000001</v>
      </c>
      <c r="P544" t="str">
        <f ca="1">IF([1]Planilha1!$J544="","",TRIM([1]Planilha1!$J544))</f>
        <v>GLOBOPLAY</v>
      </c>
      <c r="Q544" s="7" t="str">
        <f>IF($D544="Claro","",IFERROR($L544-VLOOKUP($B544&amp;"|Claro",[1]AUX_CLARO!$A:$C,2,FALSE),""))</f>
        <v/>
      </c>
      <c r="R544" s="8" t="str">
        <f>IF($D544="Claro","",IFERROR($J544-VLOOKUP($B544&amp;"|Claro",[1]AUX_CLARO!$A:$C,3,FALSE),""))</f>
        <v/>
      </c>
      <c r="S544" t="str">
        <f t="shared" si="40"/>
        <v/>
      </c>
      <c r="T544" t="str">
        <f t="shared" si="41"/>
        <v/>
      </c>
      <c r="U544" s="9">
        <f t="shared" si="42"/>
        <v>46174</v>
      </c>
      <c r="V544" t="str">
        <f ca="1">IF(OR([1]Planilha1!$B544="",[1]Planilha1!$B544="NÃO MAPEADO"),"",TRIM([1]Planilha1!$B544))</f>
        <v>CENTRAL</v>
      </c>
      <c r="W544" t="str">
        <f ca="1">IF([1]Planilha1!$C544="","",TRIM([1]Planilha1!$C544))</f>
        <v>PADRÃO</v>
      </c>
      <c r="X544" t="str">
        <f ca="1">IFERROR(VLOOKUP($C544,[1]Planilha2!$B:$H,7,FALSE),"")</f>
        <v>13280-001</v>
      </c>
    </row>
    <row r="545" spans="1:24" x14ac:dyDescent="0.35">
      <c r="A545" t="str">
        <f ca="1">IF(LEFT(TEXT([1]Planilha1!$L545,"0000000"),1)="5","MS","SP")</f>
        <v>SP</v>
      </c>
      <c r="B545" t="str">
        <f ca="1">IF(RIGHT([1]Planilha1!$A545,5)=" - MS",LEFT([1]Planilha1!$A545,LEN([1]Planilha1!$A545)-5),TRIM([1]Planilha1!$A545))</f>
        <v>VINHEDO</v>
      </c>
      <c r="C545" s="2">
        <f ca="1">[1]Planilha1!$L545</f>
        <v>3556701</v>
      </c>
      <c r="D545" t="str">
        <f>TRIM([1]Planilha1!$D545)</f>
        <v>Vivo</v>
      </c>
      <c r="E545" t="str">
        <f>IF(TRIM([1]Planilha1!$D545)="Claro","Claro","Concorrente")</f>
        <v>Concorrente</v>
      </c>
      <c r="F545" t="s">
        <v>25</v>
      </c>
      <c r="G545" t="str">
        <f t="shared" ca="1" si="38"/>
        <v>Banda Larga + Movel</v>
      </c>
      <c r="H545" t="s">
        <v>26</v>
      </c>
      <c r="I545" t="str">
        <f ca="1">IF([1]Planilha1!$F545="","",TRIM([1]Planilha1!$F545))</f>
        <v>Fibra</v>
      </c>
      <c r="J545" s="11" t="s">
        <v>27</v>
      </c>
      <c r="K545" s="4" cm="1">
        <f t="array" aca="1" ref="K545" ca="1">IFERROR(VALUE(_xlfn.REGEXEXTRACT([1]Planilha1!$E545,"\+\s*(\d+)GB",2)),"")</f>
        <v>70</v>
      </c>
      <c r="L545" s="5">
        <v>160</v>
      </c>
      <c r="M545" s="5" t="str">
        <f ca="1">IF([1]Planilha1!$I545="","",[1]Planilha1!$I545)</f>
        <v/>
      </c>
      <c r="N545" s="2" t="str" cm="1">
        <f t="array" aca="1" ref="N545" ca="1">IFERROR(VALUE(_xlfn.REGEXEXTRACT([1]Planilha1!$E545,"(\d+)\s*MESES",2)),IFERROR(VALUE(_xlfn.REGEXEXTRACT([1]Planilha1!$E545,"por\s*(\d+)\s*M",2)),IF(_xlfn.REGEXTEST([1]Planilha1!$E545,"1[ºª]"),1,"")))</f>
        <v/>
      </c>
      <c r="O545" s="6" t="str">
        <f t="shared" si="39"/>
        <v/>
      </c>
      <c r="P545" t="str">
        <f ca="1">IF([1]Planilha1!$J545="","",TRIM([1]Planilha1!$J545))</f>
        <v>0</v>
      </c>
      <c r="Q545" s="7">
        <f ca="1">IF($D545="Claro","",IFERROR($L545-VLOOKUP($B545&amp;"|Claro",[1]AUX_CLARO!$A:$C,2,FALSE),""))</f>
        <v>9.9999999999994316E-2</v>
      </c>
      <c r="R545" s="8" t="str">
        <f ca="1">IF($D545="Claro","",IFERROR($J545-VLOOKUP($B545&amp;"|Claro",[1]AUX_CLARO!$A:$C,3,FALSE),""))</f>
        <v/>
      </c>
      <c r="S545" t="str">
        <f t="shared" ca="1" si="40"/>
        <v>Claro mais barata</v>
      </c>
      <c r="T545" t="str">
        <f t="shared" ca="1" si="41"/>
        <v/>
      </c>
      <c r="U545" s="9">
        <f t="shared" si="42"/>
        <v>46174</v>
      </c>
      <c r="V545" t="str">
        <f ca="1">IF(OR([1]Planilha1!$B545="",[1]Planilha1!$B545="NÃO MAPEADO"),"",TRIM([1]Planilha1!$B545))</f>
        <v>CENTRAL</v>
      </c>
      <c r="W545" t="str">
        <f ca="1">IF([1]Planilha1!$C545="","",TRIM([1]Planilha1!$C545))</f>
        <v>PADRÃO</v>
      </c>
      <c r="X545" t="str">
        <f ca="1">IFERROR(VLOOKUP($C545,[1]Planilha2!$B:$H,7,FALSE),"")</f>
        <v>13280-001</v>
      </c>
    </row>
    <row r="546" spans="1:24" x14ac:dyDescent="0.35">
      <c r="A546" t="str">
        <f ca="1">IF(LEFT(TEXT([1]Planilha1!$L546,"0000000"),1)="5","MS","SP")</f>
        <v>SP</v>
      </c>
      <c r="B546" t="str">
        <f ca="1">IF(RIGHT([1]Planilha1!$A546,5)=" - MS",LEFT([1]Planilha1!$A546,LEN([1]Planilha1!$A546)-5),TRIM([1]Planilha1!$A546))</f>
        <v>VINHEDO</v>
      </c>
      <c r="C546" s="2">
        <f ca="1">[1]Planilha1!$L546</f>
        <v>3556701</v>
      </c>
      <c r="D546" t="str">
        <f>TRIM([1]Planilha1!$D546)</f>
        <v>Desktop</v>
      </c>
      <c r="E546" t="str">
        <f>IF(TRIM([1]Planilha1!$D546)="Claro","Claro","Concorrente")</f>
        <v>Concorrente</v>
      </c>
      <c r="F546" t="s">
        <v>29</v>
      </c>
      <c r="G546" t="str">
        <f t="shared" ca="1" si="38"/>
        <v>Banda Larga + Movel</v>
      </c>
      <c r="H546" t="str">
        <f ca="1">TRIM([1]Planilha1!$E546)</f>
        <v>600M+15GB=R$129,99 - 6 MESES, APÓS R$139,99</v>
      </c>
      <c r="I546" t="str">
        <f ca="1">IF([1]Planilha1!$F546="","",TRIM([1]Planilha1!$F546))</f>
        <v>Fibra</v>
      </c>
      <c r="J546" s="3">
        <f ca="1">IF([1]Planilha1!$G546="","",[1]Planilha1!$G546)</f>
        <v>600</v>
      </c>
      <c r="K546" s="4" cm="1">
        <f t="array" aca="1" ref="K546" ca="1">IFERROR(VALUE(_xlfn.REGEXEXTRACT([1]Planilha1!$E546,"\+\s*(\d+)GB",2)),"")</f>
        <v>15</v>
      </c>
      <c r="L546" s="5">
        <f ca="1">IF([1]Planilha1!$H546="","",[1]Planilha1!$H546)</f>
        <v>139.99</v>
      </c>
      <c r="M546" s="5">
        <f ca="1">IF([1]Planilha1!$I546="","",[1]Planilha1!$I546)</f>
        <v>129.99</v>
      </c>
      <c r="N546" s="2" cm="1">
        <f t="array" aca="1" ref="N546" ca="1">IFERROR(VALUE(_xlfn.REGEXEXTRACT([1]Planilha1!$E546,"(\d+)\s*MESES",2)),IFERROR(VALUE(_xlfn.REGEXEXTRACT([1]Planilha1!$E546,"por\s*(\d+)\s*M",2)),IF(_xlfn.REGEXTEST([1]Planilha1!$E546,"1[ºª]"),1,"")))</f>
        <v>6</v>
      </c>
      <c r="O546" s="6">
        <f t="shared" ca="1" si="39"/>
        <v>0.23331666666666667</v>
      </c>
      <c r="P546" t="str">
        <f ca="1">IF([1]Planilha1!$J546="","",TRIM([1]Planilha1!$J546))</f>
        <v>0</v>
      </c>
      <c r="Q546" s="7">
        <f ca="1">IF($D546="Claro","",IFERROR($L546-VLOOKUP($B546&amp;"|Claro",[1]AUX_CLARO!$A:$C,2,FALSE),""))</f>
        <v>-19.909999999999997</v>
      </c>
      <c r="R546" s="8">
        <f ca="1">IF($D546="Claro","",IFERROR($J546-VLOOKUP($B546&amp;"|Claro",[1]AUX_CLARO!$A:$C,3,FALSE),""))</f>
        <v>0</v>
      </c>
      <c r="S546" t="str">
        <f t="shared" ca="1" si="40"/>
        <v>Claro mais cara</v>
      </c>
      <c r="T546" t="str">
        <f t="shared" ca="1" si="41"/>
        <v>Mesma velocidade</v>
      </c>
      <c r="U546" s="9">
        <f t="shared" si="42"/>
        <v>46174</v>
      </c>
      <c r="V546" t="str">
        <f ca="1">IF(OR([1]Planilha1!$B546="",[1]Planilha1!$B546="NÃO MAPEADO"),"",TRIM([1]Planilha1!$B546))</f>
        <v>CENTRAL</v>
      </c>
      <c r="W546" t="str">
        <f ca="1">IF([1]Planilha1!$C546="","",TRIM([1]Planilha1!$C546))</f>
        <v>PADRÃO</v>
      </c>
      <c r="X546" t="str">
        <f ca="1">IFERROR(VLOOKUP($C546,[1]Planilha2!$B:$H,7,FALSE),"")</f>
        <v>13280-001</v>
      </c>
    </row>
    <row r="547" spans="1:24" x14ac:dyDescent="0.35">
      <c r="A547" t="str">
        <f ca="1">IF(LEFT(TEXT([1]Planilha1!$L547,"0000000"),1)="5","MS","SP")</f>
        <v>SP</v>
      </c>
      <c r="B547" t="str">
        <f ca="1">IF(RIGHT([1]Planilha1!$A547,5)=" - MS",LEFT([1]Planilha1!$A547,LEN([1]Planilha1!$A547)-5),TRIM([1]Planilha1!$A547))</f>
        <v>VINHEDO</v>
      </c>
      <c r="C547" s="2">
        <f ca="1">[1]Planilha1!$L547</f>
        <v>3556701</v>
      </c>
      <c r="D547" t="str">
        <f>TRIM([1]Planilha1!$D547)</f>
        <v>Alares</v>
      </c>
      <c r="E547" t="str">
        <f>IF(TRIM([1]Planilha1!$D547)="Claro","Claro","Concorrente")</f>
        <v>Concorrente</v>
      </c>
      <c r="F547" t="s">
        <v>32</v>
      </c>
      <c r="G547" t="str">
        <f t="shared" ca="1" si="38"/>
        <v>Banda Larga + Conteudo</v>
      </c>
      <c r="H547" t="str">
        <f ca="1">TRIM([1]Planilha1!$E547)</f>
        <v>1GB + GLOBOPLAY R$99,90</v>
      </c>
      <c r="I547" t="str">
        <f ca="1">IF([1]Planilha1!$F547="","",TRIM([1]Planilha1!$F547))</f>
        <v>Fibra</v>
      </c>
      <c r="J547" s="3">
        <f ca="1">IF([1]Planilha1!$G547="","",[1]Planilha1!$G547)</f>
        <v>1000</v>
      </c>
      <c r="K547" s="4" t="str" cm="1">
        <f t="array" aca="1" ref="K547" ca="1">IFERROR(VALUE(_xlfn.REGEXEXTRACT([1]Planilha1!$E547,"\+\s*(\d+)GB",2)),"")</f>
        <v/>
      </c>
      <c r="L547" s="5">
        <f ca="1">IF([1]Planilha1!$H547="","",[1]Planilha1!$H547)</f>
        <v>99.9</v>
      </c>
      <c r="M547" s="5" t="str">
        <f ca="1">IF([1]Planilha1!$I547="","",[1]Planilha1!$I547)</f>
        <v/>
      </c>
      <c r="N547" s="2" t="str" cm="1">
        <f t="array" aca="1" ref="N547" ca="1">IFERROR(VALUE(_xlfn.REGEXEXTRACT([1]Planilha1!$E547,"(\d+)\s*MESES",2)),IFERROR(VALUE(_xlfn.REGEXEXTRACT([1]Planilha1!$E547,"por\s*(\d+)\s*M",2)),IF(_xlfn.REGEXTEST([1]Planilha1!$E547,"1[ºª]"),1,"")))</f>
        <v/>
      </c>
      <c r="O547" s="6">
        <f t="shared" ca="1" si="39"/>
        <v>9.9900000000000003E-2</v>
      </c>
      <c r="P547" t="str">
        <f ca="1">IF([1]Planilha1!$J547="","",TRIM([1]Planilha1!$J547))</f>
        <v>GLOBOPLAY</v>
      </c>
      <c r="Q547" s="7">
        <f ca="1">IF($D547="Claro","",IFERROR($L547-VLOOKUP($B547&amp;"|Claro",[1]AUX_CLARO!$A:$C,2,FALSE),""))</f>
        <v>-60</v>
      </c>
      <c r="R547" s="8">
        <f ca="1">IF($D547="Claro","",IFERROR($J547-VLOOKUP($B547&amp;"|Claro",[1]AUX_CLARO!$A:$C,3,FALSE),""))</f>
        <v>400</v>
      </c>
      <c r="S547" t="str">
        <f t="shared" ca="1" si="40"/>
        <v>Claro mais cara</v>
      </c>
      <c r="T547" t="str">
        <f t="shared" ca="1" si="41"/>
        <v>Claro com menor velocidade</v>
      </c>
      <c r="U547" s="9">
        <f t="shared" si="42"/>
        <v>46174</v>
      </c>
      <c r="V547" t="str">
        <f ca="1">IF(OR([1]Planilha1!$B547="",[1]Planilha1!$B547="NÃO MAPEADO"),"",TRIM([1]Planilha1!$B547))</f>
        <v>CENTRAL</v>
      </c>
      <c r="W547" t="str">
        <f ca="1">IF([1]Planilha1!$C547="","",TRIM([1]Planilha1!$C547))</f>
        <v>PADRÃO</v>
      </c>
      <c r="X547" t="str">
        <f ca="1">IFERROR(VLOOKUP($C547,[1]Planilha2!$B:$H,7,FALSE),"")</f>
        <v>13280-001</v>
      </c>
    </row>
    <row r="548" spans="1:24" x14ac:dyDescent="0.35">
      <c r="A548" t="str">
        <f ca="1">IF(LEFT(TEXT([1]Planilha1!$L548,"0000000"),1)="5","MS","SP")</f>
        <v>SP</v>
      </c>
      <c r="B548" t="str">
        <f ca="1">IF(RIGHT([1]Planilha1!$A548,5)=" - MS",LEFT([1]Planilha1!$A548,LEN([1]Planilha1!$A548)-5),TRIM([1]Planilha1!$A548))</f>
        <v>VINHEDO</v>
      </c>
      <c r="C548" s="2">
        <f ca="1">[1]Planilha1!$L548</f>
        <v>3556701</v>
      </c>
      <c r="D548" t="str">
        <f>TRIM([1]Planilha1!$D548)</f>
        <v>ISP LOCAL</v>
      </c>
      <c r="E548" t="str">
        <f>IF(TRIM([1]Planilha1!$D548)="Claro","Claro","Concorrente")</f>
        <v>Concorrente</v>
      </c>
      <c r="G548" t="str">
        <f t="shared" ca="1" si="38"/>
        <v>Banda Larga + Conteudo</v>
      </c>
      <c r="H548" t="str">
        <f ca="1">TRIM([1]Planilha1!$E548)</f>
        <v>VIA FIBRA - 600M R$99,90</v>
      </c>
      <c r="I548" t="str">
        <f ca="1">IF([1]Planilha1!$F548="","",TRIM([1]Planilha1!$F548))</f>
        <v>Fibra</v>
      </c>
      <c r="J548" s="3">
        <f ca="1">IF([1]Planilha1!$G548="","",[1]Planilha1!$G548)</f>
        <v>600</v>
      </c>
      <c r="K548" s="4" t="str" cm="1">
        <f t="array" aca="1" ref="K548" ca="1">IFERROR(VALUE(_xlfn.REGEXEXTRACT([1]Planilha1!$E548,"\+\s*(\d+)GB",2)),"")</f>
        <v/>
      </c>
      <c r="L548" s="5">
        <f ca="1">IF([1]Planilha1!$H548="","",[1]Planilha1!$H548)</f>
        <v>99.9</v>
      </c>
      <c r="M548" s="5" t="str">
        <f ca="1">IF([1]Planilha1!$I548="","",[1]Planilha1!$I548)</f>
        <v/>
      </c>
      <c r="N548" s="2" t="str" cm="1">
        <f t="array" aca="1" ref="N548" ca="1">IFERROR(VALUE(_xlfn.REGEXEXTRACT([1]Planilha1!$E548,"(\d+)\s*MESES",2)),IFERROR(VALUE(_xlfn.REGEXEXTRACT([1]Planilha1!$E548,"por\s*(\d+)\s*M",2)),IF(_xlfn.REGEXTEST([1]Planilha1!$E548,"1[ºª]"),1,"")))</f>
        <v/>
      </c>
      <c r="O548" s="6">
        <f t="shared" ca="1" si="39"/>
        <v>0.16650000000000001</v>
      </c>
      <c r="P548" t="str">
        <f ca="1">IF([1]Planilha1!$J548="","",TRIM([1]Planilha1!$J548))</f>
        <v>0</v>
      </c>
      <c r="Q548" s="7">
        <f ca="1">IF($D548="Claro","",IFERROR($L548-VLOOKUP($B548&amp;"|Claro",[1]AUX_CLARO!$A:$C,2,FALSE),""))</f>
        <v>-60</v>
      </c>
      <c r="R548" s="8">
        <f ca="1">IF($D548="Claro","",IFERROR($J548-VLOOKUP($B548&amp;"|Claro",[1]AUX_CLARO!$A:$C,3,FALSE),""))</f>
        <v>0</v>
      </c>
      <c r="S548" t="str">
        <f t="shared" ca="1" si="40"/>
        <v>Claro mais cara</v>
      </c>
      <c r="T548" t="str">
        <f t="shared" ca="1" si="41"/>
        <v>Mesma velocidade</v>
      </c>
      <c r="U548" s="9">
        <f t="shared" si="42"/>
        <v>46174</v>
      </c>
      <c r="V548" t="str">
        <f ca="1">IF(OR([1]Planilha1!$B548="",[1]Planilha1!$B548="NÃO MAPEADO"),"",TRIM([1]Planilha1!$B548))</f>
        <v>CENTRAL</v>
      </c>
      <c r="W548" t="str">
        <f ca="1">IF([1]Planilha1!$C548="","",TRIM([1]Planilha1!$C548))</f>
        <v>PADRÃO</v>
      </c>
      <c r="X548" t="str">
        <f ca="1">IFERROR(VLOOKUP($C548,[1]Planilha2!$B:$H,7,FALSE),"")</f>
        <v>13280-001</v>
      </c>
    </row>
    <row r="549" spans="1:24" x14ac:dyDescent="0.35">
      <c r="A549" t="str">
        <f ca="1">IF(LEFT(TEXT([1]Planilha1!$L549,"0000000"),1)="5","MS","SP")</f>
        <v>SP</v>
      </c>
      <c r="B549" t="str">
        <f ca="1">IF(RIGHT([1]Planilha1!$A549,5)=" - MS",LEFT([1]Planilha1!$A549,LEN([1]Planilha1!$A549)-5),TRIM([1]Planilha1!$A549))</f>
        <v>VOTORANTIM</v>
      </c>
      <c r="C549" s="2">
        <f ca="1">[1]Planilha1!$L549</f>
        <v>3557006</v>
      </c>
      <c r="D549" t="str">
        <f>TRIM([1]Planilha1!$D549)</f>
        <v>Claro</v>
      </c>
      <c r="E549" t="str">
        <f>IF(TRIM([1]Planilha1!$D549)="Claro","Claro","Concorrente")</f>
        <v>Claro</v>
      </c>
      <c r="F549" t="s">
        <v>24</v>
      </c>
      <c r="G549" t="str">
        <f t="shared" ca="1" si="38"/>
        <v>Banda Larga + Movel</v>
      </c>
      <c r="H549" t="str">
        <f ca="1">TRIM([1]Planilha1!$E549)</f>
        <v>600M+100GB=R$159,90</v>
      </c>
      <c r="I549" t="str">
        <f ca="1">IF([1]Planilha1!$F549="","",TRIM([1]Planilha1!$F549))</f>
        <v>Fibra</v>
      </c>
      <c r="J549" s="3">
        <f ca="1">IF([1]Planilha1!$G549="","",[1]Planilha1!$G549)</f>
        <v>600</v>
      </c>
      <c r="K549" s="4" cm="1">
        <f t="array" aca="1" ref="K549" ca="1">IFERROR(VALUE(_xlfn.REGEXEXTRACT([1]Planilha1!$E549,"\+\s*(\d+)GB",2)),"")</f>
        <v>100</v>
      </c>
      <c r="L549" s="5">
        <f ca="1">IF([1]Planilha1!$H549="","",[1]Planilha1!$H549)</f>
        <v>159.9</v>
      </c>
      <c r="M549" s="5" t="str">
        <f ca="1">IF([1]Planilha1!$I549="","",[1]Planilha1!$I549)</f>
        <v/>
      </c>
      <c r="N549" s="2" t="str" cm="1">
        <f t="array" aca="1" ref="N549" ca="1">IFERROR(VALUE(_xlfn.REGEXEXTRACT([1]Planilha1!$E549,"(\d+)\s*MESES",2)),IFERROR(VALUE(_xlfn.REGEXEXTRACT([1]Planilha1!$E549,"por\s*(\d+)\s*M",2)),IF(_xlfn.REGEXTEST([1]Planilha1!$E549,"1[ºª]"),1,"")))</f>
        <v/>
      </c>
      <c r="O549" s="6">
        <f t="shared" ca="1" si="39"/>
        <v>0.26650000000000001</v>
      </c>
      <c r="P549" t="str">
        <f ca="1">IF([1]Planilha1!$J549="","",TRIM([1]Planilha1!$J549))</f>
        <v>GLOBOPLAY</v>
      </c>
      <c r="Q549" s="7" t="str">
        <f>IF($D549="Claro","",IFERROR($L549-VLOOKUP($B549&amp;"|Claro",[1]AUX_CLARO!$A:$C,2,FALSE),""))</f>
        <v/>
      </c>
      <c r="R549" s="8" t="str">
        <f>IF($D549="Claro","",IFERROR($J549-VLOOKUP($B549&amp;"|Claro",[1]AUX_CLARO!$A:$C,3,FALSE),""))</f>
        <v/>
      </c>
      <c r="S549" t="str">
        <f t="shared" si="40"/>
        <v/>
      </c>
      <c r="T549" t="str">
        <f t="shared" si="41"/>
        <v/>
      </c>
      <c r="U549" s="9">
        <f t="shared" si="42"/>
        <v>46174</v>
      </c>
      <c r="V549" t="str">
        <f ca="1">IF(OR([1]Planilha1!$B549="",[1]Planilha1!$B549="NÃO MAPEADO"),"",TRIM([1]Planilha1!$B549))</f>
        <v>OESTE</v>
      </c>
      <c r="W549" t="str">
        <f ca="1">IF([1]Planilha1!$C549="","",TRIM([1]Planilha1!$C549))</f>
        <v>PADRÃO</v>
      </c>
      <c r="X549" t="str">
        <f ca="1">IFERROR(VLOOKUP($C549,[1]Planilha2!$B:$H,7,FALSE),"")</f>
        <v>18110-001</v>
      </c>
    </row>
    <row r="550" spans="1:24" x14ac:dyDescent="0.35">
      <c r="A550" t="str">
        <f ca="1">IF(LEFT(TEXT([1]Planilha1!$L550,"0000000"),1)="5","MS","SP")</f>
        <v>SP</v>
      </c>
      <c r="B550" t="str">
        <f ca="1">IF(RIGHT([1]Planilha1!$A550,5)=" - MS",LEFT([1]Planilha1!$A550,LEN([1]Planilha1!$A550)-5),TRIM([1]Planilha1!$A550))</f>
        <v>VOTORANTIM</v>
      </c>
      <c r="C550" s="2">
        <f ca="1">[1]Planilha1!$L550</f>
        <v>3557006</v>
      </c>
      <c r="D550" t="str">
        <f>TRIM([1]Planilha1!$D550)</f>
        <v>Vivo</v>
      </c>
      <c r="E550" t="str">
        <f>IF(TRIM([1]Planilha1!$D550)="Claro","Claro","Concorrente")</f>
        <v>Concorrente</v>
      </c>
      <c r="F550" t="s">
        <v>25</v>
      </c>
      <c r="G550" t="str">
        <f t="shared" ca="1" si="38"/>
        <v>Banda Larga + Movel</v>
      </c>
      <c r="H550" t="s">
        <v>26</v>
      </c>
      <c r="I550" t="str">
        <f ca="1">IF([1]Planilha1!$F550="","",TRIM([1]Planilha1!$F550))</f>
        <v>Fibra</v>
      </c>
      <c r="J550" s="11" t="s">
        <v>27</v>
      </c>
      <c r="K550" s="4" cm="1">
        <f t="array" aca="1" ref="K550" ca="1">IFERROR(VALUE(_xlfn.REGEXEXTRACT([1]Planilha1!$E550,"\+\s*(\d+)GB",2)),"")</f>
        <v>70</v>
      </c>
      <c r="L550" s="5">
        <v>160</v>
      </c>
      <c r="M550" s="5" t="str">
        <f ca="1">IF([1]Planilha1!$I550="","",[1]Planilha1!$I550)</f>
        <v/>
      </c>
      <c r="N550" s="2" t="str" cm="1">
        <f t="array" aca="1" ref="N550" ca="1">IFERROR(VALUE(_xlfn.REGEXEXTRACT([1]Planilha1!$E550,"(\d+)\s*MESES",2)),IFERROR(VALUE(_xlfn.REGEXEXTRACT([1]Planilha1!$E550,"por\s*(\d+)\s*M",2)),IF(_xlfn.REGEXTEST([1]Planilha1!$E550,"1[ºª]"),1,"")))</f>
        <v/>
      </c>
      <c r="O550" s="6" t="str">
        <f t="shared" si="39"/>
        <v/>
      </c>
      <c r="P550" t="str">
        <f ca="1">IF([1]Planilha1!$J550="","",TRIM([1]Planilha1!$J550))</f>
        <v>0</v>
      </c>
      <c r="Q550" s="7">
        <f ca="1">IF($D550="Claro","",IFERROR($L550-VLOOKUP($B550&amp;"|Claro",[1]AUX_CLARO!$A:$C,2,FALSE),""))</f>
        <v>9.9999999999994316E-2</v>
      </c>
      <c r="R550" s="8" t="str">
        <f ca="1">IF($D550="Claro","",IFERROR($J550-VLOOKUP($B550&amp;"|Claro",[1]AUX_CLARO!$A:$C,3,FALSE),""))</f>
        <v/>
      </c>
      <c r="S550" t="str">
        <f t="shared" ca="1" si="40"/>
        <v>Claro mais barata</v>
      </c>
      <c r="T550" t="str">
        <f t="shared" ca="1" si="41"/>
        <v/>
      </c>
      <c r="U550" s="9">
        <f t="shared" si="42"/>
        <v>46174</v>
      </c>
      <c r="V550" t="str">
        <f ca="1">IF(OR([1]Planilha1!$B550="",[1]Planilha1!$B550="NÃO MAPEADO"),"",TRIM([1]Planilha1!$B550))</f>
        <v>OESTE</v>
      </c>
      <c r="W550" t="str">
        <f ca="1">IF([1]Planilha1!$C550="","",TRIM([1]Planilha1!$C550))</f>
        <v>PADRÃO</v>
      </c>
      <c r="X550" t="str">
        <f ca="1">IFERROR(VLOOKUP($C550,[1]Planilha2!$B:$H,7,FALSE),"")</f>
        <v>18110-001</v>
      </c>
    </row>
    <row r="551" spans="1:24" x14ac:dyDescent="0.35">
      <c r="A551" t="str">
        <f ca="1">IF(LEFT(TEXT([1]Planilha1!$L551,"0000000"),1)="5","MS","SP")</f>
        <v>SP</v>
      </c>
      <c r="B551" t="str">
        <f ca="1">IF(RIGHT([1]Planilha1!$A551,5)=" - MS",LEFT([1]Planilha1!$A551,LEN([1]Planilha1!$A551)-5),TRIM([1]Planilha1!$A551))</f>
        <v>VOTORANTIM</v>
      </c>
      <c r="C551" s="2">
        <f ca="1">[1]Planilha1!$L551</f>
        <v>3557006</v>
      </c>
      <c r="D551" t="str">
        <f>TRIM([1]Planilha1!$D551)</f>
        <v>Desktop</v>
      </c>
      <c r="E551" t="str">
        <f>IF(TRIM([1]Planilha1!$D551)="Claro","Claro","Concorrente")</f>
        <v>Concorrente</v>
      </c>
      <c r="F551" t="s">
        <v>29</v>
      </c>
      <c r="G551" t="str">
        <f t="shared" ca="1" si="38"/>
        <v>Banda Larga + Movel</v>
      </c>
      <c r="H551" t="str">
        <f ca="1">TRIM([1]Planilha1!$E551)</f>
        <v>600M+15GB=R$129,99 - 6 MESES, APÓS R$139,99</v>
      </c>
      <c r="I551" t="str">
        <f ca="1">IF([1]Planilha1!$F551="","",TRIM([1]Planilha1!$F551))</f>
        <v>Fibra</v>
      </c>
      <c r="J551" s="3">
        <f ca="1">IF([1]Planilha1!$G551="","",[1]Planilha1!$G551)</f>
        <v>600</v>
      </c>
      <c r="K551" s="4" cm="1">
        <f t="array" aca="1" ref="K551" ca="1">IFERROR(VALUE(_xlfn.REGEXEXTRACT([1]Planilha1!$E551,"\+\s*(\d+)GB",2)),"")</f>
        <v>15</v>
      </c>
      <c r="L551" s="5">
        <f ca="1">IF([1]Planilha1!$H551="","",[1]Planilha1!$H551)</f>
        <v>139.99</v>
      </c>
      <c r="M551" s="5">
        <f ca="1">IF([1]Planilha1!$I551="","",[1]Planilha1!$I551)</f>
        <v>129.99</v>
      </c>
      <c r="N551" s="2" cm="1">
        <f t="array" aca="1" ref="N551" ca="1">IFERROR(VALUE(_xlfn.REGEXEXTRACT([1]Planilha1!$E551,"(\d+)\s*MESES",2)),IFERROR(VALUE(_xlfn.REGEXEXTRACT([1]Planilha1!$E551,"por\s*(\d+)\s*M",2)),IF(_xlfn.REGEXTEST([1]Planilha1!$E551,"1[ºª]"),1,"")))</f>
        <v>6</v>
      </c>
      <c r="O551" s="6">
        <f t="shared" ca="1" si="39"/>
        <v>0.23331666666666667</v>
      </c>
      <c r="P551" t="str">
        <f ca="1">IF([1]Planilha1!$J551="","",TRIM([1]Planilha1!$J551))</f>
        <v>0</v>
      </c>
      <c r="Q551" s="7">
        <f ca="1">IF($D551="Claro","",IFERROR($L551-VLOOKUP($B551&amp;"|Claro",[1]AUX_CLARO!$A:$C,2,FALSE),""))</f>
        <v>-19.909999999999997</v>
      </c>
      <c r="R551" s="8">
        <f ca="1">IF($D551="Claro","",IFERROR($J551-VLOOKUP($B551&amp;"|Claro",[1]AUX_CLARO!$A:$C,3,FALSE),""))</f>
        <v>0</v>
      </c>
      <c r="S551" t="str">
        <f t="shared" ca="1" si="40"/>
        <v>Claro mais cara</v>
      </c>
      <c r="T551" t="str">
        <f t="shared" ca="1" si="41"/>
        <v>Mesma velocidade</v>
      </c>
      <c r="U551" s="9">
        <f t="shared" si="42"/>
        <v>46174</v>
      </c>
      <c r="V551" t="str">
        <f ca="1">IF(OR([1]Planilha1!$B551="",[1]Planilha1!$B551="NÃO MAPEADO"),"",TRIM([1]Planilha1!$B551))</f>
        <v>OESTE</v>
      </c>
      <c r="W551" t="str">
        <f ca="1">IF([1]Planilha1!$C551="","",TRIM([1]Planilha1!$C551))</f>
        <v>PADRÃO</v>
      </c>
      <c r="X551" t="str">
        <f ca="1">IFERROR(VLOOKUP($C551,[1]Planilha2!$B:$H,7,FALSE),"")</f>
        <v>18110-001</v>
      </c>
    </row>
    <row r="552" spans="1:24" x14ac:dyDescent="0.35">
      <c r="A552" t="str">
        <f ca="1">IF(LEFT(TEXT([1]Planilha1!$L552,"0000000"),1)="5","MS","SP")</f>
        <v>SP</v>
      </c>
      <c r="B552" t="str">
        <f ca="1">IF(RIGHT([1]Planilha1!$A552,5)=" - MS",LEFT([1]Planilha1!$A552,LEN([1]Planilha1!$A552)-5),TRIM([1]Planilha1!$A552))</f>
        <v>VOTORANTIM</v>
      </c>
      <c r="C552" s="2">
        <f ca="1">[1]Planilha1!$L552</f>
        <v>3557006</v>
      </c>
      <c r="D552" t="str">
        <f>TRIM([1]Planilha1!$D552)</f>
        <v>Alares</v>
      </c>
      <c r="E552" t="str">
        <f>IF(TRIM([1]Planilha1!$D552)="Claro","Claro","Concorrente")</f>
        <v>Concorrente</v>
      </c>
      <c r="F552" t="s">
        <v>32</v>
      </c>
      <c r="G552" t="str">
        <f t="shared" ca="1" si="38"/>
        <v>Banda Larga + Conteudo</v>
      </c>
      <c r="H552" t="str">
        <f ca="1">TRIM([1]Planilha1!$E552)</f>
        <v>1GB + GLOBOPLAY R$99,90</v>
      </c>
      <c r="I552" t="str">
        <f ca="1">IF([1]Planilha1!$F552="","",TRIM([1]Planilha1!$F552))</f>
        <v>Fibra</v>
      </c>
      <c r="J552" s="3">
        <f ca="1">IF([1]Planilha1!$G552="","",[1]Planilha1!$G552)</f>
        <v>1000</v>
      </c>
      <c r="K552" s="4" t="str" cm="1">
        <f t="array" aca="1" ref="K552" ca="1">IFERROR(VALUE(_xlfn.REGEXEXTRACT([1]Planilha1!$E552,"\+\s*(\d+)GB",2)),"")</f>
        <v/>
      </c>
      <c r="L552" s="5">
        <f ca="1">IF([1]Planilha1!$H552="","",[1]Planilha1!$H552)</f>
        <v>99.9</v>
      </c>
      <c r="M552" s="5" t="str">
        <f ca="1">IF([1]Planilha1!$I552="","",[1]Planilha1!$I552)</f>
        <v/>
      </c>
      <c r="N552" s="2" t="str" cm="1">
        <f t="array" aca="1" ref="N552" ca="1">IFERROR(VALUE(_xlfn.REGEXEXTRACT([1]Planilha1!$E552,"(\d+)\s*MESES",2)),IFERROR(VALUE(_xlfn.REGEXEXTRACT([1]Planilha1!$E552,"por\s*(\d+)\s*M",2)),IF(_xlfn.REGEXTEST([1]Planilha1!$E552,"1[ºª]"),1,"")))</f>
        <v/>
      </c>
      <c r="O552" s="6">
        <f t="shared" ca="1" si="39"/>
        <v>9.9900000000000003E-2</v>
      </c>
      <c r="P552" t="str">
        <f ca="1">IF([1]Planilha1!$J552="","",TRIM([1]Planilha1!$J552))</f>
        <v>GLOBOPLAY</v>
      </c>
      <c r="Q552" s="7">
        <f ca="1">IF($D552="Claro","",IFERROR($L552-VLOOKUP($B552&amp;"|Claro",[1]AUX_CLARO!$A:$C,2,FALSE),""))</f>
        <v>-60</v>
      </c>
      <c r="R552" s="8">
        <f ca="1">IF($D552="Claro","",IFERROR($J552-VLOOKUP($B552&amp;"|Claro",[1]AUX_CLARO!$A:$C,3,FALSE),""))</f>
        <v>400</v>
      </c>
      <c r="S552" t="str">
        <f t="shared" ca="1" si="40"/>
        <v>Claro mais cara</v>
      </c>
      <c r="T552" t="str">
        <f t="shared" ca="1" si="41"/>
        <v>Claro com menor velocidade</v>
      </c>
      <c r="U552" s="9">
        <f t="shared" si="42"/>
        <v>46174</v>
      </c>
      <c r="V552" t="str">
        <f ca="1">IF(OR([1]Planilha1!$B552="",[1]Planilha1!$B552="NÃO MAPEADO"),"",TRIM([1]Planilha1!$B552))</f>
        <v>OESTE</v>
      </c>
      <c r="W552" t="str">
        <f ca="1">IF([1]Planilha1!$C552="","",TRIM([1]Planilha1!$C552))</f>
        <v>PADRÃO</v>
      </c>
      <c r="X552" t="str">
        <f ca="1">IFERROR(VLOOKUP($C552,[1]Planilha2!$B:$H,7,FALSE),"")</f>
        <v>18110-001</v>
      </c>
    </row>
    <row r="553" spans="1:24" x14ac:dyDescent="0.35">
      <c r="A553" t="str">
        <f ca="1">IF(LEFT(TEXT([1]Planilha1!$L553,"0000000"),1)="5","MS","SP")</f>
        <v>SP</v>
      </c>
      <c r="B553" t="str">
        <f ca="1">IF(RIGHT([1]Planilha1!$A553,5)=" - MS",LEFT([1]Planilha1!$A553,LEN([1]Planilha1!$A553)-5),TRIM([1]Planilha1!$A553))</f>
        <v>VOTORANTIM</v>
      </c>
      <c r="C553" s="2">
        <f ca="1">[1]Planilha1!$L553</f>
        <v>3557006</v>
      </c>
      <c r="D553" t="str">
        <f>TRIM([1]Planilha1!$D553)</f>
        <v>Vero</v>
      </c>
      <c r="E553" t="str">
        <f>IF(TRIM([1]Planilha1!$D553)="Claro","Claro","Concorrente")</f>
        <v>Concorrente</v>
      </c>
      <c r="F553" t="s">
        <v>30</v>
      </c>
      <c r="G553" t="str">
        <f t="shared" ca="1" si="38"/>
        <v>Banda Larga + Movel</v>
      </c>
      <c r="H553" t="str">
        <f ca="1">TRIM([1]Planilha1!$E553)</f>
        <v>850M+60GB=R$149,99 (C/ GLOBOPLAY, HBO, DISNEY+)</v>
      </c>
      <c r="I553" t="str">
        <f ca="1">IF([1]Planilha1!$F553="","",TRIM([1]Planilha1!$F553))</f>
        <v>Fibra</v>
      </c>
      <c r="J553" s="3">
        <f ca="1">IF([1]Planilha1!$G553="","",[1]Planilha1!$G553)</f>
        <v>850</v>
      </c>
      <c r="K553" s="4" cm="1">
        <f t="array" aca="1" ref="K553" ca="1">IFERROR(VALUE(_xlfn.REGEXEXTRACT([1]Planilha1!$E553,"\+\s*(\d+)GB",2)),"")</f>
        <v>60</v>
      </c>
      <c r="L553" s="5">
        <f ca="1">IF([1]Planilha1!$H553="","",[1]Planilha1!$H553)</f>
        <v>149.99</v>
      </c>
      <c r="M553" s="5" t="str">
        <f ca="1">IF([1]Planilha1!$I553="","",[1]Planilha1!$I553)</f>
        <v/>
      </c>
      <c r="N553" s="2" t="str" cm="1">
        <f t="array" aca="1" ref="N553" ca="1">IFERROR(VALUE(_xlfn.REGEXEXTRACT([1]Planilha1!$E553,"(\d+)\s*MESES",2)),IFERROR(VALUE(_xlfn.REGEXEXTRACT([1]Planilha1!$E553,"por\s*(\d+)\s*M",2)),IF(_xlfn.REGEXTEST([1]Planilha1!$E553,"1[ºª]"),1,"")))</f>
        <v/>
      </c>
      <c r="O553" s="6">
        <f t="shared" ca="1" si="39"/>
        <v>0.17645882352941178</v>
      </c>
      <c r="P553" t="str">
        <f ca="1">IF([1]Planilha1!$J553="","",TRIM([1]Planilha1!$J553))</f>
        <v>GLOBOPLAY, HBO, DISNEY+</v>
      </c>
      <c r="Q553" s="7">
        <f ca="1">IF($D553="Claro","",IFERROR($L553-VLOOKUP($B553&amp;"|Claro",[1]AUX_CLARO!$A:$C,2,FALSE),""))</f>
        <v>-9.9099999999999966</v>
      </c>
      <c r="R553" s="8">
        <f ca="1">IF($D553="Claro","",IFERROR($J553-VLOOKUP($B553&amp;"|Claro",[1]AUX_CLARO!$A:$C,3,FALSE),""))</f>
        <v>250</v>
      </c>
      <c r="S553" t="str">
        <f t="shared" ca="1" si="40"/>
        <v>Claro mais cara</v>
      </c>
      <c r="T553" t="str">
        <f t="shared" ca="1" si="41"/>
        <v>Claro com menor velocidade</v>
      </c>
      <c r="U553" s="9">
        <f t="shared" si="42"/>
        <v>46174</v>
      </c>
      <c r="V553" t="str">
        <f ca="1">IF(OR([1]Planilha1!$B553="",[1]Planilha1!$B553="NÃO MAPEADO"),"",TRIM([1]Planilha1!$B553))</f>
        <v>OESTE</v>
      </c>
      <c r="W553" t="str">
        <f ca="1">IF([1]Planilha1!$C553="","",TRIM([1]Planilha1!$C553))</f>
        <v>PADRÃO</v>
      </c>
      <c r="X553" t="str">
        <f ca="1">IFERROR(VLOOKUP($C553,[1]Planilha2!$B:$H,7,FALSE),"")</f>
        <v>18110-001</v>
      </c>
    </row>
    <row r="554" spans="1:24" x14ac:dyDescent="0.35">
      <c r="A554" t="str">
        <f ca="1">IF(LEFT(TEXT([1]Planilha1!$L554,"0000000"),1)="5","MS","SP")</f>
        <v>SP</v>
      </c>
      <c r="B554" t="str">
        <f ca="1">IF(RIGHT([1]Planilha1!$A554,5)=" - MS",LEFT([1]Planilha1!$A554,LEN([1]Planilha1!$A554)-5),TRIM([1]Planilha1!$A554))</f>
        <v>VOTORANTIM</v>
      </c>
      <c r="C554" s="2">
        <f ca="1">[1]Planilha1!$L554</f>
        <v>3557006</v>
      </c>
      <c r="D554" t="str">
        <f>TRIM([1]Planilha1!$D554)</f>
        <v>ISP LOCAL</v>
      </c>
      <c r="E554" t="str">
        <f>IF(TRIM([1]Planilha1!$D554)="Claro","Claro","Concorrente")</f>
        <v>Concorrente</v>
      </c>
      <c r="F554" t="s">
        <v>88</v>
      </c>
      <c r="G554" t="str">
        <f t="shared" ca="1" si="38"/>
        <v>Banda Larga + Conteudo</v>
      </c>
      <c r="H554" t="str">
        <f ca="1">TRIM([1]Planilha1!$E554)</f>
        <v>POXNET - 500M R$99,90</v>
      </c>
      <c r="I554" t="str">
        <f ca="1">IF([1]Planilha1!$F554="","",TRIM([1]Planilha1!$F554))</f>
        <v>Fibra</v>
      </c>
      <c r="J554" s="3">
        <f ca="1">IF([1]Planilha1!$G554="","",[1]Planilha1!$G554)</f>
        <v>500</v>
      </c>
      <c r="K554" s="4" t="str" cm="1">
        <f t="array" aca="1" ref="K554" ca="1">IFERROR(VALUE(_xlfn.REGEXEXTRACT([1]Planilha1!$E554,"\+\s*(\d+)GB",2)),"")</f>
        <v/>
      </c>
      <c r="L554" s="5">
        <f ca="1">IF([1]Planilha1!$H554="","",[1]Planilha1!$H554)</f>
        <v>99.9</v>
      </c>
      <c r="M554" s="5" t="str">
        <f ca="1">IF([1]Planilha1!$I554="","",[1]Planilha1!$I554)</f>
        <v/>
      </c>
      <c r="N554" s="2" t="str" cm="1">
        <f t="array" aca="1" ref="N554" ca="1">IFERROR(VALUE(_xlfn.REGEXEXTRACT([1]Planilha1!$E554,"(\d+)\s*MESES",2)),IFERROR(VALUE(_xlfn.REGEXEXTRACT([1]Planilha1!$E554,"por\s*(\d+)\s*M",2)),IF(_xlfn.REGEXTEST([1]Planilha1!$E554,"1[ºª]"),1,"")))</f>
        <v/>
      </c>
      <c r="O554" s="6">
        <f t="shared" ca="1" si="39"/>
        <v>0.19980000000000001</v>
      </c>
      <c r="P554" t="str">
        <f ca="1">IF([1]Planilha1!$J554="","",TRIM([1]Planilha1!$J554))</f>
        <v>0</v>
      </c>
      <c r="Q554" s="7">
        <f ca="1">IF($D554="Claro","",IFERROR($L554-VLOOKUP($B554&amp;"|Claro",[1]AUX_CLARO!$A:$C,2,FALSE),""))</f>
        <v>-60</v>
      </c>
      <c r="R554" s="8">
        <f ca="1">IF($D554="Claro","",IFERROR($J554-VLOOKUP($B554&amp;"|Claro",[1]AUX_CLARO!$A:$C,3,FALSE),""))</f>
        <v>-100</v>
      </c>
      <c r="S554" t="str">
        <f t="shared" ca="1" si="40"/>
        <v>Claro mais cara</v>
      </c>
      <c r="T554" t="str">
        <f t="shared" ca="1" si="41"/>
        <v>Claro com maior velocidade</v>
      </c>
      <c r="U554" s="9">
        <f t="shared" si="42"/>
        <v>46174</v>
      </c>
      <c r="V554" t="str">
        <f ca="1">IF(OR([1]Planilha1!$B554="",[1]Planilha1!$B554="NÃO MAPEADO"),"",TRIM([1]Planilha1!$B554))</f>
        <v>OESTE</v>
      </c>
      <c r="W554" t="str">
        <f ca="1">IF([1]Planilha1!$C554="","",TRIM([1]Planilha1!$C554))</f>
        <v>PADRÃO</v>
      </c>
      <c r="X554" t="str">
        <f ca="1">IFERROR(VLOOKUP($C554,[1]Planilha2!$B:$H,7,FALSE),"")</f>
        <v>18110-001</v>
      </c>
    </row>
    <row r="555" spans="1:24" x14ac:dyDescent="0.35">
      <c r="A555" t="str">
        <f ca="1">IF(LEFT(TEXT([1]Planilha1!$L555,"0000000"),1)="5","MS","SP")</f>
        <v>SP</v>
      </c>
      <c r="B555" t="str">
        <f ca="1">IF(RIGHT([1]Planilha1!$A555,5)=" - MS",LEFT([1]Planilha1!$A555,LEN([1]Planilha1!$A555)-5),TRIM([1]Planilha1!$A555))</f>
        <v>VOTUPORANGA</v>
      </c>
      <c r="C555" s="2">
        <f ca="1">[1]Planilha1!$L555</f>
        <v>3557105</v>
      </c>
      <c r="D555" t="str">
        <f>TRIM([1]Planilha1!$D555)</f>
        <v>Claro</v>
      </c>
      <c r="E555" t="str">
        <f>IF(TRIM([1]Planilha1!$D555)="Claro","Claro","Concorrente")</f>
        <v>Claro</v>
      </c>
      <c r="F555" t="s">
        <v>24</v>
      </c>
      <c r="G555" t="str">
        <f t="shared" ca="1" si="38"/>
        <v>Banda Larga + Movel</v>
      </c>
      <c r="H555" t="str">
        <f ca="1">TRIM([1]Planilha1!$E555)</f>
        <v>600M+100GB=R$109,90 por 6M, após R$139,90</v>
      </c>
      <c r="I555" t="str">
        <f ca="1">IF([1]Planilha1!$F555="","",TRIM([1]Planilha1!$F555))</f>
        <v>Fibra</v>
      </c>
      <c r="J555" s="3">
        <f ca="1">IF([1]Planilha1!$G555="","",[1]Planilha1!$G555)</f>
        <v>600</v>
      </c>
      <c r="K555" s="4" cm="1">
        <f t="array" aca="1" ref="K555" ca="1">IFERROR(VALUE(_xlfn.REGEXEXTRACT([1]Planilha1!$E555,"\+\s*(\d+)GB",2)),"")</f>
        <v>100</v>
      </c>
      <c r="L555" s="5">
        <f ca="1">IF([1]Planilha1!$H555="","",[1]Planilha1!$H555)</f>
        <v>139.9</v>
      </c>
      <c r="M555" s="5">
        <f ca="1">IF([1]Planilha1!$I555="","",[1]Planilha1!$I555)</f>
        <v>109.9</v>
      </c>
      <c r="N555" s="2" cm="1">
        <f t="array" aca="1" ref="N555" ca="1">IFERROR(VALUE(_xlfn.REGEXEXTRACT([1]Planilha1!$E555,"(\d+)\s*MESES",2)),IFERROR(VALUE(_xlfn.REGEXEXTRACT([1]Planilha1!$E555,"por\s*(\d+)\s*M",2)),IF(_xlfn.REGEXTEST([1]Planilha1!$E555,"1[ºª]"),1,"")))</f>
        <v>6</v>
      </c>
      <c r="O555" s="6">
        <f t="shared" ca="1" si="39"/>
        <v>0.23316666666666669</v>
      </c>
      <c r="P555" t="str">
        <f ca="1">IF([1]Planilha1!$J555="","",TRIM([1]Planilha1!$J555))</f>
        <v>GLOBOPLAY</v>
      </c>
      <c r="Q555" s="7" t="str">
        <f>IF($D555="Claro","",IFERROR($L555-VLOOKUP($B555&amp;"|Claro",[1]AUX_CLARO!$A:$C,2,FALSE),""))</f>
        <v/>
      </c>
      <c r="R555" s="8" t="str">
        <f>IF($D555="Claro","",IFERROR($J555-VLOOKUP($B555&amp;"|Claro",[1]AUX_CLARO!$A:$C,3,FALSE),""))</f>
        <v/>
      </c>
      <c r="S555" t="str">
        <f t="shared" si="40"/>
        <v/>
      </c>
      <c r="T555" t="str">
        <f t="shared" si="41"/>
        <v/>
      </c>
      <c r="U555" s="9">
        <f t="shared" si="42"/>
        <v>46174</v>
      </c>
      <c r="V555" t="str">
        <f ca="1">IF(OR([1]Planilha1!$B555="",[1]Planilha1!$B555="NÃO MAPEADO"),"",TRIM([1]Planilha1!$B555))</f>
        <v>NOROESTE</v>
      </c>
      <c r="W555" t="str">
        <f ca="1">IF([1]Planilha1!$C555="","",TRIM([1]Planilha1!$C555))</f>
        <v>MD 2</v>
      </c>
      <c r="X555" t="str">
        <f ca="1">IFERROR(VLOOKUP($C555,[1]Planilha2!$B:$H,7,FALSE),"")</f>
        <v>15500-001</v>
      </c>
    </row>
    <row r="556" spans="1:24" x14ac:dyDescent="0.35">
      <c r="A556" t="str">
        <f ca="1">IF(LEFT(TEXT([1]Planilha1!$L556,"0000000"),1)="5","MS","SP")</f>
        <v>SP</v>
      </c>
      <c r="B556" t="str">
        <f ca="1">IF(RIGHT([1]Planilha1!$A556,5)=" - MS",LEFT([1]Planilha1!$A556,LEN([1]Planilha1!$A556)-5),TRIM([1]Planilha1!$A556))</f>
        <v>VOTUPORANGA</v>
      </c>
      <c r="C556" s="2">
        <f ca="1">[1]Planilha1!$L556</f>
        <v>3557105</v>
      </c>
      <c r="D556" t="str">
        <f>TRIM([1]Planilha1!$D556)</f>
        <v>Vivo</v>
      </c>
      <c r="E556" t="str">
        <f>IF(TRIM([1]Planilha1!$D556)="Claro","Claro","Concorrente")</f>
        <v>Concorrente</v>
      </c>
      <c r="F556" t="s">
        <v>25</v>
      </c>
      <c r="G556" t="str">
        <f t="shared" ca="1" si="38"/>
        <v>Banda Larga + Movel</v>
      </c>
      <c r="H556" t="s">
        <v>26</v>
      </c>
      <c r="I556" t="str">
        <f ca="1">IF([1]Planilha1!$F556="","",TRIM([1]Planilha1!$F556))</f>
        <v>Fibra</v>
      </c>
      <c r="J556" s="11" t="s">
        <v>27</v>
      </c>
      <c r="K556" s="4" cm="1">
        <f t="array" aca="1" ref="K556" ca="1">IFERROR(VALUE(_xlfn.REGEXEXTRACT([1]Planilha1!$E556,"\+\s*(\d+)GB",2)),"")</f>
        <v>70</v>
      </c>
      <c r="L556" s="5">
        <v>160</v>
      </c>
      <c r="M556" s="5" t="str">
        <f ca="1">IF([1]Planilha1!$I556="","",[1]Planilha1!$I556)</f>
        <v/>
      </c>
      <c r="N556" s="2" t="str" cm="1">
        <f t="array" aca="1" ref="N556" ca="1">IFERROR(VALUE(_xlfn.REGEXEXTRACT([1]Planilha1!$E556,"(\d+)\s*MESES",2)),IFERROR(VALUE(_xlfn.REGEXEXTRACT([1]Planilha1!$E556,"por\s*(\d+)\s*M",2)),IF(_xlfn.REGEXTEST([1]Planilha1!$E556,"1[ºª]"),1,"")))</f>
        <v/>
      </c>
      <c r="O556" s="6" t="str">
        <f t="shared" si="39"/>
        <v/>
      </c>
      <c r="P556" t="str">
        <f ca="1">IF([1]Planilha1!$J556="","",TRIM([1]Planilha1!$J556))</f>
        <v>0</v>
      </c>
      <c r="Q556" s="7">
        <f ca="1">IF($D556="Claro","",IFERROR($L556-VLOOKUP($B556&amp;"|Claro",[1]AUX_CLARO!$A:$C,2,FALSE),""))</f>
        <v>20.099999999999994</v>
      </c>
      <c r="R556" s="8" t="str">
        <f ca="1">IF($D556="Claro","",IFERROR($J556-VLOOKUP($B556&amp;"|Claro",[1]AUX_CLARO!$A:$C,3,FALSE),""))</f>
        <v/>
      </c>
      <c r="S556" t="str">
        <f t="shared" ca="1" si="40"/>
        <v>Claro mais barata</v>
      </c>
      <c r="T556" t="str">
        <f t="shared" ca="1" si="41"/>
        <v/>
      </c>
      <c r="U556" s="9">
        <f t="shared" si="42"/>
        <v>46174</v>
      </c>
      <c r="V556" t="str">
        <f ca="1">IF(OR([1]Planilha1!$B556="",[1]Planilha1!$B556="NÃO MAPEADO"),"",TRIM([1]Planilha1!$B556))</f>
        <v>NOROESTE</v>
      </c>
      <c r="W556" t="str">
        <f ca="1">IF([1]Planilha1!$C556="","",TRIM([1]Planilha1!$C556))</f>
        <v>MD 2</v>
      </c>
      <c r="X556" t="str">
        <f ca="1">IFERROR(VLOOKUP($C556,[1]Planilha2!$B:$H,7,FALSE),"")</f>
        <v>15500-001</v>
      </c>
    </row>
    <row r="557" spans="1:24" x14ac:dyDescent="0.35">
      <c r="A557" t="str">
        <f ca="1">IF(LEFT(TEXT([1]Planilha1!$L557,"0000000"),1)="5","MS","SP")</f>
        <v>SP</v>
      </c>
      <c r="B557" t="str">
        <f ca="1">IF(RIGHT([1]Planilha1!$A557,5)=" - MS",LEFT([1]Planilha1!$A557,LEN([1]Planilha1!$A557)-5),TRIM([1]Planilha1!$A557))</f>
        <v>VOTUPORANGA</v>
      </c>
      <c r="C557" s="2">
        <f ca="1">[1]Planilha1!$L557</f>
        <v>3557105</v>
      </c>
      <c r="D557" t="str">
        <f>TRIM([1]Planilha1!$D557)</f>
        <v>ISP LOCAL</v>
      </c>
      <c r="E557" t="str">
        <f>IF(TRIM([1]Planilha1!$D557)="Claro","Claro","Concorrente")</f>
        <v>Concorrente</v>
      </c>
      <c r="F557" t="s">
        <v>59</v>
      </c>
      <c r="G557" t="str">
        <f t="shared" ca="1" si="38"/>
        <v>Banda Larga + Conteudo</v>
      </c>
      <c r="H557" t="str">
        <f ca="1">TRIM([1]Planilha1!$E557)</f>
        <v>FLASH - 600M R$89,90 - 3 MESES, APÓS R$130,00</v>
      </c>
      <c r="I557" t="str">
        <f ca="1">IF([1]Planilha1!$F557="","",TRIM([1]Planilha1!$F557))</f>
        <v>Fibra</v>
      </c>
      <c r="J557" s="3">
        <f ca="1">IF([1]Planilha1!$G557="","",[1]Planilha1!$G557)</f>
        <v>600</v>
      </c>
      <c r="K557" s="4" t="str" cm="1">
        <f t="array" aca="1" ref="K557" ca="1">IFERROR(VALUE(_xlfn.REGEXEXTRACT([1]Planilha1!$E557,"\+\s*(\d+)GB",2)),"")</f>
        <v/>
      </c>
      <c r="L557" s="5">
        <f ca="1">IF([1]Planilha1!$H557="","",[1]Planilha1!$H557)</f>
        <v>130</v>
      </c>
      <c r="M557" s="5">
        <f ca="1">IF([1]Planilha1!$I557="","",[1]Planilha1!$I557)</f>
        <v>89.9</v>
      </c>
      <c r="N557" s="2" cm="1">
        <f t="array" aca="1" ref="N557" ca="1">IFERROR(VALUE(_xlfn.REGEXEXTRACT([1]Planilha1!$E557,"(\d+)\s*MESES",2)),IFERROR(VALUE(_xlfn.REGEXEXTRACT([1]Planilha1!$E557,"por\s*(\d+)\s*M",2)),IF(_xlfn.REGEXTEST([1]Planilha1!$E557,"1[ºª]"),1,"")))</f>
        <v>3</v>
      </c>
      <c r="O557" s="6">
        <f t="shared" ca="1" si="39"/>
        <v>0.21666666666666667</v>
      </c>
      <c r="P557" t="str">
        <f ca="1">IF([1]Planilha1!$J557="","",TRIM([1]Planilha1!$J557))</f>
        <v>0</v>
      </c>
      <c r="Q557" s="7">
        <f ca="1">IF($D557="Claro","",IFERROR($L557-VLOOKUP($B557&amp;"|Claro",[1]AUX_CLARO!$A:$C,2,FALSE),""))</f>
        <v>-9.9000000000000057</v>
      </c>
      <c r="R557" s="8">
        <f ca="1">IF($D557="Claro","",IFERROR($J557-VLOOKUP($B557&amp;"|Claro",[1]AUX_CLARO!$A:$C,3,FALSE),""))</f>
        <v>0</v>
      </c>
      <c r="S557" t="str">
        <f t="shared" ca="1" si="40"/>
        <v>Claro mais cara</v>
      </c>
      <c r="T557" t="str">
        <f t="shared" ca="1" si="41"/>
        <v>Mesma velocidade</v>
      </c>
      <c r="U557" s="9">
        <f t="shared" si="42"/>
        <v>46174</v>
      </c>
      <c r="V557" t="str">
        <f ca="1">IF(OR([1]Planilha1!$B557="",[1]Planilha1!$B557="NÃO MAPEADO"),"",TRIM([1]Planilha1!$B557))</f>
        <v>NOROESTE</v>
      </c>
      <c r="W557" t="str">
        <f ca="1">IF([1]Planilha1!$C557="","",TRIM([1]Planilha1!$C557))</f>
        <v>MD 2</v>
      </c>
      <c r="X557" t="str">
        <f ca="1">IFERROR(VLOOKUP($C557,[1]Planilha2!$B:$H,7,FALSE),"")</f>
        <v>15500-001</v>
      </c>
    </row>
    <row r="558" spans="1:24" x14ac:dyDescent="0.35">
      <c r="A558" t="str">
        <f ca="1">IF(LEFT(TEXT([1]Planilha1!$L558,"0000000"),1)="5","MS","SP")</f>
        <v>MS</v>
      </c>
      <c r="B558" t="str">
        <f ca="1">IF(RIGHT([1]Planilha1!$A558,5)=" - MS",LEFT([1]Planilha1!$A558,LEN([1]Planilha1!$A558)-5),TRIM([1]Planilha1!$A558))</f>
        <v>TRES LAGOAS</v>
      </c>
      <c r="C558" s="2">
        <f ca="1">[1]Planilha1!$L558</f>
        <v>5008305</v>
      </c>
      <c r="D558" t="str">
        <f>TRIM([1]Planilha1!$D558)</f>
        <v>Claro</v>
      </c>
      <c r="E558" t="str">
        <f>IF(TRIM([1]Planilha1!$D558)="Claro","Claro","Concorrente")</f>
        <v>Claro</v>
      </c>
      <c r="G558" t="str">
        <f t="shared" ca="1" si="38"/>
        <v>Banda Larga + Movel</v>
      </c>
      <c r="H558" t="str">
        <f ca="1">TRIM([1]Planilha1!$E558)</f>
        <v>600M+100GB=R$109,90 por 6M, após R$139,90</v>
      </c>
      <c r="I558" t="str">
        <f ca="1">IF([1]Planilha1!$F558="","",TRIM([1]Planilha1!$F558))</f>
        <v>Fibra</v>
      </c>
      <c r="J558" s="3">
        <f ca="1">IF([1]Planilha1!$G558="","",[1]Planilha1!$G558)</f>
        <v>600</v>
      </c>
      <c r="K558" s="4" cm="1">
        <f t="array" aca="1" ref="K558" ca="1">IFERROR(VALUE(_xlfn.REGEXEXTRACT([1]Planilha1!$E558,"\+\s*(\d+)GB",2)),"")</f>
        <v>100</v>
      </c>
      <c r="L558" s="5">
        <f ca="1">IF([1]Planilha1!$H558="","",[1]Planilha1!$H558)</f>
        <v>139.9</v>
      </c>
      <c r="M558" s="5">
        <f ca="1">IF([1]Planilha1!$I558="","",[1]Planilha1!$I558)</f>
        <v>109.9</v>
      </c>
      <c r="N558" s="2" cm="1">
        <f t="array" aca="1" ref="N558" ca="1">IFERROR(VALUE(_xlfn.REGEXEXTRACT([1]Planilha1!$E558,"(\d+)\s*MESES",2)),IFERROR(VALUE(_xlfn.REGEXEXTRACT([1]Planilha1!$E558,"por\s*(\d+)\s*M",2)),IF(_xlfn.REGEXTEST([1]Planilha1!$E558,"1[ºª]"),1,"")))</f>
        <v>6</v>
      </c>
      <c r="O558" s="6">
        <f t="shared" ca="1" si="39"/>
        <v>0.23316666666666669</v>
      </c>
      <c r="P558" t="str">
        <f ca="1">IF([1]Planilha1!$J558="","",TRIM([1]Planilha1!$J558))</f>
        <v/>
      </c>
      <c r="Q558" s="7" t="str">
        <f>IF($D558="Claro","",IFERROR($L558-VLOOKUP($B558&amp;"|Claro",[1]AUX_CLARO!$A:$C,2,FALSE),""))</f>
        <v/>
      </c>
      <c r="R558" s="8" t="str">
        <f>IF($D558="Claro","",IFERROR($J558-VLOOKUP($B558&amp;"|Claro",[1]AUX_CLARO!$A:$C,3,FALSE),""))</f>
        <v/>
      </c>
      <c r="S558" t="str">
        <f t="shared" si="40"/>
        <v/>
      </c>
      <c r="T558" t="str">
        <f t="shared" si="41"/>
        <v/>
      </c>
      <c r="U558" s="9">
        <f t="shared" si="42"/>
        <v>46174</v>
      </c>
      <c r="V558" t="str">
        <f ca="1">IF(OR([1]Planilha1!$B558="",[1]Planilha1!$B558="NÃO MAPEADO"),"",TRIM([1]Planilha1!$B558))</f>
        <v/>
      </c>
      <c r="W558" t="str">
        <f ca="1">IF([1]Planilha1!$C558="","",TRIM([1]Planilha1!$C558))</f>
        <v>MD 2</v>
      </c>
      <c r="X558" t="str">
        <f ca="1">IFERROR(VLOOKUP($C558,[1]Planilha2!$B:$H,7,FALSE),"")</f>
        <v/>
      </c>
    </row>
    <row r="559" spans="1:24" x14ac:dyDescent="0.35">
      <c r="A559" t="str">
        <f ca="1">IF(LEFT(TEXT([1]Planilha1!$L559,"0000000"),1)="5","MS","SP")</f>
        <v>MS</v>
      </c>
      <c r="B559" t="str">
        <f ca="1">IF(RIGHT([1]Planilha1!$A559,5)=" - MS",LEFT([1]Planilha1!$A559,LEN([1]Planilha1!$A559)-5),TRIM([1]Planilha1!$A559))</f>
        <v>TRES LAGOAS</v>
      </c>
      <c r="C559" s="2">
        <f ca="1">[1]Planilha1!$L559</f>
        <v>5008305</v>
      </c>
      <c r="D559" t="str">
        <f>TRIM([1]Planilha1!$D559)</f>
        <v>Vivo</v>
      </c>
      <c r="E559" t="str">
        <f>IF(TRIM([1]Planilha1!$D559)="Claro","Claro","Concorrente")</f>
        <v>Concorrente</v>
      </c>
      <c r="G559" t="str">
        <f t="shared" ca="1" si="38"/>
        <v>Banda Larga + Movel</v>
      </c>
      <c r="H559" t="s">
        <v>26</v>
      </c>
      <c r="I559" t="str">
        <f ca="1">IF([1]Planilha1!$F559="","",TRIM([1]Planilha1!$F559))</f>
        <v>Fibra</v>
      </c>
      <c r="J559" s="11" t="s">
        <v>27</v>
      </c>
      <c r="K559" s="4" cm="1">
        <f t="array" aca="1" ref="K559" ca="1">IFERROR(VALUE(_xlfn.REGEXEXTRACT([1]Planilha1!$E559,"\+\s*(\d+)GB",2)),"")</f>
        <v>70</v>
      </c>
      <c r="L559" s="5">
        <v>160</v>
      </c>
      <c r="M559" s="5" t="str">
        <f ca="1">IF([1]Planilha1!$I559="","",[1]Planilha1!$I559)</f>
        <v/>
      </c>
      <c r="N559" s="2" t="str" cm="1">
        <f t="array" aca="1" ref="N559" ca="1">IFERROR(VALUE(_xlfn.REGEXEXTRACT([1]Planilha1!$E559,"(\d+)\s*MESES",2)),IFERROR(VALUE(_xlfn.REGEXEXTRACT([1]Planilha1!$E559,"por\s*(\d+)\s*M",2)),IF(_xlfn.REGEXTEST([1]Planilha1!$E559,"1[ºª]"),1,"")))</f>
        <v/>
      </c>
      <c r="O559" s="6" t="str">
        <f t="shared" si="39"/>
        <v/>
      </c>
      <c r="P559" t="str">
        <f ca="1">IF([1]Planilha1!$J559="","",TRIM([1]Planilha1!$J559))</f>
        <v/>
      </c>
      <c r="Q559" s="7">
        <f ca="1">IF($D559="Claro","",IFERROR($L559-VLOOKUP($B559&amp;"|Claro",[1]AUX_CLARO!$A:$C,2,FALSE),""))</f>
        <v>20.099999999999994</v>
      </c>
      <c r="R559" s="8" t="str">
        <f ca="1">IF($D559="Claro","",IFERROR($J559-VLOOKUP($B559&amp;"|Claro",[1]AUX_CLARO!$A:$C,3,FALSE),""))</f>
        <v/>
      </c>
      <c r="S559" t="str">
        <f t="shared" ca="1" si="40"/>
        <v>Claro mais barata</v>
      </c>
      <c r="T559" t="str">
        <f t="shared" ca="1" si="41"/>
        <v/>
      </c>
      <c r="U559" s="9">
        <f t="shared" si="42"/>
        <v>46174</v>
      </c>
      <c r="V559" t="str">
        <f ca="1">IF(OR([1]Planilha1!$B559="",[1]Planilha1!$B559="NÃO MAPEADO"),"",TRIM([1]Planilha1!$B559))</f>
        <v/>
      </c>
      <c r="W559" t="str">
        <f ca="1">IF([1]Planilha1!$C559="","",TRIM([1]Planilha1!$C559))</f>
        <v>MD 2</v>
      </c>
      <c r="X559" t="str">
        <f ca="1">IFERROR(VLOOKUP($C559,[1]Planilha2!$B:$H,7,FALSE),"")</f>
        <v/>
      </c>
    </row>
    <row r="560" spans="1:24" x14ac:dyDescent="0.35">
      <c r="A560" t="str">
        <f ca="1">IF(LEFT(TEXT([1]Planilha1!$L560,"0000000"),1)="5","MS","SP")</f>
        <v>MS</v>
      </c>
      <c r="B560" t="str">
        <f ca="1">IF(RIGHT([1]Planilha1!$A560,5)=" - MS",LEFT([1]Planilha1!$A560,LEN([1]Planilha1!$A560)-5),TRIM([1]Planilha1!$A560))</f>
        <v>TRES LAGOAS</v>
      </c>
      <c r="C560" s="2">
        <f ca="1">[1]Planilha1!$L560</f>
        <v>5008305</v>
      </c>
      <c r="D560" t="str">
        <f>TRIM([1]Planilha1!$D560)</f>
        <v>Vero</v>
      </c>
      <c r="E560" t="str">
        <f>IF(TRIM([1]Planilha1!$D560)="Claro","Claro","Concorrente")</f>
        <v>Concorrente</v>
      </c>
      <c r="G560" t="str">
        <f t="shared" ca="1" si="38"/>
        <v>Banda Larga + Movel</v>
      </c>
      <c r="H560" t="str">
        <f ca="1">TRIM([1]Planilha1!$E560)</f>
        <v>850M+60GB=R$149,99 (C/ GLOBOPLAY, HBO, DISNEY+)</v>
      </c>
      <c r="I560" t="str">
        <f ca="1">IF([1]Planilha1!$F560="","",TRIM([1]Planilha1!$F560))</f>
        <v>Fibra</v>
      </c>
      <c r="J560" s="3">
        <f ca="1">IF([1]Planilha1!$G560="","",[1]Planilha1!$G560)</f>
        <v>850</v>
      </c>
      <c r="K560" s="4" cm="1">
        <f t="array" aca="1" ref="K560" ca="1">IFERROR(VALUE(_xlfn.REGEXEXTRACT([1]Planilha1!$E560,"\+\s*(\d+)GB",2)),"")</f>
        <v>60</v>
      </c>
      <c r="L560" s="5">
        <f ca="1">IF([1]Planilha1!$H560="","",[1]Planilha1!$H560)</f>
        <v>149.99</v>
      </c>
      <c r="M560" s="5" t="str">
        <f ca="1">IF([1]Planilha1!$I560="","",[1]Planilha1!$I560)</f>
        <v/>
      </c>
      <c r="N560" s="2" t="str" cm="1">
        <f t="array" aca="1" ref="N560" ca="1">IFERROR(VALUE(_xlfn.REGEXEXTRACT([1]Planilha1!$E560,"(\d+)\s*MESES",2)),IFERROR(VALUE(_xlfn.REGEXEXTRACT([1]Planilha1!$E560,"por\s*(\d+)\s*M",2)),IF(_xlfn.REGEXTEST([1]Planilha1!$E560,"1[ºª]"),1,"")))</f>
        <v/>
      </c>
      <c r="O560" s="6">
        <f t="shared" ca="1" si="39"/>
        <v>0.17645882352941178</v>
      </c>
      <c r="P560" t="str">
        <f ca="1">IF([1]Planilha1!$J560="","",TRIM([1]Planilha1!$J560))</f>
        <v/>
      </c>
      <c r="Q560" s="7">
        <f ca="1">IF($D560="Claro","",IFERROR($L560-VLOOKUP($B560&amp;"|Claro",[1]AUX_CLARO!$A:$C,2,FALSE),""))</f>
        <v>10.090000000000003</v>
      </c>
      <c r="R560" s="8">
        <f ca="1">IF($D560="Claro","",IFERROR($J560-VLOOKUP($B560&amp;"|Claro",[1]AUX_CLARO!$A:$C,3,FALSE),""))</f>
        <v>250</v>
      </c>
      <c r="S560" t="str">
        <f t="shared" ca="1" si="40"/>
        <v>Claro mais barata</v>
      </c>
      <c r="T560" t="str">
        <f t="shared" ca="1" si="41"/>
        <v>Claro com menor velocidade</v>
      </c>
      <c r="U560" s="9">
        <f t="shared" si="42"/>
        <v>46174</v>
      </c>
      <c r="V560" t="str">
        <f ca="1">IF(OR([1]Planilha1!$B560="",[1]Planilha1!$B560="NÃO MAPEADO"),"",TRIM([1]Planilha1!$B560))</f>
        <v/>
      </c>
      <c r="W560" t="str">
        <f ca="1">IF([1]Planilha1!$C560="","",TRIM([1]Planilha1!$C560))</f>
        <v>MD 2</v>
      </c>
      <c r="X560" t="str">
        <f ca="1">IFERROR(VLOOKUP($C560,[1]Planilha2!$B:$H,7,FALSE),"")</f>
        <v/>
      </c>
    </row>
    <row r="561" spans="1:24" x14ac:dyDescent="0.35">
      <c r="A561" t="str">
        <f ca="1">IF(LEFT(TEXT([1]Planilha1!$L561,"0000000"),1)="5","MS","SP")</f>
        <v>MS</v>
      </c>
      <c r="B561" t="str">
        <f ca="1">IF(RIGHT([1]Planilha1!$A561,5)=" - MS",LEFT([1]Planilha1!$A561,LEN([1]Planilha1!$A561)-5),TRIM([1]Planilha1!$A561))</f>
        <v>TRES LAGOAS</v>
      </c>
      <c r="C561" s="2">
        <f ca="1">[1]Planilha1!$L561</f>
        <v>5008305</v>
      </c>
      <c r="D561" t="str">
        <f>TRIM([1]Planilha1!$D561)</f>
        <v>ISP LOCAL</v>
      </c>
      <c r="E561" t="str">
        <f>IF(TRIM([1]Planilha1!$D561)="Claro","Claro","Concorrente")</f>
        <v>Concorrente</v>
      </c>
      <c r="G561" t="str">
        <f t="shared" ca="1" si="38"/>
        <v>Banda Larga</v>
      </c>
      <c r="H561" t="str">
        <f ca="1">TRIM([1]Planilha1!$E561)</f>
        <v>MV TELECOM - 750M R$99,90</v>
      </c>
      <c r="I561" t="str">
        <f ca="1">IF([1]Planilha1!$F561="","",TRIM([1]Planilha1!$F561))</f>
        <v>Fibra</v>
      </c>
      <c r="J561" s="3">
        <f ca="1">IF([1]Planilha1!$G561="","",[1]Planilha1!$G561)</f>
        <v>750</v>
      </c>
      <c r="K561" s="4" t="str" cm="1">
        <f t="array" aca="1" ref="K561" ca="1">IFERROR(VALUE(_xlfn.REGEXEXTRACT([1]Planilha1!$E561,"\+\s*(\d+)GB",2)),"")</f>
        <v/>
      </c>
      <c r="L561" s="5">
        <f ca="1">IF([1]Planilha1!$H561="","",[1]Planilha1!$H561)</f>
        <v>99.9</v>
      </c>
      <c r="M561" s="5" t="str">
        <f ca="1">IF([1]Planilha1!$I561="","",[1]Planilha1!$I561)</f>
        <v/>
      </c>
      <c r="N561" s="2" t="str" cm="1">
        <f t="array" aca="1" ref="N561" ca="1">IFERROR(VALUE(_xlfn.REGEXEXTRACT([1]Planilha1!$E561,"(\d+)\s*MESES",2)),IFERROR(VALUE(_xlfn.REGEXEXTRACT([1]Planilha1!$E561,"por\s*(\d+)\s*M",2)),IF(_xlfn.REGEXTEST([1]Planilha1!$E561,"1[ºª]"),1,"")))</f>
        <v/>
      </c>
      <c r="O561" s="6">
        <f t="shared" ca="1" si="39"/>
        <v>0.13320000000000001</v>
      </c>
      <c r="P561" t="str">
        <f ca="1">IF([1]Planilha1!$J561="","",TRIM([1]Planilha1!$J561))</f>
        <v/>
      </c>
      <c r="Q561" s="7">
        <f ca="1">IF($D561="Claro","",IFERROR($L561-VLOOKUP($B561&amp;"|Claro",[1]AUX_CLARO!$A:$C,2,FALSE),""))</f>
        <v>-40</v>
      </c>
      <c r="R561" s="8">
        <f ca="1">IF($D561="Claro","",IFERROR($J561-VLOOKUP($B561&amp;"|Claro",[1]AUX_CLARO!$A:$C,3,FALSE),""))</f>
        <v>150</v>
      </c>
      <c r="S561" t="str">
        <f t="shared" ca="1" si="40"/>
        <v>Claro mais cara</v>
      </c>
      <c r="T561" t="str">
        <f t="shared" ca="1" si="41"/>
        <v>Claro com menor velocidade</v>
      </c>
      <c r="U561" s="9">
        <f t="shared" si="42"/>
        <v>46174</v>
      </c>
      <c r="V561" t="str">
        <f ca="1">IF(OR([1]Planilha1!$B561="",[1]Planilha1!$B561="NÃO MAPEADO"),"",TRIM([1]Planilha1!$B561))</f>
        <v/>
      </c>
      <c r="W561" t="str">
        <f ca="1">IF([1]Planilha1!$C561="","",TRIM([1]Planilha1!$C561))</f>
        <v>MD 2</v>
      </c>
      <c r="X561" t="str">
        <f ca="1">IFERROR(VLOOKUP($C561,[1]Planilha2!$B:$H,7,FALSE),"")</f>
        <v/>
      </c>
    </row>
  </sheetData>
  <hyperlinks>
    <hyperlink ref="F3" r:id="rId1" display="https://vivo.com.br/para-voce/produtos-e-servicos/combos/vivo-total" xr:uid="{C6422761-8D7F-492F-B136-250FA052B82C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Claro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ALMEIDA MORAIS</dc:creator>
  <cp:lastModifiedBy>ANDERSON ALMEIDA MORAIS</cp:lastModifiedBy>
  <dcterms:created xsi:type="dcterms:W3CDTF">2026-09-18T16:36:30Z</dcterms:created>
  <dcterms:modified xsi:type="dcterms:W3CDTF">2026-09-18T16:37:13Z</dcterms:modified>
</cp:coreProperties>
</file>